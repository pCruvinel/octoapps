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01" sheetId="1" r:id="rId4"/>
    <sheet state="visible" name="SEGUROS" sheetId="2" r:id="rId5"/>
    <sheet state="visible" name="TR" sheetId="3" r:id="rId6"/>
    <sheet state="visible" name="AP02" sheetId="4" r:id="rId7"/>
    <sheet state="visible" name="AP03" sheetId="5" r:id="rId8"/>
    <sheet state="visible" name="AP04" sheetId="6" r:id="rId9"/>
    <sheet state="visible" name="AP05" sheetId="7" r:id="rId10"/>
    <sheet state="visible" name="INPC" sheetId="8" r:id="rId11"/>
    <sheet state="visible" name="IPCA" sheetId="9" r:id="rId12"/>
  </sheets>
  <definedNames/>
  <calcPr/>
  <extLst>
    <ext uri="GoogleSheetsCustomDataVersion2">
      <go:sheetsCustomData xmlns:go="http://customooxmlschemas.google.com/" r:id="rId13" roundtripDataChecksum="/yUxdhxGK50db5mahErd28mcT+pwIsR/5I2CtiH8+/0="/>
    </ext>
  </extLst>
</workbook>
</file>

<file path=xl/sharedStrings.xml><?xml version="1.0" encoding="utf-8"?>
<sst xmlns="http://schemas.openxmlformats.org/spreadsheetml/2006/main" count="1184" uniqueCount="112">
  <si>
    <t>APÊNDICE 01: EVOLUÇÃO DO FINANCIAMENTO COBRADO PELO BANCO</t>
  </si>
  <si>
    <t>Requerente: ADRIANA MELO DE OLIVEIRA</t>
  </si>
  <si>
    <t>Requerido: ITAÚ UNIBANCO</t>
  </si>
  <si>
    <t>Valor do Bem</t>
  </si>
  <si>
    <t>Qtde Prestações</t>
  </si>
  <si>
    <t>Entrada/Descontos</t>
  </si>
  <si>
    <t>Taxa de Juros Efetiva (a.m.)</t>
  </si>
  <si>
    <t>Valor Financiado</t>
  </si>
  <si>
    <t>Taxa de Juros Efetiva (a.a.)</t>
  </si>
  <si>
    <t>Data Nasc</t>
  </si>
  <si>
    <t>Data do Contrato</t>
  </si>
  <si>
    <t>Taxa de Juros com benfício (a.m.)</t>
  </si>
  <si>
    <t>1° Vencimento</t>
  </si>
  <si>
    <t>Taxa de Juros com benfício (a.a.)</t>
  </si>
  <si>
    <t>Sistema de Amortização</t>
  </si>
  <si>
    <t>SAC</t>
  </si>
  <si>
    <t>Prestação Mensal</t>
  </si>
  <si>
    <t>Índice Correção</t>
  </si>
  <si>
    <t>TR</t>
  </si>
  <si>
    <t>Enquadramento</t>
  </si>
  <si>
    <t>SFH</t>
  </si>
  <si>
    <t>Qtde</t>
  </si>
  <si>
    <t>Data Vencimento</t>
  </si>
  <si>
    <t>Taxa Efetiva a.a.</t>
  </si>
  <si>
    <t>Taxa Efetiva a.m.</t>
  </si>
  <si>
    <t>Prestação (a+j)</t>
  </si>
  <si>
    <t>Juros</t>
  </si>
  <si>
    <t>Amortização</t>
  </si>
  <si>
    <t>Seguro MIP</t>
  </si>
  <si>
    <t>Seguro DFI</t>
  </si>
  <si>
    <t>TCA</t>
  </si>
  <si>
    <t>Multa</t>
  </si>
  <si>
    <t>Mora</t>
  </si>
  <si>
    <t>Total da Parcela</t>
  </si>
  <si>
    <t>Correção Monetária</t>
  </si>
  <si>
    <t>Saldo Devedor</t>
  </si>
  <si>
    <t>Valor Garantia</t>
  </si>
  <si>
    <t>Idade</t>
  </si>
  <si>
    <t>% MIP</t>
  </si>
  <si>
    <t>Seguro DFI2</t>
  </si>
  <si>
    <t>Seguro MIP2</t>
  </si>
  <si>
    <r>
      <rPr>
        <rFont val="Nunito Sans"/>
        <b/>
        <color rgb="FF000000"/>
        <sz val="11.0"/>
      </rPr>
      <t xml:space="preserve">Este apêndice retrata a </t>
    </r>
    <r>
      <rPr>
        <rFont val="Nunito Sans Normal"/>
        <b/>
        <color rgb="FF000000"/>
        <sz val="11.0"/>
        <u/>
      </rPr>
      <t>evolução do financiamento com taxa muito superior à taxa média do BACEN, além de cobrar seguros de forma indevida</t>
    </r>
    <r>
      <rPr>
        <rFont val="Nunito Sans Normal"/>
        <b/>
        <color rgb="FF000000"/>
        <sz val="11.0"/>
      </rPr>
      <t>, prejudicando a requerente.</t>
    </r>
  </si>
  <si>
    <t>Taxa DFI</t>
  </si>
  <si>
    <t>Data</t>
  </si>
  <si>
    <t>Data fim</t>
  </si>
  <si>
    <t>226 - Taxa referencial (TR) - % a.m.</t>
  </si>
  <si>
    <t>Fonte</t>
  </si>
  <si>
    <t xml:space="preserve"> - </t>
  </si>
  <si>
    <t>BCB-Demab</t>
  </si>
  <si>
    <t>APÊNDICE 02: EVOLUÇÃO DO FINANCIAMENTO COM TAXA MÉDIA E EXPURGO DOS SEGUROS</t>
  </si>
  <si>
    <t>Para calcular a prestação (a+j):</t>
  </si>
  <si>
    <t>Taxa MÉDIA Efetiva (a.m.)</t>
  </si>
  <si>
    <t>1. Calcule a amortização dividindo o valor financiado pela quantidade de prestações;</t>
  </si>
  <si>
    <t>OBS: muda quando começa o vencimento com a correção monetária. Neste caso basta atualizar primeiro o saldo utilizando a mesma fórmula.</t>
  </si>
  <si>
    <t>Taxa MÉDIA Efetiva (a.a.)</t>
  </si>
  <si>
    <t>A =</t>
  </si>
  <si>
    <t>&lt;= cálculo feito</t>
  </si>
  <si>
    <t>Qtde Pmt´s</t>
  </si>
  <si>
    <t>(%) Excesso Taxa Média</t>
  </si>
  <si>
    <t>2. Depois é só calcular os juros aplicando sobre o saldo financiado o percentual da taxa;</t>
  </si>
  <si>
    <t>J =</t>
  </si>
  <si>
    <t>Saldo Devedor x i%</t>
  </si>
  <si>
    <t>Pmt = A + J</t>
  </si>
  <si>
    <t>Total da Parcela Devida</t>
  </si>
  <si>
    <r>
      <rPr>
        <rFont val="Nunito Sans"/>
        <b/>
        <color rgb="FF000000"/>
        <sz val="11.0"/>
      </rPr>
      <t xml:space="preserve">Este apêndice retrata a </t>
    </r>
    <r>
      <rPr>
        <rFont val="Nunito Sans Normal"/>
        <b/>
        <color rgb="FF000000"/>
        <sz val="11.0"/>
        <u/>
      </rPr>
      <t>evolução do financiamento com taxa MÉDIA do BACEN, expurgando os seguros e afastando a mora</t>
    </r>
    <r>
      <rPr>
        <rFont val="Nunito Sans Normal"/>
        <b/>
        <color rgb="FF000000"/>
        <sz val="11.0"/>
      </rPr>
      <t>, já que ficou cabalmente demonstrado a abusividade no período da normalidade contratual.</t>
    </r>
  </si>
  <si>
    <t>APÊNDICE 03: DEMONSTRATIVO DAS DIFERENÇAS EXCEDENTES A RESTITUIR</t>
  </si>
  <si>
    <t>Situação da Parcela</t>
  </si>
  <si>
    <t>Valor Pago / Prestação Cobrada</t>
  </si>
  <si>
    <t>Valor Devido / Prestação Devida</t>
  </si>
  <si>
    <t>Diferença Mensal</t>
  </si>
  <si>
    <t>TOTAL NOMINAL A RESTITUIR</t>
  </si>
  <si>
    <t>Paga</t>
  </si>
  <si>
    <t>Baixa Incorporação</t>
  </si>
  <si>
    <r>
      <rPr>
        <rFont val="Nunito Sans"/>
        <b/>
        <color rgb="FF000000"/>
        <sz val="11.0"/>
      </rPr>
      <t xml:space="preserve">Este apêndice retrata a </t>
    </r>
    <r>
      <rPr>
        <rFont val="Nunito Sans Normal"/>
        <b/>
        <color rgb="FF000000"/>
        <sz val="11.0"/>
        <u/>
      </rPr>
      <t>diferença excessiva cobrada mensalmente, a serem restituídas em DOBRO e na forma SIMPLES</t>
    </r>
    <r>
      <rPr>
        <rFont val="Nunito Sans Normal"/>
        <b/>
        <color rgb="FF000000"/>
        <sz val="11.0"/>
      </rPr>
      <t>, conforme retratados nos apêndices 04 e 05.</t>
    </r>
  </si>
  <si>
    <t>APÊNDICE 04: EVOLUÇÃO DO FINANCIAMENTO COM TAXA MÉDIA E EXPURGO DOS SEGUROS =&gt; COM REST. EM DOBRO</t>
  </si>
  <si>
    <t>(1) Amortização</t>
  </si>
  <si>
    <t>(2) Valor Pago</t>
  </si>
  <si>
    <t>(3) Total da Parcela Devida</t>
  </si>
  <si>
    <t>(4) Diferença a Compensar [2-3]</t>
  </si>
  <si>
    <t>(5) Saldo Devedor [(5*TR)-1-4*2]</t>
  </si>
  <si>
    <r>
      <rPr>
        <rFont val="Nunito Sans"/>
        <b/>
        <color rgb="FF000000"/>
        <sz val="11.0"/>
      </rPr>
      <t xml:space="preserve">Este apêndice retrata a </t>
    </r>
    <r>
      <rPr>
        <rFont val="Nunito Sans Normal"/>
        <b/>
        <color rgb="FF000000"/>
        <sz val="11.0"/>
        <u/>
      </rPr>
      <t>evolução do financiamento com taxa MÉDIA do BACEN, expurgando os seguros e afastando a mora</t>
    </r>
    <r>
      <rPr>
        <rFont val="Nunito Sans Normal"/>
        <b/>
        <color rgb="FF000000"/>
        <sz val="11.0"/>
      </rPr>
      <t xml:space="preserve">, realizando a </t>
    </r>
    <r>
      <rPr>
        <rFont val="Nunito Sans Normal"/>
        <b/>
        <color rgb="FF000000"/>
        <sz val="11.0"/>
        <u/>
      </rPr>
      <t>compensação do crédito apurado</t>
    </r>
    <r>
      <rPr>
        <rFont val="Nunito Sans Normal"/>
        <b/>
        <color rgb="FF000000"/>
        <sz val="11.0"/>
      </rPr>
      <t xml:space="preserve"> mensalmente no APÊNDICE 03, </t>
    </r>
    <r>
      <rPr>
        <rFont val="Nunito Sans Normal"/>
        <b/>
        <color rgb="FF000000"/>
        <sz val="11.0"/>
        <u/>
      </rPr>
      <t>na mesma data em que ocorreu</t>
    </r>
    <r>
      <rPr>
        <rFont val="Nunito Sans Normal"/>
        <b/>
        <color rgb="FF000000"/>
        <sz val="11.0"/>
      </rPr>
      <t xml:space="preserve">, respeitando a regra do valor do dinheiro no tempo e do art. 368 do CC, </t>
    </r>
    <r>
      <rPr>
        <rFont val="Nunito Sans Normal"/>
        <b/>
        <color rgb="FF000000"/>
        <sz val="11.0"/>
        <u/>
      </rPr>
      <t>de forma DOBRADA</t>
    </r>
    <r>
      <rPr>
        <rFont val="Nunito Sans Normal"/>
        <b/>
        <color rgb="FF000000"/>
        <sz val="11.0"/>
      </rPr>
      <t xml:space="preserve"> com base no art. 42 do CDC, e</t>
    </r>
    <r>
      <rPr>
        <rFont val="Nunito Sans Normal"/>
        <b/>
        <color rgb="FF000000"/>
        <sz val="11.0"/>
        <u/>
      </rPr>
      <t>ncontrando o novo saldo devedor na data do último pagamento e refinanciando com as parcelas vincendas</t>
    </r>
    <r>
      <rPr>
        <rFont val="Nunito Sans Normal"/>
        <b/>
        <color rgb="FF000000"/>
        <sz val="11.0"/>
      </rPr>
      <t xml:space="preserve"> a serem pagas a partir de então.</t>
    </r>
  </si>
  <si>
    <t>APÊNDICE 05: EVOLUÇÃO DO FINANCIAMENTO COM TAXA MÉDIA E EXPURGO DOS SEGUROS =&gt; COM REST. SIMPLES</t>
  </si>
  <si>
    <t>(5) Saldo Devedor [(5*TR)-1-4]</t>
  </si>
  <si>
    <r>
      <rPr>
        <rFont val="Nunito Sans"/>
        <b/>
        <color rgb="FF000000"/>
        <sz val="11.0"/>
      </rPr>
      <t xml:space="preserve">Este apêndice retrata a </t>
    </r>
    <r>
      <rPr>
        <rFont val="Nunito Sans Normal"/>
        <b/>
        <color rgb="FF000000"/>
        <sz val="11.0"/>
        <u/>
      </rPr>
      <t>evolução do financiamento com taxa MÉDIA do BACEN, expurgando os seguros e afastando a mora</t>
    </r>
    <r>
      <rPr>
        <rFont val="Nunito Sans Normal"/>
        <b/>
        <color rgb="FF000000"/>
        <sz val="11.0"/>
      </rPr>
      <t xml:space="preserve">, realizando a </t>
    </r>
    <r>
      <rPr>
        <rFont val="Nunito Sans Normal"/>
        <b/>
        <color rgb="FF000000"/>
        <sz val="11.0"/>
        <u/>
      </rPr>
      <t>compensação do crédito apurado</t>
    </r>
    <r>
      <rPr>
        <rFont val="Nunito Sans Normal"/>
        <b/>
        <color rgb="FF000000"/>
        <sz val="11.0"/>
      </rPr>
      <t xml:space="preserve"> mensalmente no APÊNDICE 03, </t>
    </r>
    <r>
      <rPr>
        <rFont val="Nunito Sans Normal"/>
        <b/>
        <color rgb="FF000000"/>
        <sz val="11.0"/>
        <u/>
      </rPr>
      <t>na mesma data em que ocorreu</t>
    </r>
    <r>
      <rPr>
        <rFont val="Nunito Sans Normal"/>
        <b/>
        <color rgb="FF000000"/>
        <sz val="11.0"/>
      </rPr>
      <t xml:space="preserve">, respeitando a regra do valor do dinheiro no tempo e do art. 368 do CC, </t>
    </r>
    <r>
      <rPr>
        <rFont val="Nunito Sans Normal"/>
        <b/>
        <color rgb="FF000000"/>
        <sz val="11.0"/>
        <u/>
      </rPr>
      <t>na forma SIMPLES</t>
    </r>
    <r>
      <rPr>
        <rFont val="Nunito Sans Normal"/>
        <b/>
        <color rgb="FF000000"/>
        <sz val="11.0"/>
      </rPr>
      <t>, e</t>
    </r>
    <r>
      <rPr>
        <rFont val="Nunito Sans Normal"/>
        <b/>
        <color rgb="FF000000"/>
        <sz val="11.0"/>
        <u/>
      </rPr>
      <t>ncontrando o novo saldo devedor na data do último pagamento e refinanciando com as parcelas vincendas</t>
    </r>
    <r>
      <rPr>
        <rFont val="Nunito Sans Normal"/>
        <b/>
        <color rgb="FF000000"/>
        <sz val="11.0"/>
      </rPr>
      <t xml:space="preserve"> a serem pagas a partir de então.</t>
    </r>
  </si>
  <si>
    <t>SÉRIE HISTÓRICA DO INPC</t>
  </si>
  <si>
    <t>(continua)</t>
  </si>
  <si>
    <t xml:space="preserve">    VARIAÇÃO</t>
  </si>
  <si>
    <t>ANO</t>
  </si>
  <si>
    <t>MÊS</t>
  </si>
  <si>
    <t>NÚMERO ÍNDICE</t>
  </si>
  <si>
    <t>(%)</t>
  </si>
  <si>
    <t>(DEZ 93 = 100)</t>
  </si>
  <si>
    <t>NO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</si>
  <si>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</si>
  <si>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</si>
  <si>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</si>
  <si>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</si>
  <si>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</si>
  <si>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</si>
  <si>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</si>
  <si>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</si>
  <si>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</si>
  <si>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</si>
  <si>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</si>
  <si>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</si>
  <si>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</si>
  <si>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</t>
  </si>
  <si>
    <t>(continuação)</t>
  </si>
  <si>
    <t xml:space="preserve">Fonte: IBGE, Diretoria de Pesquisas, Coordenação de Índices de Preços, </t>
  </si>
  <si>
    <t>Sistema Nacional de Índices de Preços ao Consumidor.</t>
  </si>
  <si>
    <t>SÉRIE HISTÓRICA DO IPCA</t>
  </si>
  <si>
    <t>(conclusão)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</si>
</sst>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%"/>
    <numFmt numFmtId="165" formatCode="#,##0.000000"/>
    <numFmt numFmtId="166" formatCode="0.00000%"/>
    <numFmt numFmtId="167" formatCode="_-* #,##0.00_-;\-* #,##0.00_-;_-* &quot;-&quot;??_-;_-@"/>
    <numFmt numFmtId="168" formatCode="_-* #,##0.00000_-;\-* #,##0.00000_-;_-* &quot;-&quot;?????_-;_-@"/>
  </numFmts>
  <fonts count="18">
    <font>
      <sz val="11.0"/>
      <color theme="1"/>
      <name val="Calibri"/>
      <scheme val="minor"/>
    </font>
    <font>
      <b/>
      <sz val="11.0"/>
      <color theme="0"/>
      <name val="Nunito Sans"/>
    </font>
    <font/>
    <font>
      <sz val="11.0"/>
      <color theme="1"/>
      <name val="Nunito Sans"/>
    </font>
    <font>
      <b/>
      <sz val="11.0"/>
      <color theme="1"/>
      <name val="Nunito Sans"/>
    </font>
    <font>
      <b/>
      <sz val="11.0"/>
      <color rgb="FFFF0000"/>
      <name val="Nunito Sans"/>
    </font>
    <font>
      <sz val="11.0"/>
      <color rgb="FFFF0000"/>
      <name val="Nunito Sans"/>
    </font>
    <font>
      <b/>
      <sz val="11.0"/>
      <color rgb="FF000000"/>
      <name val="Nunito Sans"/>
    </font>
    <font>
      <color theme="1"/>
      <name val="Calibri"/>
      <scheme val="minor"/>
    </font>
    <font>
      <sz val="11.0"/>
      <color theme="1"/>
      <name val="Calibri"/>
    </font>
    <font>
      <sz val="11.0"/>
      <color theme="0"/>
      <name val="Nunito Sans"/>
    </font>
    <font>
      <sz val="8.0"/>
      <color theme="1"/>
      <name val="Courier New"/>
    </font>
    <font>
      <b/>
      <sz val="12.0"/>
      <color theme="1"/>
      <name val="Courier New"/>
    </font>
    <font>
      <sz val="12.0"/>
      <color theme="1"/>
      <name val="Courier New"/>
    </font>
    <font>
      <b/>
      <sz val="10.0"/>
      <color theme="1"/>
      <name val="Courier New"/>
    </font>
    <font>
      <sz val="10.0"/>
      <color theme="1"/>
      <name val="Courier New"/>
    </font>
    <font>
      <b/>
      <sz val="8.0"/>
      <color theme="1"/>
      <name val="Courier New"/>
    </font>
    <font>
      <sz val="12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2D3041"/>
        <bgColor rgb="FF2D3041"/>
      </patternFill>
    </fill>
    <fill>
      <patternFill patternType="solid">
        <fgColor rgb="FFF5F3EE"/>
        <bgColor rgb="FFF5F3EE"/>
      </patternFill>
    </fill>
    <fill>
      <patternFill patternType="solid">
        <fgColor rgb="FFDFBE88"/>
        <bgColor rgb="FFDFBE88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F5F3EE"/>
      </right>
      <top/>
      <bottom style="medium">
        <color rgb="FF000000"/>
      </bottom>
    </border>
    <border>
      <left style="thin">
        <color rgb="FFF5F3EE"/>
      </left>
      <right style="thin">
        <color rgb="FFF5F3EE"/>
      </right>
      <top/>
      <bottom style="medium">
        <color rgb="FF000000"/>
      </bottom>
    </border>
    <border>
      <left style="thin">
        <color rgb="FFF5F3EE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double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5" fillId="3" fontId="4" numFmtId="0" xfId="0" applyBorder="1" applyFont="1"/>
    <xf borderId="6" fillId="3" fontId="4" numFmtId="0" xfId="0" applyBorder="1" applyFont="1"/>
    <xf borderId="7" fillId="3" fontId="4" numFmtId="0" xfId="0" applyBorder="1" applyFont="1"/>
    <xf borderId="8" fillId="3" fontId="4" numFmtId="0" xfId="0" applyBorder="1" applyFont="1"/>
    <xf borderId="9" fillId="3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1" fillId="0" fontId="4" numFmtId="4" xfId="0" applyAlignment="1" applyBorder="1" applyFont="1" applyNumberFormat="1">
      <alignment horizontal="center"/>
    </xf>
    <xf borderId="11" fillId="0" fontId="3" numFmtId="0" xfId="0" applyBorder="1" applyFont="1"/>
    <xf borderId="1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13" fillId="0" fontId="4" numFmtId="0" xfId="0" applyBorder="1" applyFont="1"/>
    <xf borderId="0" fillId="0" fontId="4" numFmtId="0" xfId="0" applyFont="1"/>
    <xf borderId="0" fillId="0" fontId="4" numFmtId="4" xfId="0" applyAlignment="1" applyFont="1" applyNumberFormat="1">
      <alignment horizontal="center"/>
    </xf>
    <xf borderId="0" fillId="0" fontId="5" numFmtId="0" xfId="0" applyFont="1"/>
    <xf borderId="14" fillId="0" fontId="5" numFmtId="10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15" fillId="4" fontId="4" numFmtId="0" xfId="0" applyBorder="1" applyFill="1" applyFont="1"/>
    <xf borderId="16" fillId="4" fontId="4" numFmtId="14" xfId="0" applyBorder="1" applyFont="1" applyNumberFormat="1"/>
    <xf borderId="0" fillId="0" fontId="4" numFmtId="14" xfId="0" applyAlignment="1" applyFont="1" applyNumberFormat="1">
      <alignment horizontal="center"/>
    </xf>
    <xf borderId="14" fillId="0" fontId="4" numFmtId="10" xfId="0" applyAlignment="1" applyBorder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14" fillId="0" fontId="4" numFmtId="4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center"/>
    </xf>
    <xf borderId="17" fillId="0" fontId="4" numFmtId="0" xfId="0" applyBorder="1" applyFont="1"/>
    <xf borderId="18" fillId="0" fontId="4" numFmtId="0" xfId="0" applyBorder="1" applyFont="1"/>
    <xf borderId="18" fillId="0" fontId="4" numFmtId="0" xfId="0" applyAlignment="1" applyBorder="1" applyFont="1">
      <alignment horizontal="center"/>
    </xf>
    <xf borderId="18" fillId="0" fontId="3" numFmtId="0" xfId="0" applyBorder="1" applyFont="1"/>
    <xf borderId="19" fillId="0" fontId="4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0" fillId="2" fontId="1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/>
    </xf>
    <xf borderId="23" fillId="0" fontId="3" numFmtId="14" xfId="0" applyAlignment="1" applyBorder="1" applyFont="1" applyNumberFormat="1">
      <alignment horizontal="center"/>
    </xf>
    <xf borderId="23" fillId="0" fontId="3" numFmtId="0" xfId="0" applyBorder="1" applyFont="1"/>
    <xf borderId="23" fillId="0" fontId="3" numFmtId="4" xfId="0" applyBorder="1" applyFont="1" applyNumberFormat="1"/>
    <xf borderId="23" fillId="0" fontId="3" numFmtId="4" xfId="0" applyAlignment="1" applyBorder="1" applyFont="1" applyNumberFormat="1">
      <alignment horizontal="center"/>
    </xf>
    <xf borderId="24" fillId="0" fontId="3" numFmtId="3" xfId="0" applyAlignment="1" applyBorder="1" applyFont="1" applyNumberFormat="1">
      <alignment horizontal="center"/>
    </xf>
    <xf borderId="24" fillId="0" fontId="3" numFmtId="164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24" fillId="0" fontId="3" numFmtId="0" xfId="0" applyAlignment="1" applyBorder="1" applyFont="1">
      <alignment horizontal="center"/>
    </xf>
    <xf borderId="24" fillId="0" fontId="3" numFmtId="14" xfId="0" applyAlignment="1" applyBorder="1" applyFont="1" applyNumberFormat="1">
      <alignment horizontal="center"/>
    </xf>
    <xf borderId="24" fillId="0" fontId="3" numFmtId="4" xfId="0" applyAlignment="1" applyBorder="1" applyFont="1" applyNumberFormat="1">
      <alignment horizontal="center"/>
    </xf>
    <xf borderId="24" fillId="0" fontId="6" numFmtId="4" xfId="0" applyAlignment="1" applyBorder="1" applyFont="1" applyNumberFormat="1">
      <alignment horizontal="center"/>
    </xf>
    <xf borderId="24" fillId="0" fontId="3" numFmtId="165" xfId="0" applyAlignment="1" applyBorder="1" applyFont="1" applyNumberFormat="1">
      <alignment horizontal="center"/>
    </xf>
    <xf borderId="0" fillId="0" fontId="3" numFmtId="2" xfId="0" applyFont="1" applyNumberFormat="1"/>
    <xf borderId="0" fillId="0" fontId="3" numFmtId="166" xfId="0" applyFont="1" applyNumberFormat="1"/>
    <xf borderId="25" fillId="0" fontId="3" numFmtId="0" xfId="0" applyAlignment="1" applyBorder="1" applyFont="1">
      <alignment horizontal="center"/>
    </xf>
    <xf borderId="25" fillId="0" fontId="6" numFmtId="4" xfId="0" applyAlignment="1" applyBorder="1" applyFont="1" applyNumberFormat="1">
      <alignment horizontal="center"/>
    </xf>
    <xf borderId="24" fillId="0" fontId="5" numFmtId="10" xfId="0" applyAlignment="1" applyBorder="1" applyFont="1" applyNumberFormat="1">
      <alignment horizontal="center"/>
    </xf>
    <xf borderId="26" fillId="5" fontId="3" numFmtId="0" xfId="0" applyAlignment="1" applyBorder="1" applyFill="1" applyFont="1">
      <alignment horizontal="center"/>
    </xf>
    <xf borderId="24" fillId="5" fontId="3" numFmtId="14" xfId="0" applyAlignment="1" applyBorder="1" applyFont="1" applyNumberFormat="1">
      <alignment horizontal="center"/>
    </xf>
    <xf borderId="24" fillId="5" fontId="5" numFmtId="10" xfId="0" applyAlignment="1" applyBorder="1" applyFont="1" applyNumberFormat="1">
      <alignment horizontal="center"/>
    </xf>
    <xf borderId="24" fillId="5" fontId="3" numFmtId="4" xfId="0" applyAlignment="1" applyBorder="1" applyFont="1" applyNumberFormat="1">
      <alignment horizontal="center"/>
    </xf>
    <xf borderId="24" fillId="5" fontId="6" numFmtId="4" xfId="0" applyAlignment="1" applyBorder="1" applyFont="1" applyNumberFormat="1">
      <alignment horizontal="center"/>
    </xf>
    <xf borderId="24" fillId="5" fontId="3" numFmtId="165" xfId="0" applyAlignment="1" applyBorder="1" applyFont="1" applyNumberFormat="1">
      <alignment horizontal="center"/>
    </xf>
    <xf borderId="0" fillId="0" fontId="3" numFmtId="4" xfId="0" applyFont="1" applyNumberFormat="1"/>
    <xf borderId="24" fillId="0" fontId="5" numFmtId="4" xfId="0" applyAlignment="1" applyBorder="1" applyFont="1" applyNumberFormat="1">
      <alignment horizontal="center"/>
    </xf>
    <xf borderId="25" fillId="0" fontId="3" numFmtId="14" xfId="0" applyAlignment="1" applyBorder="1" applyFont="1" applyNumberFormat="1">
      <alignment horizontal="center"/>
    </xf>
    <xf borderId="25" fillId="0" fontId="5" numFmtId="10" xfId="0" applyAlignment="1" applyBorder="1" applyFont="1" applyNumberFormat="1">
      <alignment horizontal="center"/>
    </xf>
    <xf borderId="25" fillId="0" fontId="3" numFmtId="4" xfId="0" applyAlignment="1" applyBorder="1" applyFont="1" applyNumberFormat="1">
      <alignment horizontal="center"/>
    </xf>
    <xf borderId="25" fillId="0" fontId="5" numFmtId="4" xfId="0" applyAlignment="1" applyBorder="1" applyFont="1" applyNumberFormat="1">
      <alignment horizontal="center"/>
    </xf>
    <xf borderId="25" fillId="0" fontId="3" numFmtId="165" xfId="0" applyAlignment="1" applyBorder="1" applyFont="1" applyNumberFormat="1">
      <alignment horizontal="center"/>
    </xf>
    <xf borderId="27" fillId="0" fontId="4" numFmtId="0" xfId="0" applyAlignment="1" applyBorder="1" applyFont="1">
      <alignment horizontal="center"/>
    </xf>
    <xf borderId="28" fillId="0" fontId="4" numFmtId="14" xfId="0" applyAlignment="1" applyBorder="1" applyFont="1" applyNumberFormat="1">
      <alignment horizontal="center"/>
    </xf>
    <xf borderId="28" fillId="0" fontId="5" numFmtId="10" xfId="0" applyAlignment="1" applyBorder="1" applyFont="1" applyNumberFormat="1">
      <alignment horizontal="center"/>
    </xf>
    <xf borderId="28" fillId="0" fontId="4" numFmtId="4" xfId="0" applyAlignment="1" applyBorder="1" applyFont="1" applyNumberFormat="1">
      <alignment horizontal="center"/>
    </xf>
    <xf borderId="28" fillId="0" fontId="5" numFmtId="4" xfId="0" applyAlignment="1" applyBorder="1" applyFont="1" applyNumberFormat="1">
      <alignment horizontal="center"/>
    </xf>
    <xf borderId="28" fillId="6" fontId="1" numFmtId="4" xfId="0" applyAlignment="1" applyBorder="1" applyFill="1" applyFont="1" applyNumberFormat="1">
      <alignment horizontal="center"/>
    </xf>
    <xf borderId="29" fillId="0" fontId="4" numFmtId="165" xfId="0" applyAlignment="1" applyBorder="1" applyFont="1" applyNumberFormat="1">
      <alignment horizontal="center"/>
    </xf>
    <xf borderId="0" fillId="0" fontId="3" numFmtId="164" xfId="0" applyFont="1" applyNumberFormat="1"/>
    <xf borderId="30" fillId="0" fontId="3" numFmtId="0" xfId="0" applyAlignment="1" applyBorder="1" applyFont="1">
      <alignment horizontal="center"/>
    </xf>
    <xf borderId="23" fillId="0" fontId="5" numFmtId="10" xfId="0" applyAlignment="1" applyBorder="1" applyFont="1" applyNumberFormat="1">
      <alignment horizontal="center"/>
    </xf>
    <xf borderId="23" fillId="0" fontId="6" numFmtId="4" xfId="0" applyAlignment="1" applyBorder="1" applyFont="1" applyNumberFormat="1">
      <alignment horizontal="center"/>
    </xf>
    <xf borderId="23" fillId="0" fontId="3" numFmtId="165" xfId="0" applyAlignment="1" applyBorder="1" applyFont="1" applyNumberFormat="1">
      <alignment horizontal="center"/>
    </xf>
    <xf borderId="0" fillId="0" fontId="3" numFmtId="10" xfId="0" applyFont="1" applyNumberFormat="1"/>
    <xf borderId="24" fillId="0" fontId="4" numFmtId="4" xfId="0" applyAlignment="1" applyBorder="1" applyFont="1" applyNumberFormat="1">
      <alignment horizontal="center"/>
    </xf>
    <xf borderId="31" fillId="0" fontId="7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24" fillId="4" fontId="4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24" fillId="0" fontId="3" numFmtId="166" xfId="0" applyAlignment="1" applyBorder="1" applyFont="1" applyNumberFormat="1">
      <alignment horizontal="center"/>
    </xf>
    <xf borderId="0" fillId="0" fontId="3" numFmtId="167" xfId="0" applyFont="1" applyNumberFormat="1"/>
    <xf borderId="0" fillId="0" fontId="3" numFmtId="168" xfId="0" applyFont="1" applyNumberFormat="1"/>
    <xf borderId="0" fillId="0" fontId="8" numFmtId="0" xfId="0" applyFont="1"/>
    <xf borderId="0" fillId="0" fontId="9" numFmtId="14" xfId="0" applyFont="1" applyNumberFormat="1"/>
    <xf borderId="37" fillId="7" fontId="9" numFmtId="14" xfId="0" applyBorder="1" applyFill="1" applyFont="1" applyNumberFormat="1"/>
    <xf borderId="37" fillId="7" fontId="9" numFmtId="0" xfId="0" applyBorder="1" applyFont="1"/>
    <xf borderId="37" fillId="4" fontId="4" numFmtId="0" xfId="0" applyBorder="1" applyFont="1"/>
    <xf borderId="37" fillId="4" fontId="3" numFmtId="0" xfId="0" applyBorder="1" applyFont="1"/>
    <xf borderId="38" fillId="4" fontId="4" numFmtId="10" xfId="0" applyAlignment="1" applyBorder="1" applyFont="1" applyNumberFormat="1">
      <alignment horizontal="center"/>
    </xf>
    <xf borderId="31" fillId="0" fontId="4" numFmtId="0" xfId="0" applyAlignment="1" applyBorder="1" applyFont="1">
      <alignment horizontal="center" shrinkToFit="0" vertical="center" wrapText="1"/>
    </xf>
    <xf borderId="35" fillId="0" fontId="3" numFmtId="0" xfId="0" applyAlignment="1" applyBorder="1" applyFont="1">
      <alignment horizontal="center"/>
    </xf>
    <xf borderId="39" fillId="0" fontId="2" numFmtId="0" xfId="0" applyBorder="1" applyFont="1"/>
    <xf borderId="40" fillId="0" fontId="2" numFmtId="0" xfId="0" applyBorder="1" applyFont="1"/>
    <xf borderId="37" fillId="6" fontId="1" numFmtId="0" xfId="0" applyBorder="1" applyFont="1"/>
    <xf borderId="37" fillId="6" fontId="10" numFmtId="0" xfId="0" applyBorder="1" applyFont="1"/>
    <xf borderId="38" fillId="6" fontId="1" numFmtId="9" xfId="0" applyAlignment="1" applyBorder="1" applyFont="1" applyNumberFormat="1">
      <alignment horizontal="center"/>
    </xf>
    <xf borderId="37" fillId="7" fontId="4" numFmtId="4" xfId="0" applyAlignment="1" applyBorder="1" applyFont="1" applyNumberFormat="1">
      <alignment horizontal="center"/>
    </xf>
    <xf borderId="0" fillId="0" fontId="3" numFmtId="14" xfId="0" applyFont="1" applyNumberFormat="1"/>
    <xf borderId="26" fillId="4" fontId="3" numFmtId="0" xfId="0" applyAlignment="1" applyBorder="1" applyFont="1">
      <alignment horizontal="center"/>
    </xf>
    <xf borderId="24" fillId="4" fontId="3" numFmtId="14" xfId="0" applyAlignment="1" applyBorder="1" applyFont="1" applyNumberFormat="1">
      <alignment horizontal="center"/>
    </xf>
    <xf borderId="24" fillId="4" fontId="4" numFmtId="10" xfId="0" applyAlignment="1" applyBorder="1" applyFont="1" applyNumberFormat="1">
      <alignment horizontal="center"/>
    </xf>
    <xf borderId="24" fillId="0" fontId="4" numFmtId="10" xfId="0" applyAlignment="1" applyBorder="1" applyFont="1" applyNumberFormat="1">
      <alignment horizontal="center"/>
    </xf>
    <xf borderId="24" fillId="5" fontId="4" numFmtId="10" xfId="0" applyAlignment="1" applyBorder="1" applyFont="1" applyNumberFormat="1">
      <alignment horizontal="center"/>
    </xf>
    <xf borderId="25" fillId="0" fontId="4" numFmtId="10" xfId="0" applyAlignment="1" applyBorder="1" applyFont="1" applyNumberFormat="1">
      <alignment horizontal="center"/>
    </xf>
    <xf borderId="28" fillId="0" fontId="4" numFmtId="10" xfId="0" applyAlignment="1" applyBorder="1" applyFont="1" applyNumberFormat="1">
      <alignment horizontal="center"/>
    </xf>
    <xf borderId="28" fillId="4" fontId="4" numFmtId="4" xfId="0" applyAlignment="1" applyBorder="1" applyFont="1" applyNumberFormat="1">
      <alignment horizontal="center"/>
    </xf>
    <xf borderId="23" fillId="0" fontId="4" numFmtId="10" xfId="0" applyAlignment="1" applyBorder="1" applyFont="1" applyNumberFormat="1">
      <alignment horizontal="center"/>
    </xf>
    <xf borderId="30" fillId="0" fontId="3" numFmtId="14" xfId="0" applyAlignment="1" applyBorder="1" applyFont="1" applyNumberFormat="1">
      <alignment horizontal="center"/>
    </xf>
    <xf borderId="30" fillId="0" fontId="3" numFmtId="0" xfId="0" applyBorder="1" applyFont="1"/>
    <xf borderId="30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41" fillId="0" fontId="3" numFmtId="4" xfId="0" applyAlignment="1" applyBorder="1" applyFont="1" applyNumberFormat="1">
      <alignment horizontal="center"/>
    </xf>
    <xf borderId="26" fillId="5" fontId="3" numFmtId="0" xfId="0" applyAlignment="1" applyBorder="1" applyFont="1">
      <alignment horizontal="center" shrinkToFit="0" vertical="center" wrapText="1"/>
    </xf>
    <xf borderId="24" fillId="5" fontId="3" numFmtId="14" xfId="0" applyAlignment="1" applyBorder="1" applyFont="1" applyNumberFormat="1">
      <alignment horizontal="center" shrinkToFit="0" vertical="center" wrapText="1"/>
    </xf>
    <xf borderId="24" fillId="5" fontId="3" numFmtId="4" xfId="0" applyAlignment="1" applyBorder="1" applyFont="1" applyNumberFormat="1">
      <alignment horizontal="center" shrinkToFit="0" vertical="center" wrapText="1"/>
    </xf>
    <xf borderId="42" fillId="5" fontId="3" numFmtId="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7" fillId="4" fontId="4" numFmtId="0" xfId="0" applyAlignment="1" applyBorder="1" applyFont="1">
      <alignment horizontal="center"/>
    </xf>
    <xf borderId="28" fillId="4" fontId="4" numFmtId="14" xfId="0" applyAlignment="1" applyBorder="1" applyFont="1" applyNumberFormat="1">
      <alignment horizontal="center"/>
    </xf>
    <xf borderId="29" fillId="4" fontId="4" numFmtId="4" xfId="0" applyAlignment="1" applyBorder="1" applyFont="1" applyNumberFormat="1">
      <alignment horizontal="center"/>
    </xf>
    <xf borderId="43" fillId="4" fontId="4" numFmtId="4" xfId="0" applyAlignment="1" applyBorder="1" applyFont="1" applyNumberFormat="1">
      <alignment horizontal="center"/>
    </xf>
    <xf borderId="42" fillId="4" fontId="4" numFmtId="4" xfId="0" applyBorder="1" applyFont="1" applyNumberFormat="1"/>
    <xf borderId="24" fillId="4" fontId="4" numFmtId="4" xfId="0" applyAlignment="1" applyBorder="1" applyFont="1" applyNumberFormat="1">
      <alignment horizontal="center"/>
    </xf>
    <xf borderId="26" fillId="4" fontId="4" numFmtId="4" xfId="0" applyAlignment="1" applyBorder="1" applyFont="1" applyNumberFormat="1">
      <alignment horizontal="center"/>
    </xf>
    <xf borderId="23" fillId="0" fontId="4" numFmtId="4" xfId="0" applyAlignment="1" applyBorder="1" applyFont="1" applyNumberFormat="1">
      <alignment horizontal="center"/>
    </xf>
    <xf borderId="0" fillId="0" fontId="11" numFmtId="0" xfId="0" applyFont="1"/>
    <xf borderId="0" fillId="0" fontId="11" numFmtId="2" xfId="0" applyFont="1" applyNumberFormat="1"/>
    <xf borderId="0" fillId="0" fontId="11" numFmtId="4" xfId="0" applyFont="1" applyNumberFormat="1"/>
    <xf borderId="0" fillId="0" fontId="12" numFmtId="0" xfId="0" applyAlignment="1" applyFont="1">
      <alignment horizontal="center"/>
    </xf>
    <xf borderId="0" fillId="0" fontId="13" numFmtId="0" xfId="0" applyFont="1"/>
    <xf borderId="44" fillId="0" fontId="11" numFmtId="0" xfId="0" applyBorder="1" applyFont="1"/>
    <xf borderId="44" fillId="0" fontId="11" numFmtId="2" xfId="0" applyBorder="1" applyFont="1" applyNumberFormat="1"/>
    <xf borderId="44" fillId="0" fontId="11" numFmtId="4" xfId="0" applyAlignment="1" applyBorder="1" applyFont="1" applyNumberFormat="1">
      <alignment horizontal="right"/>
    </xf>
    <xf borderId="40" fillId="0" fontId="14" numFmtId="0" xfId="0" applyBorder="1" applyFont="1"/>
    <xf borderId="0" fillId="0" fontId="14" numFmtId="2" xfId="0" applyFont="1" applyNumberFormat="1"/>
    <xf borderId="39" fillId="0" fontId="14" numFmtId="0" xfId="0" applyBorder="1" applyFont="1"/>
    <xf borderId="0" fillId="0" fontId="14" numFmtId="0" xfId="0" applyFont="1"/>
    <xf borderId="0" fillId="0" fontId="14" numFmtId="4" xfId="0" applyFont="1" applyNumberFormat="1"/>
    <xf borderId="0" fillId="0" fontId="15" numFmtId="0" xfId="0" applyFont="1"/>
    <xf borderId="0" fillId="0" fontId="14" numFmtId="0" xfId="0" applyAlignment="1" applyFont="1">
      <alignment horizontal="center"/>
    </xf>
    <xf borderId="39" fillId="0" fontId="14" numFmtId="0" xfId="0" applyAlignment="1" applyBorder="1" applyFont="1">
      <alignment horizontal="center"/>
    </xf>
    <xf borderId="39" fillId="0" fontId="14" numFmtId="2" xfId="0" applyAlignment="1" applyBorder="1" applyFont="1" applyNumberFormat="1">
      <alignment horizontal="center"/>
    </xf>
    <xf borderId="34" fillId="0" fontId="14" numFmtId="0" xfId="0" applyAlignment="1" applyBorder="1" applyFont="1">
      <alignment horizontal="center"/>
    </xf>
    <xf borderId="30" fillId="0" fontId="14" numFmtId="2" xfId="0" applyAlignment="1" applyBorder="1" applyFont="1" applyNumberFormat="1">
      <alignment horizontal="center"/>
    </xf>
    <xf borderId="33" fillId="0" fontId="14" numFmtId="0" xfId="0" applyAlignment="1" applyBorder="1" applyFont="1">
      <alignment horizontal="center"/>
    </xf>
    <xf borderId="0" fillId="0" fontId="14" numFmtId="49" xfId="0" applyAlignment="1" applyFont="1" applyNumberFormat="1">
      <alignment horizontal="center"/>
    </xf>
    <xf borderId="45" fillId="0" fontId="14" numFmtId="0" xfId="0" applyAlignment="1" applyBorder="1" applyFont="1">
      <alignment horizontal="center"/>
    </xf>
    <xf borderId="45" fillId="0" fontId="14" numFmtId="2" xfId="0" applyAlignment="1" applyBorder="1" applyFont="1" applyNumberFormat="1">
      <alignment horizontal="center"/>
    </xf>
    <xf borderId="18" fillId="0" fontId="14" numFmtId="0" xfId="0" applyAlignment="1" applyBorder="1" applyFont="1">
      <alignment horizontal="center"/>
    </xf>
    <xf borderId="46" fillId="0" fontId="14" numFmtId="0" xfId="0" applyAlignment="1" applyBorder="1" applyFont="1">
      <alignment horizontal="center"/>
    </xf>
    <xf borderId="46" fillId="0" fontId="14" numFmtId="4" xfId="0" applyAlignment="1" applyBorder="1" applyFont="1" applyNumberFormat="1">
      <alignment horizontal="center"/>
    </xf>
    <xf borderId="40" fillId="0" fontId="16" numFmtId="0" xfId="0" applyAlignment="1" applyBorder="1" applyFont="1">
      <alignment horizontal="center"/>
    </xf>
    <xf borderId="40" fillId="0" fontId="16" numFmtId="2" xfId="0" applyAlignment="1" applyBorder="1" applyFont="1" applyNumberFormat="1">
      <alignment horizontal="center"/>
    </xf>
    <xf borderId="0" fillId="0" fontId="16" numFmtId="0" xfId="0" applyAlignment="1" applyFont="1">
      <alignment horizontal="center"/>
    </xf>
    <xf borderId="39" fillId="0" fontId="16" numFmtId="0" xfId="0" applyAlignment="1" applyBorder="1" applyFont="1">
      <alignment horizontal="center"/>
    </xf>
    <xf borderId="39" fillId="0" fontId="16" numFmtId="4" xfId="0" applyAlignment="1" applyBorder="1" applyFont="1" applyNumberFormat="1">
      <alignment horizontal="center"/>
    </xf>
    <xf borderId="39" fillId="0" fontId="11" numFmtId="0" xfId="0" applyAlignment="1" applyBorder="1" applyFont="1">
      <alignment horizontal="center"/>
    </xf>
    <xf borderId="39" fillId="0" fontId="11" numFmtId="2" xfId="0" applyAlignment="1" applyBorder="1" applyFont="1" applyNumberFormat="1">
      <alignment horizontal="right"/>
    </xf>
    <xf borderId="39" fillId="0" fontId="11" numFmtId="4" xfId="0" applyAlignment="1" applyBorder="1" applyFont="1" applyNumberFormat="1">
      <alignment horizontal="right"/>
    </xf>
    <xf borderId="40" fillId="0" fontId="11" numFmtId="0" xfId="0" applyBorder="1" applyFont="1"/>
    <xf borderId="40" fillId="0" fontId="16" numFmtId="2" xfId="0" applyAlignment="1" applyBorder="1" applyFont="1" applyNumberFormat="1">
      <alignment horizontal="right"/>
    </xf>
    <xf borderId="0" fillId="0" fontId="16" numFmtId="0" xfId="0" applyAlignment="1" applyFont="1">
      <alignment horizontal="right"/>
    </xf>
    <xf borderId="39" fillId="0" fontId="16" numFmtId="0" xfId="0" applyAlignment="1" applyBorder="1" applyFont="1">
      <alignment horizontal="right"/>
    </xf>
    <xf borderId="39" fillId="0" fontId="16" numFmtId="4" xfId="0" applyAlignment="1" applyBorder="1" applyFont="1" applyNumberFormat="1">
      <alignment horizontal="right"/>
    </xf>
    <xf borderId="40" fillId="0" fontId="11" numFmtId="0" xfId="0" applyAlignment="1" applyBorder="1" applyFont="1">
      <alignment horizontal="center"/>
    </xf>
    <xf borderId="40" fillId="0" fontId="11" numFmtId="2" xfId="0" applyAlignment="1" applyBorder="1" applyFont="1" applyNumberFormat="1">
      <alignment horizontal="right"/>
    </xf>
    <xf borderId="0" fillId="0" fontId="11" numFmtId="4" xfId="0" applyAlignment="1" applyFont="1" applyNumberFormat="1">
      <alignment horizontal="right"/>
    </xf>
    <xf borderId="0" fillId="0" fontId="16" numFmtId="2" xfId="0" applyAlignment="1" applyFont="1" applyNumberFormat="1">
      <alignment horizontal="right"/>
    </xf>
    <xf borderId="39" fillId="0" fontId="11" numFmtId="0" xfId="0" applyAlignment="1" applyBorder="1" applyFont="1">
      <alignment horizontal="right"/>
    </xf>
    <xf borderId="30" fillId="0" fontId="11" numFmtId="2" xfId="0" applyAlignment="1" applyBorder="1" applyFont="1" applyNumberFormat="1">
      <alignment horizontal="right"/>
    </xf>
    <xf borderId="47" fillId="0" fontId="11" numFmtId="0" xfId="0" applyBorder="1" applyFont="1"/>
    <xf borderId="47" fillId="0" fontId="11" numFmtId="0" xfId="0" applyAlignment="1" applyBorder="1" applyFont="1">
      <alignment horizontal="center"/>
    </xf>
    <xf borderId="47" fillId="0" fontId="11" numFmtId="2" xfId="0" applyAlignment="1" applyBorder="1" applyFont="1" applyNumberFormat="1">
      <alignment horizontal="right"/>
    </xf>
    <xf borderId="48" fillId="0" fontId="11" numFmtId="4" xfId="0" applyAlignment="1" applyBorder="1" applyFont="1" applyNumberFormat="1">
      <alignment horizontal="right"/>
    </xf>
    <xf borderId="0" fillId="0" fontId="11" numFmtId="0" xfId="0" applyAlignment="1" applyFont="1">
      <alignment horizontal="center"/>
    </xf>
    <xf borderId="0" fillId="0" fontId="11" numFmtId="2" xfId="0" applyAlignment="1" applyFont="1" applyNumberFormat="1">
      <alignment horizontal="right"/>
    </xf>
    <xf borderId="0" fillId="0" fontId="17" numFmtId="0" xfId="0" applyAlignment="1" applyFont="1">
      <alignment horizontal="center"/>
    </xf>
    <xf borderId="30" fillId="0" fontId="11" numFmtId="0" xfId="0" applyAlignment="1" applyBorder="1" applyFont="1">
      <alignment horizontal="center"/>
    </xf>
    <xf borderId="40" fillId="0" fontId="11" numFmtId="0" xfId="0" applyAlignment="1" applyBorder="1" applyFont="1">
      <alignment horizontal="right"/>
    </xf>
    <xf borderId="30" fillId="0" fontId="11" numFmtId="49" xfId="0" applyAlignment="1" applyBorder="1" applyFont="1" applyNumberFormat="1">
      <alignment horizontal="right"/>
    </xf>
    <xf borderId="0" fillId="0" fontId="11" numFmtId="0" xfId="0" applyAlignment="1" applyFont="1">
      <alignment horizontal="right"/>
    </xf>
    <xf borderId="48" fillId="0" fontId="11" numFmtId="0" xfId="0" applyAlignment="1" applyBorder="1" applyFont="1">
      <alignment horizontal="center"/>
    </xf>
    <xf borderId="49" fillId="0" fontId="11" numFmtId="2" xfId="0" applyAlignment="1" applyBorder="1" applyFont="1" applyNumberFormat="1">
      <alignment horizontal="right"/>
    </xf>
    <xf borderId="0" fillId="0" fontId="16" numFmtId="49" xfId="0" applyAlignment="1" applyFont="1" applyNumberFormat="1">
      <alignment horizontal="center"/>
    </xf>
    <xf borderId="40" fillId="0" fontId="16" numFmtId="49" xfId="0" applyAlignment="1" applyBorder="1" applyFont="1" applyNumberFormat="1">
      <alignment horizontal="center"/>
    </xf>
    <xf borderId="40" fillId="0" fontId="16" numFmtId="0" xfId="0" applyBorder="1" applyFont="1"/>
    <xf borderId="44" fillId="0" fontId="16" numFmtId="49" xfId="0" applyAlignment="1" applyBorder="1" applyFont="1" applyNumberFormat="1">
      <alignment horizontal="center"/>
    </xf>
    <xf borderId="49" fillId="0" fontId="11" numFmtId="0" xfId="0" applyAlignment="1" applyBorder="1" applyFont="1">
      <alignment horizontal="center"/>
    </xf>
    <xf borderId="0" fillId="0" fontId="16" numFmtId="0" xfId="0" applyFont="1"/>
    <xf borderId="47" fillId="0" fontId="16" numFmtId="0" xfId="0" applyAlignment="1" applyBorder="1" applyFont="1">
      <alignment horizontal="center"/>
    </xf>
    <xf borderId="44" fillId="0" fontId="11" numFmtId="0" xfId="0" applyAlignment="1" applyBorder="1" applyFont="1">
      <alignment horizontal="center"/>
    </xf>
    <xf borderId="48" fillId="0" fontId="11" numFmtId="2" xfId="0" applyAlignment="1" applyBorder="1" applyFont="1" applyNumberFormat="1">
      <alignment horizontal="right"/>
    </xf>
    <xf borderId="37" fillId="4" fontId="16" numFmtId="49" xfId="0" applyAlignment="1" applyBorder="1" applyFont="1" applyNumberFormat="1">
      <alignment horizontal="center"/>
    </xf>
    <xf borderId="50" fillId="4" fontId="11" numFmtId="0" xfId="0" applyAlignment="1" applyBorder="1" applyFont="1">
      <alignment horizontal="center"/>
    </xf>
    <xf borderId="51" fillId="4" fontId="11" numFmtId="2" xfId="0" applyAlignment="1" applyBorder="1" applyFont="1" applyNumberFormat="1">
      <alignment horizontal="right"/>
    </xf>
    <xf borderId="50" fillId="4" fontId="11" numFmtId="2" xfId="0" applyAlignment="1" applyBorder="1" applyFont="1" applyNumberFormat="1">
      <alignment horizontal="right"/>
    </xf>
    <xf borderId="37" fillId="4" fontId="11" numFmtId="4" xfId="0" applyAlignment="1" applyBorder="1" applyFont="1" applyNumberFormat="1">
      <alignment horizontal="right"/>
    </xf>
    <xf borderId="52" fillId="0" fontId="11" numFmtId="0" xfId="0" applyBorder="1" applyFont="1"/>
    <xf borderId="52" fillId="0" fontId="11" numFmtId="0" xfId="0" applyAlignment="1" applyBorder="1" applyFont="1">
      <alignment horizontal="center"/>
    </xf>
    <xf borderId="52" fillId="0" fontId="11" numFmtId="2" xfId="0" applyAlignment="1" applyBorder="1" applyFont="1" applyNumberFormat="1">
      <alignment horizontal="right"/>
    </xf>
    <xf borderId="52" fillId="0" fontId="11" numFmtId="4" xfId="0" applyAlignment="1" applyBorder="1" applyFont="1" applyNumberFormat="1">
      <alignment horizontal="right"/>
    </xf>
    <xf borderId="47" fillId="0" fontId="16" numFmtId="0" xfId="0" applyBorder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2D3041"/>
          <bgColor rgb="FF2D3041"/>
        </patternFill>
      </fill>
      <border/>
    </dxf>
  </dxfs>
  <tableStyles count="5">
    <tableStyle count="3" pivot="0" name="AP01-style">
      <tableStyleElement dxfId="1" type="headerRow"/>
      <tableStyleElement type="firstRowStripe"/>
      <tableStyleElement type="secondRowStripe"/>
    </tableStyle>
    <tableStyle count="3" pivot="0" name="AP02-style">
      <tableStyleElement dxfId="1" type="headerRow"/>
      <tableStyleElement type="firstRowStripe"/>
      <tableStyleElement type="secondRowStripe"/>
    </tableStyle>
    <tableStyle count="3" pivot="0" name="AP03-style">
      <tableStyleElement dxfId="1" type="headerRow"/>
      <tableStyleElement type="firstRowStripe"/>
      <tableStyleElement type="secondRowStripe"/>
    </tableStyle>
    <tableStyle count="3" pivot="0" name="AP04-style">
      <tableStyleElement dxfId="1" type="headerRow"/>
      <tableStyleElement type="firstRowStripe"/>
      <tableStyleElement type="secondRowStripe"/>
    </tableStyle>
    <tableStyle count="3" pivot="0" name="AP05-style">
      <tableStyleElement dxfId="1" type="headerRow"/>
      <tableStyleElement type="firstRowStripe"/>
      <tableStyleElement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3:U374" displayName="Table_1" name="Table_1" id="1">
  <tableColumns count="21">
    <tableColumn name="Qtde" id="1"/>
    <tableColumn name="Data Vencimento" id="2"/>
    <tableColumn name="Taxa Efetiva a.a." id="3"/>
    <tableColumn name="Taxa Efetiva a.m." id="4"/>
    <tableColumn name="Prestação (a+j)" id="5"/>
    <tableColumn name="Juros" id="6"/>
    <tableColumn name="Amortização" id="7"/>
    <tableColumn name="Seguro MIP" id="8"/>
    <tableColumn name="Seguro DFI" id="9"/>
    <tableColumn name="TCA" id="10"/>
    <tableColumn name="Multa" id="11"/>
    <tableColumn name="Mora" id="12"/>
    <tableColumn name="Total da Parcela" id="13"/>
    <tableColumn name="Correção Monetária" id="14"/>
    <tableColumn name="Saldo Devedor" id="15"/>
    <tableColumn name="Índice Correção" id="16"/>
    <tableColumn name="Valor Garantia" id="17"/>
    <tableColumn name="Idade" id="18"/>
    <tableColumn name="% MIP" id="19"/>
    <tableColumn name="Seguro DFI2" id="20"/>
    <tableColumn name="Seguro MIP2" id="21"/>
  </tableColumns>
  <tableStyleInfo name="AP01-style" showColumnStripes="0" showFirstColumn="1" showLastColumn="1" showRowStripes="1"/>
</table>
</file>

<file path=xl/tables/table2.xml><?xml version="1.0" encoding="utf-8"?>
<table xmlns="http://schemas.openxmlformats.org/spreadsheetml/2006/main" ref="A13:P374" displayName="Table_2" name="Table_2" id="2">
  <tableColumns count="16">
    <tableColumn name="Qtde" id="1"/>
    <tableColumn name="Data Vencimento" id="2"/>
    <tableColumn name="Taxa Efetiva a.a." id="3"/>
    <tableColumn name="Taxa Efetiva a.m." id="4"/>
    <tableColumn name="Prestação (a+j)" id="5"/>
    <tableColumn name="Juros" id="6"/>
    <tableColumn name="Amortização" id="7"/>
    <tableColumn name="Seguro MIP" id="8"/>
    <tableColumn name="Seguro DFI" id="9"/>
    <tableColumn name="TCA" id="10"/>
    <tableColumn name="Multa" id="11"/>
    <tableColumn name="Mora" id="12"/>
    <tableColumn name="Total da Parcela Devida" id="13"/>
    <tableColumn name="Correção Monetária" id="14"/>
    <tableColumn name="Saldo Devedor" id="15"/>
    <tableColumn name="Índice Correção" id="16"/>
  </tableColumns>
  <tableStyleInfo name="AP02-style" showColumnStripes="0" showFirstColumn="1" showLastColumn="1" showRowStripes="1"/>
</table>
</file>

<file path=xl/tables/table3.xml><?xml version="1.0" encoding="utf-8"?>
<table xmlns="http://schemas.openxmlformats.org/spreadsheetml/2006/main" ref="A6:G367" displayName="Table_3" name="Table_3" id="3">
  <tableColumns count="7">
    <tableColumn name="Qtde" id="1"/>
    <tableColumn name="Data Vencimento" id="2"/>
    <tableColumn name="Situação da Parcela" id="3"/>
    <tableColumn name="Valor Pago / Prestação Cobrada" id="4"/>
    <tableColumn name="Valor Devido / Prestação Devida" id="5"/>
    <tableColumn name="Diferença Mensal" id="6"/>
    <tableColumn name="TOTAL NOMINAL A RESTITUIR" id="7"/>
  </tableColumns>
  <tableStyleInfo name="AP03-style" showColumnStripes="0" showFirstColumn="1" showLastColumn="1" showRowStripes="1"/>
</table>
</file>

<file path=xl/tables/table4.xml><?xml version="1.0" encoding="utf-8"?>
<table xmlns="http://schemas.openxmlformats.org/spreadsheetml/2006/main" ref="A13:R374" displayName="Table_4" name="Table_4" id="4">
  <tableColumns count="18">
    <tableColumn name="Qtde" id="1"/>
    <tableColumn name="Data Vencimento" id="2"/>
    <tableColumn name="Taxa Efetiva a.a." id="3"/>
    <tableColumn name="Taxa Efetiva a.m." id="4"/>
    <tableColumn name="Prestação (a+j)" id="5"/>
    <tableColumn name="Juros" id="6"/>
    <tableColumn name="(1) Amortização" id="7"/>
    <tableColumn name="Seguro MIP" id="8"/>
    <tableColumn name="Seguro DFI" id="9"/>
    <tableColumn name="TCA" id="10"/>
    <tableColumn name="Multa" id="11"/>
    <tableColumn name="Mora" id="12"/>
    <tableColumn name="(2) Valor Pago" id="13"/>
    <tableColumn name="(3) Total da Parcela Devida" id="14"/>
    <tableColumn name="(4) Diferença a Compensar [2-3]" id="15"/>
    <tableColumn name="Correção Monetária" id="16"/>
    <tableColumn name="(5) Saldo Devedor [(5*TR)-1-4*2]" id="17"/>
    <tableColumn name="Índice Correção" id="18"/>
  </tableColumns>
  <tableStyleInfo name="AP04-style" showColumnStripes="0" showFirstColumn="1" showLastColumn="1" showRowStripes="1"/>
</table>
</file>

<file path=xl/tables/table5.xml><?xml version="1.0" encoding="utf-8"?>
<table xmlns="http://schemas.openxmlformats.org/spreadsheetml/2006/main" ref="A13:R374" displayName="Table_5" name="Table_5" id="5">
  <tableColumns count="18">
    <tableColumn name="Qtde" id="1"/>
    <tableColumn name="Data Vencimento" id="2"/>
    <tableColumn name="Taxa Efetiva a.a." id="3"/>
    <tableColumn name="Taxa Efetiva a.m." id="4"/>
    <tableColumn name="Prestação (a+j)" id="5"/>
    <tableColumn name="Juros" id="6"/>
    <tableColumn name="(1) Amortização" id="7"/>
    <tableColumn name="Seguro MIP" id="8"/>
    <tableColumn name="Seguro DFI" id="9"/>
    <tableColumn name="TCA" id="10"/>
    <tableColumn name="Multa" id="11"/>
    <tableColumn name="Mora" id="12"/>
    <tableColumn name="(2) Valor Pago" id="13"/>
    <tableColumn name="(3) Total da Parcela Devida" id="14"/>
    <tableColumn name="(4) Diferença a Compensar [2-3]" id="15"/>
    <tableColumn name="Correção Monetária" id="16"/>
    <tableColumn name="(5) Saldo Devedor [(5*TR)-1-4]" id="17"/>
    <tableColumn name="Índice Correção" id="18"/>
  </tableColumns>
  <tableStyleInfo name="AP0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3.43"/>
    <col customWidth="1" min="3" max="3" width="12.14"/>
    <col customWidth="1" min="4" max="4" width="12.57"/>
    <col customWidth="1" min="5" max="5" width="11.14"/>
    <col customWidth="1" min="6" max="6" width="10.71"/>
    <col customWidth="1" min="7" max="7" width="13.57"/>
    <col customWidth="1" min="8" max="8" width="8.43"/>
    <col customWidth="1" min="9" max="9" width="10.14"/>
    <col customWidth="1" min="10" max="10" width="6.86"/>
    <col customWidth="1" min="11" max="11" width="7.14"/>
    <col customWidth="1" min="12" max="12" width="8.14"/>
    <col customWidth="1" min="13" max="13" width="9.86"/>
    <col customWidth="1" min="14" max="14" width="11.43"/>
    <col customWidth="1" min="15" max="15" width="12.71"/>
    <col customWidth="1" min="16" max="16" width="10.86"/>
    <col customWidth="1" min="17" max="17" width="12.29"/>
    <col customWidth="1" min="18" max="18" width="11.29"/>
    <col customWidth="1" min="19" max="19" width="13.0"/>
    <col customWidth="1" min="20" max="21" width="9.14"/>
    <col customWidth="1" min="22" max="22" width="12.43"/>
    <col customWidth="1" min="23" max="23" width="10.14"/>
    <col customWidth="1" min="24" max="24" width="12.71"/>
    <col customWidth="1" min="25" max="25" width="9.14"/>
    <col customWidth="1" min="26" max="26" width="11.43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</v>
      </c>
      <c r="B3" s="6"/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 t="s">
        <v>2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1" t="s">
        <v>3</v>
      </c>
      <c r="B5" s="12"/>
      <c r="C5" s="12"/>
      <c r="D5" s="13">
        <v>432000.0</v>
      </c>
      <c r="E5" s="14"/>
      <c r="F5" s="12" t="s">
        <v>4</v>
      </c>
      <c r="G5" s="14"/>
      <c r="H5" s="14"/>
      <c r="I5" s="15">
        <v>360.0</v>
      </c>
      <c r="J5" s="4"/>
      <c r="K5" s="4"/>
      <c r="L5" s="4"/>
      <c r="M5" s="4"/>
      <c r="N5" s="4"/>
      <c r="O5" s="4"/>
      <c r="P5" s="16"/>
      <c r="Q5" s="4"/>
      <c r="R5" s="4"/>
      <c r="S5" s="4"/>
      <c r="T5" s="4"/>
      <c r="U5" s="4"/>
      <c r="V5" s="4"/>
      <c r="W5" s="4"/>
      <c r="X5" s="17">
        <f>S7</f>
        <v>31402</v>
      </c>
      <c r="Y5" s="4"/>
      <c r="Z5" s="4"/>
    </row>
    <row r="6" ht="18.75" customHeight="1">
      <c r="A6" s="18" t="s">
        <v>5</v>
      </c>
      <c r="B6" s="19"/>
      <c r="C6" s="19"/>
      <c r="D6" s="20">
        <v>129600.0</v>
      </c>
      <c r="E6" s="4"/>
      <c r="F6" s="21" t="s">
        <v>6</v>
      </c>
      <c r="G6" s="4"/>
      <c r="H6" s="4"/>
      <c r="I6" s="22">
        <f>((1+I7)^(1/12))-1</f>
        <v>0.009263183505</v>
      </c>
      <c r="J6" s="4"/>
      <c r="K6" s="4"/>
      <c r="L6" s="4"/>
      <c r="M6" s="4"/>
      <c r="N6" s="4"/>
      <c r="O6" s="4"/>
      <c r="P6" s="23"/>
      <c r="Q6" s="4"/>
      <c r="R6" s="4"/>
      <c r="S6" s="4"/>
      <c r="T6" s="4"/>
      <c r="U6" s="4"/>
      <c r="V6" s="4"/>
      <c r="W6" s="4">
        <v>1.0</v>
      </c>
      <c r="X6" s="17">
        <f t="shared" ref="X6:X34" si="1">EDATE(X5,12)</f>
        <v>31767</v>
      </c>
      <c r="Y6" s="4"/>
      <c r="Z6" s="4"/>
    </row>
    <row r="7" ht="18.75" customHeight="1">
      <c r="A7" s="18" t="s">
        <v>7</v>
      </c>
      <c r="B7" s="19"/>
      <c r="C7" s="19"/>
      <c r="D7" s="20">
        <f>D5-D6</f>
        <v>302400</v>
      </c>
      <c r="E7" s="4"/>
      <c r="F7" s="21" t="s">
        <v>8</v>
      </c>
      <c r="G7" s="4"/>
      <c r="H7" s="4"/>
      <c r="I7" s="22">
        <v>0.117</v>
      </c>
      <c r="J7" s="4"/>
      <c r="K7" s="4"/>
      <c r="L7" s="4"/>
      <c r="M7" s="4"/>
      <c r="N7" s="4"/>
      <c r="O7" s="4"/>
      <c r="P7" s="23"/>
      <c r="Q7" s="4"/>
      <c r="R7" s="24" t="s">
        <v>9</v>
      </c>
      <c r="S7" s="25">
        <v>31402.0</v>
      </c>
      <c r="T7" s="4"/>
      <c r="U7" s="4"/>
      <c r="V7" s="4"/>
      <c r="W7" s="4">
        <f t="shared" ref="W7:W34" si="2">W6+1</f>
        <v>2</v>
      </c>
      <c r="X7" s="17">
        <f t="shared" si="1"/>
        <v>32132</v>
      </c>
      <c r="Y7" s="4"/>
      <c r="Z7" s="4"/>
    </row>
    <row r="8" ht="18.75" customHeight="1">
      <c r="A8" s="18" t="s">
        <v>10</v>
      </c>
      <c r="B8" s="19"/>
      <c r="C8" s="19"/>
      <c r="D8" s="26">
        <v>43241.0</v>
      </c>
      <c r="E8" s="4"/>
      <c r="F8" s="19" t="s">
        <v>11</v>
      </c>
      <c r="G8" s="4"/>
      <c r="H8" s="4"/>
      <c r="I8" s="27">
        <f>((1+I9)^(1/12))-1</f>
        <v>0.005654145387</v>
      </c>
      <c r="J8" s="4"/>
      <c r="K8" s="4"/>
      <c r="L8" s="4"/>
      <c r="M8" s="4"/>
      <c r="N8" s="4"/>
      <c r="O8" s="4"/>
      <c r="P8" s="28"/>
      <c r="Q8" s="4"/>
      <c r="R8" s="4"/>
      <c r="S8" s="4"/>
      <c r="T8" s="4"/>
      <c r="U8" s="4"/>
      <c r="V8" s="4"/>
      <c r="W8" s="4">
        <f t="shared" si="2"/>
        <v>3</v>
      </c>
      <c r="X8" s="17">
        <f t="shared" si="1"/>
        <v>32498</v>
      </c>
      <c r="Y8" s="4"/>
      <c r="Z8" s="4"/>
    </row>
    <row r="9" ht="18.75" customHeight="1">
      <c r="A9" s="18" t="s">
        <v>12</v>
      </c>
      <c r="B9" s="19"/>
      <c r="C9" s="19"/>
      <c r="D9" s="26">
        <v>43272.0</v>
      </c>
      <c r="E9" s="4"/>
      <c r="F9" s="19" t="s">
        <v>13</v>
      </c>
      <c r="G9" s="4"/>
      <c r="H9" s="4"/>
      <c r="I9" s="27">
        <v>0.07</v>
      </c>
      <c r="J9" s="4"/>
      <c r="K9" s="4"/>
      <c r="L9" s="4"/>
      <c r="M9" s="4"/>
      <c r="N9" s="4"/>
      <c r="O9" s="4"/>
      <c r="P9" s="28"/>
      <c r="Q9" s="4"/>
      <c r="R9" s="4"/>
      <c r="S9" s="4"/>
      <c r="T9" s="4"/>
      <c r="U9" s="4"/>
      <c r="V9" s="4"/>
      <c r="W9" s="4">
        <f t="shared" si="2"/>
        <v>4</v>
      </c>
      <c r="X9" s="17">
        <f t="shared" si="1"/>
        <v>32863</v>
      </c>
      <c r="Y9" s="4"/>
      <c r="Z9" s="4"/>
    </row>
    <row r="10" ht="18.75" customHeight="1">
      <c r="A10" s="18" t="s">
        <v>14</v>
      </c>
      <c r="B10" s="19"/>
      <c r="C10" s="19"/>
      <c r="D10" s="16" t="s">
        <v>15</v>
      </c>
      <c r="E10" s="4"/>
      <c r="F10" s="19" t="s">
        <v>16</v>
      </c>
      <c r="G10" s="4"/>
      <c r="H10" s="4"/>
      <c r="I10" s="29">
        <f>(D7/I5)+(D7*I8)</f>
        <v>2549.813565</v>
      </c>
      <c r="J10" s="4"/>
      <c r="K10" s="4"/>
      <c r="L10" s="4"/>
      <c r="M10" s="4"/>
      <c r="N10" s="4"/>
      <c r="O10" s="4"/>
      <c r="P10" s="20"/>
      <c r="Q10" s="4"/>
      <c r="R10" s="30"/>
      <c r="S10" s="4"/>
      <c r="T10" s="4"/>
      <c r="U10" s="4"/>
      <c r="V10" s="4"/>
      <c r="W10" s="4">
        <f t="shared" si="2"/>
        <v>5</v>
      </c>
      <c r="X10" s="17">
        <f t="shared" si="1"/>
        <v>33228</v>
      </c>
      <c r="Y10" s="4"/>
      <c r="Z10" s="4"/>
    </row>
    <row r="11" ht="18.75" customHeight="1">
      <c r="A11" s="31" t="s">
        <v>17</v>
      </c>
      <c r="B11" s="32"/>
      <c r="C11" s="32"/>
      <c r="D11" s="33" t="s">
        <v>18</v>
      </c>
      <c r="E11" s="34"/>
      <c r="F11" s="32" t="s">
        <v>19</v>
      </c>
      <c r="G11" s="34"/>
      <c r="H11" s="34"/>
      <c r="I11" s="35" t="s">
        <v>20</v>
      </c>
      <c r="J11" s="4"/>
      <c r="K11" s="4"/>
      <c r="L11" s="4"/>
      <c r="M11" s="4"/>
      <c r="N11" s="4"/>
      <c r="O11" s="4"/>
      <c r="P11" s="19"/>
      <c r="Q11" s="4"/>
      <c r="R11" s="4"/>
      <c r="S11" s="4"/>
      <c r="T11" s="4"/>
      <c r="U11" s="4"/>
      <c r="V11" s="4"/>
      <c r="W11" s="4">
        <f t="shared" si="2"/>
        <v>6</v>
      </c>
      <c r="X11" s="17">
        <f t="shared" si="1"/>
        <v>33593</v>
      </c>
      <c r="Y11" s="4"/>
      <c r="Z11" s="4"/>
    </row>
    <row r="12" ht="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6"/>
      <c r="P12" s="36"/>
      <c r="Q12" s="4"/>
      <c r="R12" s="4"/>
      <c r="S12" s="4"/>
      <c r="T12" s="4"/>
      <c r="U12" s="4"/>
      <c r="V12" s="4"/>
      <c r="W12" s="4">
        <f t="shared" si="2"/>
        <v>7</v>
      </c>
      <c r="X12" s="17">
        <f t="shared" si="1"/>
        <v>33959</v>
      </c>
      <c r="Y12" s="4"/>
      <c r="Z12" s="4"/>
    </row>
    <row r="13" ht="54.0" customHeight="1">
      <c r="A13" s="37" t="s">
        <v>21</v>
      </c>
      <c r="B13" s="38" t="s">
        <v>22</v>
      </c>
      <c r="C13" s="39" t="s">
        <v>23</v>
      </c>
      <c r="D13" s="39" t="s">
        <v>24</v>
      </c>
      <c r="E13" s="39" t="s">
        <v>25</v>
      </c>
      <c r="F13" s="40" t="s">
        <v>26</v>
      </c>
      <c r="G13" s="40" t="s">
        <v>27</v>
      </c>
      <c r="H13" s="40" t="s">
        <v>28</v>
      </c>
      <c r="I13" s="40" t="s">
        <v>29</v>
      </c>
      <c r="J13" s="40" t="s">
        <v>30</v>
      </c>
      <c r="K13" s="40" t="s">
        <v>31</v>
      </c>
      <c r="L13" s="40" t="s">
        <v>32</v>
      </c>
      <c r="M13" s="40" t="s">
        <v>33</v>
      </c>
      <c r="N13" s="40" t="s">
        <v>34</v>
      </c>
      <c r="O13" s="40" t="s">
        <v>35</v>
      </c>
      <c r="P13" s="40" t="s">
        <v>17</v>
      </c>
      <c r="Q13" s="38" t="s">
        <v>36</v>
      </c>
      <c r="R13" s="38" t="s">
        <v>37</v>
      </c>
      <c r="S13" s="38" t="s">
        <v>38</v>
      </c>
      <c r="T13" s="38" t="s">
        <v>39</v>
      </c>
      <c r="U13" s="38" t="s">
        <v>40</v>
      </c>
      <c r="V13" s="4"/>
      <c r="W13" s="4">
        <f t="shared" si="2"/>
        <v>8</v>
      </c>
      <c r="X13" s="17">
        <f t="shared" si="1"/>
        <v>34324</v>
      </c>
      <c r="Y13" s="4"/>
      <c r="Z13" s="4"/>
    </row>
    <row r="14" ht="18.75" customHeight="1">
      <c r="A14" s="41">
        <v>0.0</v>
      </c>
      <c r="B14" s="42">
        <f t="shared" ref="B14:B15" si="3">D8</f>
        <v>43241</v>
      </c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4"/>
      <c r="N14" s="43"/>
      <c r="O14" s="45">
        <f>D7</f>
        <v>302400</v>
      </c>
      <c r="P14" s="45"/>
      <c r="Q14" s="45">
        <v>432000.0</v>
      </c>
      <c r="R14" s="46">
        <f>DATEDIF($S$7,'AP01'!$B14,"Y")</f>
        <v>32</v>
      </c>
      <c r="S14" s="47">
        <f>VLOOKUP('AP01'!$R14,SEGUROS!$A:$B,2,TRUE)</f>
        <v>0.0001381</v>
      </c>
      <c r="T14" s="45">
        <f>'AP01'!$O14*'AP01'!$S14</f>
        <v>41.76144</v>
      </c>
      <c r="U14" s="45">
        <f>'AP01'!$Q14*0.00899%</f>
        <v>38.8368</v>
      </c>
      <c r="V14" s="48"/>
      <c r="W14" s="4">
        <f t="shared" si="2"/>
        <v>9</v>
      </c>
      <c r="X14" s="17">
        <f t="shared" si="1"/>
        <v>34689</v>
      </c>
      <c r="Y14" s="4"/>
      <c r="Z14" s="4"/>
    </row>
    <row r="15" ht="18.75" customHeight="1">
      <c r="A15" s="49">
        <f t="shared" ref="A15:A374" si="4">A14+1</f>
        <v>1</v>
      </c>
      <c r="B15" s="50">
        <f t="shared" si="3"/>
        <v>43272</v>
      </c>
      <c r="C15" s="47">
        <f>I9</f>
        <v>0.07</v>
      </c>
      <c r="D15" s="47">
        <v>0.005654</v>
      </c>
      <c r="E15" s="51">
        <f>'AP01'!$F15+'AP01'!$G15</f>
        <v>2549.76</v>
      </c>
      <c r="F15" s="51">
        <v>1709.76</v>
      </c>
      <c r="G15" s="51">
        <f>(O14*'AP01'!$P15)/($I$5-A14)</f>
        <v>840</v>
      </c>
      <c r="H15" s="52">
        <v>62.54</v>
      </c>
      <c r="I15" s="52">
        <v>77.66</v>
      </c>
      <c r="J15" s="51">
        <v>25.0</v>
      </c>
      <c r="K15" s="51">
        <v>0.0</v>
      </c>
      <c r="L15" s="51">
        <v>0.0</v>
      </c>
      <c r="M15" s="51">
        <f>SUM('AP01'!$F15:$L15)</f>
        <v>2714.96</v>
      </c>
      <c r="N15" s="51">
        <f>O14*('AP01'!$P15-1)</f>
        <v>0</v>
      </c>
      <c r="O15" s="51">
        <f>(O14*'AP01'!$P15)-'AP01'!$G15</f>
        <v>301560</v>
      </c>
      <c r="P15" s="53">
        <v>1.0</v>
      </c>
      <c r="Q15" s="51">
        <f>(Q14*'AP01'!$P15)</f>
        <v>432000</v>
      </c>
      <c r="R15" s="46">
        <f>DATEDIF($S$7,'AP01'!$B15,"Y")</f>
        <v>32</v>
      </c>
      <c r="S15" s="47">
        <f>VLOOKUP('AP01'!$R15,SEGUROS!$A:$B,2,TRUE)</f>
        <v>0.0001381</v>
      </c>
      <c r="T15" s="51">
        <f>('AP01'!$O15*'AP01'!$P15)*'AP01'!$S15</f>
        <v>41.645436</v>
      </c>
      <c r="U15" s="51">
        <f>'AP01'!$Q15*0.00899%</f>
        <v>38.8368</v>
      </c>
      <c r="V15" s="48"/>
      <c r="W15" s="4">
        <f t="shared" si="2"/>
        <v>10</v>
      </c>
      <c r="X15" s="17">
        <f t="shared" si="1"/>
        <v>35054</v>
      </c>
      <c r="Y15" s="54"/>
      <c r="Z15" s="55">
        <f t="shared" ref="Z15:Z27" si="7">H16/O16</f>
        <v>0.0001037177441</v>
      </c>
    </row>
    <row r="16" ht="18.75" customHeight="1">
      <c r="A16" s="49">
        <f t="shared" si="4"/>
        <v>2</v>
      </c>
      <c r="B16" s="50">
        <f t="shared" ref="B16:B374" si="8">EDATE(B15,1)</f>
        <v>43302</v>
      </c>
      <c r="C16" s="47">
        <f t="shared" ref="C16:D16" si="5">C15</f>
        <v>0.07</v>
      </c>
      <c r="D16" s="47">
        <f t="shared" si="5"/>
        <v>0.005654</v>
      </c>
      <c r="E16" s="51">
        <f>'AP01'!$F16+'AP01'!$G16</f>
        <v>2545.02</v>
      </c>
      <c r="F16" s="51">
        <v>1705.02</v>
      </c>
      <c r="G16" s="51">
        <f>(O15*'AP01'!$P16)/($I$5-A15)</f>
        <v>840</v>
      </c>
      <c r="H16" s="52">
        <v>31.19</v>
      </c>
      <c r="I16" s="52">
        <v>38.83</v>
      </c>
      <c r="J16" s="51">
        <f t="shared" ref="J16:L16" si="6">J15</f>
        <v>25</v>
      </c>
      <c r="K16" s="51">
        <f t="shared" si="6"/>
        <v>0</v>
      </c>
      <c r="L16" s="51">
        <f t="shared" si="6"/>
        <v>0</v>
      </c>
      <c r="M16" s="51">
        <f>SUM('AP01'!$F16:$L16)</f>
        <v>2640.04</v>
      </c>
      <c r="N16" s="51">
        <f>O15*('AP01'!$P16-1)</f>
        <v>0</v>
      </c>
      <c r="O16" s="51">
        <f>(O15*'AP01'!$P16)-'AP01'!$G16</f>
        <v>300720</v>
      </c>
      <c r="P16" s="53">
        <f t="shared" ref="P16:P57" si="11">P15</f>
        <v>1</v>
      </c>
      <c r="Q16" s="51">
        <f>(Q15*'AP01'!$P16)</f>
        <v>432000</v>
      </c>
      <c r="R16" s="46">
        <f>DATEDIF($S$7,'AP01'!$B16,"Y")</f>
        <v>32</v>
      </c>
      <c r="S16" s="47">
        <f>VLOOKUP('AP01'!$R16,SEGUROS!$A:$B,2,TRUE)</f>
        <v>0.0001381</v>
      </c>
      <c r="T16" s="51">
        <f>('AP01'!$O16*'AP01'!$P16)*'AP01'!$S16</f>
        <v>41.529432</v>
      </c>
      <c r="U16" s="51">
        <f>'AP01'!$Q16*0.00899%</f>
        <v>38.8368</v>
      </c>
      <c r="V16" s="48"/>
      <c r="W16" s="4">
        <f t="shared" si="2"/>
        <v>11</v>
      </c>
      <c r="X16" s="17">
        <f t="shared" si="1"/>
        <v>35420</v>
      </c>
      <c r="Y16" s="4"/>
      <c r="Z16" s="55">
        <f t="shared" si="7"/>
        <v>0.0001037081499</v>
      </c>
    </row>
    <row r="17" ht="18.75" customHeight="1">
      <c r="A17" s="49">
        <f t="shared" si="4"/>
        <v>3</v>
      </c>
      <c r="B17" s="50">
        <f t="shared" si="8"/>
        <v>43333</v>
      </c>
      <c r="C17" s="47">
        <f t="shared" ref="C17:D17" si="9">C16</f>
        <v>0.07</v>
      </c>
      <c r="D17" s="47">
        <f t="shared" si="9"/>
        <v>0.005654</v>
      </c>
      <c r="E17" s="51">
        <f>'AP01'!$F17+'AP01'!$G17</f>
        <v>2540.27</v>
      </c>
      <c r="F17" s="51">
        <v>1700.27</v>
      </c>
      <c r="G17" s="51">
        <f>(O16*'AP01'!$P17)/($I$5-A16)</f>
        <v>840</v>
      </c>
      <c r="H17" s="52">
        <v>31.1</v>
      </c>
      <c r="I17" s="52">
        <v>38.83</v>
      </c>
      <c r="J17" s="51">
        <f t="shared" ref="J17:L17" si="10">J16</f>
        <v>25</v>
      </c>
      <c r="K17" s="51">
        <f t="shared" si="10"/>
        <v>0</v>
      </c>
      <c r="L17" s="51">
        <f t="shared" si="10"/>
        <v>0</v>
      </c>
      <c r="M17" s="51">
        <f>SUM('AP01'!$F17:$L17)</f>
        <v>2635.2</v>
      </c>
      <c r="N17" s="51">
        <f>O16*('AP01'!$P17-1)</f>
        <v>0</v>
      </c>
      <c r="O17" s="51">
        <f>(O16*'AP01'!$P17)-'AP01'!$G17</f>
        <v>299880</v>
      </c>
      <c r="P17" s="53">
        <f t="shared" si="11"/>
        <v>1</v>
      </c>
      <c r="Q17" s="51">
        <f>(Q16*'AP01'!$P17)</f>
        <v>432000</v>
      </c>
      <c r="R17" s="46">
        <f>DATEDIF($S$7,'AP01'!$B17,"Y")</f>
        <v>32</v>
      </c>
      <c r="S17" s="47">
        <f>VLOOKUP('AP01'!$R17,SEGUROS!$A:$B,2,TRUE)</f>
        <v>0.0001381</v>
      </c>
      <c r="T17" s="51">
        <f>('AP01'!$O17*'AP01'!$P17)*'AP01'!$S17</f>
        <v>41.413428</v>
      </c>
      <c r="U17" s="51">
        <f>'AP01'!$Q17*0.00899%</f>
        <v>38.8368</v>
      </c>
      <c r="V17" s="48"/>
      <c r="W17" s="4">
        <f t="shared" si="2"/>
        <v>12</v>
      </c>
      <c r="X17" s="17">
        <f t="shared" si="1"/>
        <v>35785</v>
      </c>
      <c r="Y17" s="4"/>
      <c r="Z17" s="55">
        <f t="shared" si="7"/>
        <v>0.0001036985019</v>
      </c>
    </row>
    <row r="18" ht="18.75" customHeight="1">
      <c r="A18" s="49">
        <f t="shared" si="4"/>
        <v>4</v>
      </c>
      <c r="B18" s="50">
        <f t="shared" si="8"/>
        <v>43364</v>
      </c>
      <c r="C18" s="47">
        <f t="shared" ref="C18:D18" si="12">C17</f>
        <v>0.07</v>
      </c>
      <c r="D18" s="47">
        <f t="shared" si="12"/>
        <v>0.005654</v>
      </c>
      <c r="E18" s="51">
        <f>'AP01'!$F18+'AP01'!$G18</f>
        <v>2535.52</v>
      </c>
      <c r="F18" s="51">
        <v>1695.52</v>
      </c>
      <c r="G18" s="51">
        <f>(O17*'AP01'!$P18)/($I$5-A17)</f>
        <v>840</v>
      </c>
      <c r="H18" s="52">
        <v>31.01</v>
      </c>
      <c r="I18" s="52">
        <v>38.83</v>
      </c>
      <c r="J18" s="51">
        <f t="shared" ref="J18:L18" si="13">J17</f>
        <v>25</v>
      </c>
      <c r="K18" s="51">
        <f t="shared" si="13"/>
        <v>0</v>
      </c>
      <c r="L18" s="51">
        <f t="shared" si="13"/>
        <v>0</v>
      </c>
      <c r="M18" s="51">
        <f>SUM('AP01'!$F18:$L18)</f>
        <v>2630.36</v>
      </c>
      <c r="N18" s="51">
        <f>O17*('AP01'!$P18-1)</f>
        <v>0</v>
      </c>
      <c r="O18" s="51">
        <f>(O17*'AP01'!$P18)-'AP01'!$G18</f>
        <v>299040</v>
      </c>
      <c r="P18" s="53">
        <f t="shared" si="11"/>
        <v>1</v>
      </c>
      <c r="Q18" s="51">
        <f>(Q17*'AP01'!$P18)</f>
        <v>432000</v>
      </c>
      <c r="R18" s="46">
        <f>DATEDIF($S$7,'AP01'!$B18,"Y")</f>
        <v>32</v>
      </c>
      <c r="S18" s="47">
        <f>VLOOKUP('AP01'!$R18,SEGUROS!$A:$B,2,TRUE)</f>
        <v>0.0001381</v>
      </c>
      <c r="T18" s="51">
        <f>('AP01'!$O18*'AP01'!$P18)*'AP01'!$S18</f>
        <v>41.297424</v>
      </c>
      <c r="U18" s="51">
        <f>'AP01'!$Q18*0.00899%</f>
        <v>38.8368</v>
      </c>
      <c r="V18" s="48"/>
      <c r="W18" s="4">
        <f t="shared" si="2"/>
        <v>13</v>
      </c>
      <c r="X18" s="17">
        <f t="shared" si="1"/>
        <v>36150</v>
      </c>
      <c r="Y18" s="4"/>
      <c r="Z18" s="55">
        <f t="shared" si="7"/>
        <v>0.0001036887995</v>
      </c>
    </row>
    <row r="19" ht="18.75" customHeight="1">
      <c r="A19" s="49">
        <f t="shared" si="4"/>
        <v>5</v>
      </c>
      <c r="B19" s="50">
        <f t="shared" si="8"/>
        <v>43394</v>
      </c>
      <c r="C19" s="47">
        <f t="shared" ref="C19:D19" si="14">C18</f>
        <v>0.07</v>
      </c>
      <c r="D19" s="47">
        <f t="shared" si="14"/>
        <v>0.005654</v>
      </c>
      <c r="E19" s="51">
        <f>'AP01'!$F19+'AP01'!$G19</f>
        <v>2530.77</v>
      </c>
      <c r="F19" s="51">
        <v>1690.77</v>
      </c>
      <c r="G19" s="51">
        <f>(O18*'AP01'!$P19)/($I$5-A18)</f>
        <v>840</v>
      </c>
      <c r="H19" s="52">
        <v>30.92</v>
      </c>
      <c r="I19" s="52">
        <v>38.83</v>
      </c>
      <c r="J19" s="51">
        <f t="shared" ref="J19:L19" si="15">J18</f>
        <v>25</v>
      </c>
      <c r="K19" s="51">
        <f t="shared" si="15"/>
        <v>0</v>
      </c>
      <c r="L19" s="51">
        <f t="shared" si="15"/>
        <v>0</v>
      </c>
      <c r="M19" s="51">
        <f>SUM('AP01'!$F19:$L19)</f>
        <v>2625.52</v>
      </c>
      <c r="N19" s="51">
        <f>O18*('AP01'!$P19-1)</f>
        <v>0</v>
      </c>
      <c r="O19" s="51">
        <f>(O18*'AP01'!$P19)-'AP01'!$G19</f>
        <v>298200</v>
      </c>
      <c r="P19" s="53">
        <f t="shared" si="11"/>
        <v>1</v>
      </c>
      <c r="Q19" s="51">
        <f>(Q18*'AP01'!$P19)</f>
        <v>432000</v>
      </c>
      <c r="R19" s="46">
        <f>DATEDIF($S$7,'AP01'!$B19,"Y")</f>
        <v>32</v>
      </c>
      <c r="S19" s="47">
        <f>VLOOKUP('AP01'!$R19,SEGUROS!$A:$B,2,TRUE)</f>
        <v>0.0001381</v>
      </c>
      <c r="T19" s="51">
        <f>('AP01'!$O19*'AP01'!$P19)*'AP01'!$S19</f>
        <v>41.18142</v>
      </c>
      <c r="U19" s="51">
        <f>'AP01'!$Q19*0.00899%</f>
        <v>38.8368</v>
      </c>
      <c r="V19" s="48"/>
      <c r="W19" s="4">
        <f t="shared" si="2"/>
        <v>14</v>
      </c>
      <c r="X19" s="17">
        <f t="shared" si="1"/>
        <v>36515</v>
      </c>
      <c r="Y19" s="4"/>
      <c r="Z19" s="55">
        <f t="shared" si="7"/>
        <v>0.0001037126715</v>
      </c>
    </row>
    <row r="20" ht="18.75" customHeight="1">
      <c r="A20" s="49">
        <f t="shared" si="4"/>
        <v>6</v>
      </c>
      <c r="B20" s="50">
        <f t="shared" si="8"/>
        <v>43425</v>
      </c>
      <c r="C20" s="47">
        <f t="shared" ref="C20:D20" si="16">C19</f>
        <v>0.07</v>
      </c>
      <c r="D20" s="47">
        <f t="shared" si="16"/>
        <v>0.005654</v>
      </c>
      <c r="E20" s="51">
        <f>'AP01'!$F20+'AP01'!$G20</f>
        <v>2526.02</v>
      </c>
      <c r="F20" s="51">
        <v>1686.02</v>
      </c>
      <c r="G20" s="51">
        <f>(O19*'AP01'!$P20)/($I$5-A19)</f>
        <v>840</v>
      </c>
      <c r="H20" s="52">
        <v>30.84</v>
      </c>
      <c r="I20" s="52">
        <v>38.83</v>
      </c>
      <c r="J20" s="51">
        <f t="shared" ref="J20:L20" si="17">J19</f>
        <v>25</v>
      </c>
      <c r="K20" s="51">
        <f t="shared" si="17"/>
        <v>0</v>
      </c>
      <c r="L20" s="51">
        <f t="shared" si="17"/>
        <v>0</v>
      </c>
      <c r="M20" s="51">
        <f>SUM('AP01'!$F20:$L20)</f>
        <v>2620.69</v>
      </c>
      <c r="N20" s="51">
        <f>O19*('AP01'!$P20-1)</f>
        <v>0</v>
      </c>
      <c r="O20" s="51">
        <f>(O19*'AP01'!$P20)-'AP01'!$G20</f>
        <v>297360</v>
      </c>
      <c r="P20" s="53">
        <f t="shared" si="11"/>
        <v>1</v>
      </c>
      <c r="Q20" s="51">
        <f>(Q19*'AP01'!$P20)</f>
        <v>432000</v>
      </c>
      <c r="R20" s="46">
        <f>DATEDIF($S$7,'AP01'!$B20,"Y")</f>
        <v>32</v>
      </c>
      <c r="S20" s="47">
        <f>VLOOKUP('AP01'!$R20,SEGUROS!$A:$B,2,TRUE)</f>
        <v>0.0001381</v>
      </c>
      <c r="T20" s="51">
        <f>('AP01'!$O20*'AP01'!$P20)*'AP01'!$S20</f>
        <v>41.065416</v>
      </c>
      <c r="U20" s="51">
        <f>'AP01'!$Q20*0.00899%</f>
        <v>38.8368</v>
      </c>
      <c r="V20" s="4"/>
      <c r="W20" s="4">
        <f t="shared" si="2"/>
        <v>15</v>
      </c>
      <c r="X20" s="17">
        <f t="shared" si="1"/>
        <v>36881</v>
      </c>
      <c r="Y20" s="4"/>
      <c r="Z20" s="55">
        <f t="shared" si="7"/>
        <v>0.0001055915284</v>
      </c>
    </row>
    <row r="21" ht="18.75" customHeight="1">
      <c r="A21" s="49">
        <f t="shared" si="4"/>
        <v>7</v>
      </c>
      <c r="B21" s="50">
        <f t="shared" si="8"/>
        <v>43455</v>
      </c>
      <c r="C21" s="47">
        <f t="shared" ref="C21:D21" si="18">C20</f>
        <v>0.07</v>
      </c>
      <c r="D21" s="47">
        <f t="shared" si="18"/>
        <v>0.005654</v>
      </c>
      <c r="E21" s="51">
        <f>'AP01'!$F21+'AP01'!$G21</f>
        <v>2521.27</v>
      </c>
      <c r="F21" s="51">
        <v>1681.27</v>
      </c>
      <c r="G21" s="51">
        <f>(O20*'AP01'!$P21)/($I$5-A20)</f>
        <v>840</v>
      </c>
      <c r="H21" s="52">
        <v>31.31</v>
      </c>
      <c r="I21" s="52">
        <v>38.83</v>
      </c>
      <c r="J21" s="51">
        <f t="shared" ref="J21:L21" si="19">J20</f>
        <v>25</v>
      </c>
      <c r="K21" s="51">
        <f t="shared" si="19"/>
        <v>0</v>
      </c>
      <c r="L21" s="51">
        <f t="shared" si="19"/>
        <v>0</v>
      </c>
      <c r="M21" s="51">
        <f>SUM('AP01'!$F21:$L21)</f>
        <v>2616.41</v>
      </c>
      <c r="N21" s="51">
        <f>O20*('AP01'!$P21-1)</f>
        <v>0</v>
      </c>
      <c r="O21" s="51">
        <f>(O20*'AP01'!$P21)-'AP01'!$G21</f>
        <v>296520</v>
      </c>
      <c r="P21" s="53">
        <f t="shared" si="11"/>
        <v>1</v>
      </c>
      <c r="Q21" s="51">
        <f>(Q20*'AP01'!$P21)</f>
        <v>432000</v>
      </c>
      <c r="R21" s="46">
        <f>DATEDIF($S$7,'AP01'!$B21,"Y")</f>
        <v>33</v>
      </c>
      <c r="S21" s="47">
        <f>VLOOKUP('AP01'!$R21,SEGUROS!$A:$B,2,TRUE)</f>
        <v>0.0001423</v>
      </c>
      <c r="T21" s="51">
        <f>('AP01'!$O21*'AP01'!$P21)*'AP01'!$S21</f>
        <v>42.194796</v>
      </c>
      <c r="U21" s="51">
        <f>'AP01'!$Q21*0.00899%</f>
        <v>38.8368</v>
      </c>
      <c r="V21" s="4"/>
      <c r="W21" s="4">
        <f t="shared" si="2"/>
        <v>16</v>
      </c>
      <c r="X21" s="17">
        <f t="shared" si="1"/>
        <v>37246</v>
      </c>
      <c r="Y21" s="4"/>
      <c r="Z21" s="55">
        <f t="shared" si="7"/>
        <v>0.0001055871212</v>
      </c>
    </row>
    <row r="22" ht="18.75" customHeight="1">
      <c r="A22" s="49">
        <f t="shared" si="4"/>
        <v>8</v>
      </c>
      <c r="B22" s="50">
        <f t="shared" si="8"/>
        <v>43486</v>
      </c>
      <c r="C22" s="47">
        <f t="shared" ref="C22:D22" si="20">C21</f>
        <v>0.07</v>
      </c>
      <c r="D22" s="47">
        <f t="shared" si="20"/>
        <v>0.005654</v>
      </c>
      <c r="E22" s="51">
        <f>'AP01'!$F22+'AP01'!$G22</f>
        <v>2516.52</v>
      </c>
      <c r="F22" s="51">
        <v>1676.52</v>
      </c>
      <c r="G22" s="51">
        <f>(O21*'AP01'!$P22)/($I$5-A21)</f>
        <v>840</v>
      </c>
      <c r="H22" s="52">
        <v>31.22</v>
      </c>
      <c r="I22" s="52">
        <v>38.83</v>
      </c>
      <c r="J22" s="51">
        <f t="shared" ref="J22:L22" si="21">J21</f>
        <v>25</v>
      </c>
      <c r="K22" s="51">
        <f t="shared" si="21"/>
        <v>0</v>
      </c>
      <c r="L22" s="51">
        <f t="shared" si="21"/>
        <v>0</v>
      </c>
      <c r="M22" s="51">
        <f>SUM('AP01'!$F22:$L22)</f>
        <v>2611.57</v>
      </c>
      <c r="N22" s="51">
        <f>O21*('AP01'!$P22-1)</f>
        <v>0</v>
      </c>
      <c r="O22" s="51">
        <f>(O21*'AP01'!$P22)-'AP01'!$G22</f>
        <v>295680</v>
      </c>
      <c r="P22" s="53">
        <f t="shared" si="11"/>
        <v>1</v>
      </c>
      <c r="Q22" s="51">
        <f>(Q21*'AP01'!$P22)</f>
        <v>432000</v>
      </c>
      <c r="R22" s="46">
        <f>DATEDIF($S$7,'AP01'!$B22,"Y")</f>
        <v>33</v>
      </c>
      <c r="S22" s="47">
        <f>VLOOKUP('AP01'!$R22,SEGUROS!$A:$B,2,TRUE)</f>
        <v>0.0001423</v>
      </c>
      <c r="T22" s="51">
        <f>('AP01'!$O22*'AP01'!$P22)*'AP01'!$S22</f>
        <v>42.075264</v>
      </c>
      <c r="U22" s="51">
        <f>'AP01'!$Q22*0.00899%</f>
        <v>38.8368</v>
      </c>
      <c r="V22" s="4"/>
      <c r="W22" s="4">
        <f t="shared" si="2"/>
        <v>17</v>
      </c>
      <c r="X22" s="17">
        <f t="shared" si="1"/>
        <v>37611</v>
      </c>
      <c r="Y22" s="4"/>
      <c r="Z22" s="55">
        <f t="shared" si="7"/>
        <v>0.0001055826889</v>
      </c>
    </row>
    <row r="23" ht="18.75" customHeight="1">
      <c r="A23" s="49">
        <f t="shared" si="4"/>
        <v>9</v>
      </c>
      <c r="B23" s="50">
        <f t="shared" si="8"/>
        <v>43517</v>
      </c>
      <c r="C23" s="47">
        <f t="shared" ref="C23:D23" si="22">C22</f>
        <v>0.07</v>
      </c>
      <c r="D23" s="47">
        <f t="shared" si="22"/>
        <v>0.005654</v>
      </c>
      <c r="E23" s="51">
        <f>'AP01'!$F23+'AP01'!$G23</f>
        <v>2511.77</v>
      </c>
      <c r="F23" s="51">
        <v>1671.77</v>
      </c>
      <c r="G23" s="51">
        <f>(O22*'AP01'!$P23)/($I$5-A22)</f>
        <v>840</v>
      </c>
      <c r="H23" s="52">
        <v>31.13</v>
      </c>
      <c r="I23" s="52">
        <v>38.83</v>
      </c>
      <c r="J23" s="51">
        <f t="shared" ref="J23:L23" si="23">J22</f>
        <v>25</v>
      </c>
      <c r="K23" s="51">
        <f t="shared" si="23"/>
        <v>0</v>
      </c>
      <c r="L23" s="51">
        <f t="shared" si="23"/>
        <v>0</v>
      </c>
      <c r="M23" s="51">
        <f>SUM('AP01'!$F23:$L23)</f>
        <v>2606.73</v>
      </c>
      <c r="N23" s="51">
        <f>O22*('AP01'!$P23-1)</f>
        <v>0</v>
      </c>
      <c r="O23" s="51">
        <f>(O22*'AP01'!$P23)-'AP01'!$G23</f>
        <v>294840</v>
      </c>
      <c r="P23" s="53">
        <f t="shared" si="11"/>
        <v>1</v>
      </c>
      <c r="Q23" s="51">
        <f>(Q22*'AP01'!$P23)</f>
        <v>432000</v>
      </c>
      <c r="R23" s="46">
        <f>DATEDIF($S$7,'AP01'!$B23,"Y")</f>
        <v>33</v>
      </c>
      <c r="S23" s="47">
        <f>VLOOKUP('AP01'!$R23,SEGUROS!$A:$B,2,TRUE)</f>
        <v>0.0001423</v>
      </c>
      <c r="T23" s="51">
        <f>('AP01'!$O23*'AP01'!$P23)*'AP01'!$S23</f>
        <v>41.955732</v>
      </c>
      <c r="U23" s="51">
        <f>'AP01'!$Q23*0.00899%</f>
        <v>38.8368</v>
      </c>
      <c r="V23" s="4"/>
      <c r="W23" s="4">
        <f t="shared" si="2"/>
        <v>18</v>
      </c>
      <c r="X23" s="17">
        <f t="shared" si="1"/>
        <v>37976</v>
      </c>
      <c r="Y23" s="4"/>
      <c r="Z23" s="55">
        <f t="shared" si="7"/>
        <v>0.0001055782313</v>
      </c>
    </row>
    <row r="24" ht="18.75" customHeight="1">
      <c r="A24" s="49">
        <f t="shared" si="4"/>
        <v>10</v>
      </c>
      <c r="B24" s="50">
        <f t="shared" si="8"/>
        <v>43545</v>
      </c>
      <c r="C24" s="47">
        <f t="shared" ref="C24:D24" si="24">C23</f>
        <v>0.07</v>
      </c>
      <c r="D24" s="47">
        <f t="shared" si="24"/>
        <v>0.005654</v>
      </c>
      <c r="E24" s="51">
        <f>'AP01'!$F24+'AP01'!$G24</f>
        <v>2507.02</v>
      </c>
      <c r="F24" s="51">
        <v>1667.02</v>
      </c>
      <c r="G24" s="51">
        <f>(O23*'AP01'!$P24)/($I$5-A23)</f>
        <v>840</v>
      </c>
      <c r="H24" s="52">
        <v>31.04</v>
      </c>
      <c r="I24" s="52">
        <v>38.83</v>
      </c>
      <c r="J24" s="51">
        <f t="shared" ref="J24:L24" si="25">J23</f>
        <v>25</v>
      </c>
      <c r="K24" s="51">
        <f t="shared" si="25"/>
        <v>0</v>
      </c>
      <c r="L24" s="51">
        <f t="shared" si="25"/>
        <v>0</v>
      </c>
      <c r="M24" s="51">
        <f>SUM('AP01'!$F24:$L24)</f>
        <v>2601.89</v>
      </c>
      <c r="N24" s="51">
        <f>O23*('AP01'!$P24-1)</f>
        <v>0</v>
      </c>
      <c r="O24" s="51">
        <f>(O23*'AP01'!$P24)-'AP01'!$G24</f>
        <v>294000</v>
      </c>
      <c r="P24" s="53">
        <f t="shared" si="11"/>
        <v>1</v>
      </c>
      <c r="Q24" s="51">
        <f>(Q23*'AP01'!$P24)</f>
        <v>432000</v>
      </c>
      <c r="R24" s="46">
        <f>DATEDIF($S$7,'AP01'!$B24,"Y")</f>
        <v>33</v>
      </c>
      <c r="S24" s="47">
        <f>VLOOKUP('AP01'!$R24,SEGUROS!$A:$B,2,TRUE)</f>
        <v>0.0001423</v>
      </c>
      <c r="T24" s="51">
        <f>('AP01'!$O24*'AP01'!$P24)*'AP01'!$S24</f>
        <v>41.8362</v>
      </c>
      <c r="U24" s="51">
        <f>'AP01'!$Q24*0.00899%</f>
        <v>38.8368</v>
      </c>
      <c r="V24" s="4"/>
      <c r="W24" s="4">
        <f t="shared" si="2"/>
        <v>19</v>
      </c>
      <c r="X24" s="17">
        <f t="shared" si="1"/>
        <v>38342</v>
      </c>
      <c r="Y24" s="4"/>
      <c r="Z24" s="55">
        <f t="shared" si="7"/>
        <v>0.0001055737481</v>
      </c>
    </row>
    <row r="25" ht="18.75" customHeight="1">
      <c r="A25" s="49">
        <f t="shared" si="4"/>
        <v>11</v>
      </c>
      <c r="B25" s="50">
        <f t="shared" si="8"/>
        <v>43576</v>
      </c>
      <c r="C25" s="47">
        <f t="shared" ref="C25:D25" si="26">C24</f>
        <v>0.07</v>
      </c>
      <c r="D25" s="47">
        <f t="shared" si="26"/>
        <v>0.005654</v>
      </c>
      <c r="E25" s="51">
        <f>'AP01'!$F25+'AP01'!$G25</f>
        <v>2502.27</v>
      </c>
      <c r="F25" s="51">
        <v>1662.27</v>
      </c>
      <c r="G25" s="51">
        <f>(O24*'AP01'!$P25)/($I$5-A24)</f>
        <v>840</v>
      </c>
      <c r="H25" s="52">
        <v>30.95</v>
      </c>
      <c r="I25" s="52">
        <v>38.83</v>
      </c>
      <c r="J25" s="51">
        <f t="shared" ref="J25:L25" si="27">J24</f>
        <v>25</v>
      </c>
      <c r="K25" s="51">
        <f t="shared" si="27"/>
        <v>0</v>
      </c>
      <c r="L25" s="51">
        <f t="shared" si="27"/>
        <v>0</v>
      </c>
      <c r="M25" s="51">
        <f>SUM('AP01'!$F25:$L25)</f>
        <v>2597.05</v>
      </c>
      <c r="N25" s="51">
        <f>O24*('AP01'!$P25-1)</f>
        <v>0</v>
      </c>
      <c r="O25" s="51">
        <f>(O24*'AP01'!$P25)-'AP01'!$G25</f>
        <v>293160</v>
      </c>
      <c r="P25" s="53">
        <f t="shared" si="11"/>
        <v>1</v>
      </c>
      <c r="Q25" s="51">
        <f>(Q24*'AP01'!$P25)</f>
        <v>432000</v>
      </c>
      <c r="R25" s="46">
        <f>DATEDIF($S$7,'AP01'!$B25,"Y")</f>
        <v>33</v>
      </c>
      <c r="S25" s="47">
        <f>VLOOKUP('AP01'!$R25,SEGUROS!$A:$B,2,TRUE)</f>
        <v>0.0001423</v>
      </c>
      <c r="T25" s="51">
        <f>('AP01'!$O25*'AP01'!$P25)*'AP01'!$S25</f>
        <v>41.716668</v>
      </c>
      <c r="U25" s="51">
        <f>'AP01'!$Q25*0.00899%</f>
        <v>38.8368</v>
      </c>
      <c r="V25" s="4"/>
      <c r="W25" s="4">
        <f t="shared" si="2"/>
        <v>20</v>
      </c>
      <c r="X25" s="17">
        <f t="shared" si="1"/>
        <v>38707</v>
      </c>
      <c r="Y25" s="4"/>
      <c r="Z25" s="55">
        <f t="shared" si="7"/>
        <v>0.0001055692392</v>
      </c>
    </row>
    <row r="26" ht="18.75" customHeight="1">
      <c r="A26" s="49">
        <f t="shared" si="4"/>
        <v>12</v>
      </c>
      <c r="B26" s="50">
        <f t="shared" si="8"/>
        <v>43606</v>
      </c>
      <c r="C26" s="47">
        <f t="shared" ref="C26:D26" si="28">C25</f>
        <v>0.07</v>
      </c>
      <c r="D26" s="47">
        <f t="shared" si="28"/>
        <v>0.005654</v>
      </c>
      <c r="E26" s="51">
        <f>'AP01'!$F26+'AP01'!$G26</f>
        <v>2497.52</v>
      </c>
      <c r="F26" s="51">
        <v>1657.52</v>
      </c>
      <c r="G26" s="51">
        <f>(O25*'AP01'!$P26)/($I$5-A25)</f>
        <v>840</v>
      </c>
      <c r="H26" s="52">
        <v>30.86</v>
      </c>
      <c r="I26" s="52">
        <v>38.83</v>
      </c>
      <c r="J26" s="51">
        <f t="shared" ref="J26:L26" si="29">J25</f>
        <v>25</v>
      </c>
      <c r="K26" s="51">
        <f t="shared" si="29"/>
        <v>0</v>
      </c>
      <c r="L26" s="51">
        <f t="shared" si="29"/>
        <v>0</v>
      </c>
      <c r="M26" s="51">
        <f>SUM('AP01'!$F26:$L26)</f>
        <v>2592.21</v>
      </c>
      <c r="N26" s="51">
        <f>O25*('AP01'!$P26-1)</f>
        <v>0</v>
      </c>
      <c r="O26" s="51">
        <f>(O25*'AP01'!$P26)-'AP01'!$G26</f>
        <v>292320</v>
      </c>
      <c r="P26" s="53">
        <f t="shared" si="11"/>
        <v>1</v>
      </c>
      <c r="Q26" s="51">
        <f>(Q25*'AP01'!$P26)</f>
        <v>432000</v>
      </c>
      <c r="R26" s="46">
        <f>DATEDIF($S$7,'AP01'!$B26,"Y")</f>
        <v>33</v>
      </c>
      <c r="S26" s="47">
        <f>VLOOKUP('AP01'!$R26,SEGUROS!$A:$B,2,TRUE)</f>
        <v>0.0001423</v>
      </c>
      <c r="T26" s="51">
        <f>('AP01'!$O26*'AP01'!$P26)*'AP01'!$S26</f>
        <v>41.597136</v>
      </c>
      <c r="U26" s="51">
        <f>'AP01'!$Q26*0.00899%</f>
        <v>38.8368</v>
      </c>
      <c r="V26" s="4"/>
      <c r="W26" s="4">
        <f t="shared" si="2"/>
        <v>21</v>
      </c>
      <c r="X26" s="17">
        <f t="shared" si="1"/>
        <v>39072</v>
      </c>
      <c r="Y26" s="4"/>
      <c r="Z26" s="55">
        <f t="shared" si="7"/>
        <v>0.0001055990119</v>
      </c>
    </row>
    <row r="27" ht="18.75" customHeight="1">
      <c r="A27" s="49">
        <f t="shared" si="4"/>
        <v>13</v>
      </c>
      <c r="B27" s="50">
        <f t="shared" si="8"/>
        <v>43637</v>
      </c>
      <c r="C27" s="47">
        <f t="shared" ref="C27:D27" si="30">C26</f>
        <v>0.07</v>
      </c>
      <c r="D27" s="47">
        <f t="shared" si="30"/>
        <v>0.005654</v>
      </c>
      <c r="E27" s="51">
        <f>'AP01'!$F27+'AP01'!$G27</f>
        <v>2492.77</v>
      </c>
      <c r="F27" s="51">
        <v>1652.77</v>
      </c>
      <c r="G27" s="51">
        <f>(O26*'AP01'!$P27)/($I$5-A26)</f>
        <v>840</v>
      </c>
      <c r="H27" s="52">
        <v>30.78</v>
      </c>
      <c r="I27" s="52">
        <v>38.83</v>
      </c>
      <c r="J27" s="51">
        <f t="shared" ref="J27:L27" si="31">J26</f>
        <v>25</v>
      </c>
      <c r="K27" s="51">
        <f t="shared" si="31"/>
        <v>0</v>
      </c>
      <c r="L27" s="51">
        <f t="shared" si="31"/>
        <v>0</v>
      </c>
      <c r="M27" s="51">
        <f>SUM('AP01'!$F27:$L27)</f>
        <v>2587.38</v>
      </c>
      <c r="N27" s="51">
        <f>O26*('AP01'!$P27-1)</f>
        <v>0</v>
      </c>
      <c r="O27" s="51">
        <f>(O26*'AP01'!$P27)-'AP01'!$G27</f>
        <v>291480</v>
      </c>
      <c r="P27" s="53">
        <f t="shared" si="11"/>
        <v>1</v>
      </c>
      <c r="Q27" s="51">
        <f>(Q26*'AP01'!$P27)</f>
        <v>432000</v>
      </c>
      <c r="R27" s="46">
        <f>DATEDIF($S$7,'AP01'!$B27,"Y")</f>
        <v>33</v>
      </c>
      <c r="S27" s="47">
        <f>VLOOKUP('AP01'!$R27,SEGUROS!$A:$B,2,TRUE)</f>
        <v>0.0001423</v>
      </c>
      <c r="T27" s="51">
        <f>('AP01'!$O27*'AP01'!$P27)*'AP01'!$S27</f>
        <v>41.477604</v>
      </c>
      <c r="U27" s="51">
        <f>'AP01'!$Q27*0.00899%</f>
        <v>38.8368</v>
      </c>
      <c r="V27" s="4"/>
      <c r="W27" s="4">
        <f t="shared" si="2"/>
        <v>22</v>
      </c>
      <c r="X27" s="17">
        <f t="shared" si="1"/>
        <v>39437</v>
      </c>
      <c r="Y27" s="4"/>
      <c r="Z27" s="55">
        <f t="shared" si="7"/>
        <v>0.00010559455</v>
      </c>
    </row>
    <row r="28" ht="18.75" customHeight="1">
      <c r="A28" s="49">
        <f t="shared" si="4"/>
        <v>14</v>
      </c>
      <c r="B28" s="50">
        <f t="shared" si="8"/>
        <v>43667</v>
      </c>
      <c r="C28" s="47">
        <f t="shared" ref="C28:D28" si="32">C27</f>
        <v>0.07</v>
      </c>
      <c r="D28" s="47">
        <f t="shared" si="32"/>
        <v>0.005654</v>
      </c>
      <c r="E28" s="51">
        <f>'AP01'!$F28+'AP01'!$G28</f>
        <v>2488.02</v>
      </c>
      <c r="F28" s="51">
        <v>1648.02</v>
      </c>
      <c r="G28" s="51">
        <f>(O27*'AP01'!$P28)/($I$5-A27)</f>
        <v>840</v>
      </c>
      <c r="H28" s="52">
        <v>30.69</v>
      </c>
      <c r="I28" s="52">
        <v>38.83</v>
      </c>
      <c r="J28" s="51">
        <f t="shared" ref="J28:L28" si="33">J27</f>
        <v>25</v>
      </c>
      <c r="K28" s="51">
        <f t="shared" si="33"/>
        <v>0</v>
      </c>
      <c r="L28" s="51">
        <f t="shared" si="33"/>
        <v>0</v>
      </c>
      <c r="M28" s="51">
        <f>SUM('AP01'!$F28:$L28)</f>
        <v>2582.54</v>
      </c>
      <c r="N28" s="51">
        <f>O27*('AP01'!$P28-1)</f>
        <v>0</v>
      </c>
      <c r="O28" s="51">
        <f>(O27*'AP01'!$P28)-'AP01'!$G28</f>
        <v>290640</v>
      </c>
      <c r="P28" s="53">
        <f t="shared" si="11"/>
        <v>1</v>
      </c>
      <c r="Q28" s="51">
        <f>(Q27*'AP01'!$P28)</f>
        <v>432000</v>
      </c>
      <c r="R28" s="46">
        <f>DATEDIF($S$7,'AP01'!$B28,"Y")</f>
        <v>33</v>
      </c>
      <c r="S28" s="47">
        <f>VLOOKUP('AP01'!$R28,SEGUROS!$A:$B,2,TRUE)</f>
        <v>0.0001423</v>
      </c>
      <c r="T28" s="51">
        <f>('AP01'!$O28*'AP01'!$P28)*'AP01'!$S28</f>
        <v>41.358072</v>
      </c>
      <c r="U28" s="51">
        <f>'AP01'!$Q28*0.00899%</f>
        <v>38.8368</v>
      </c>
      <c r="V28" s="4"/>
      <c r="W28" s="4">
        <f t="shared" si="2"/>
        <v>23</v>
      </c>
      <c r="X28" s="17">
        <f t="shared" si="1"/>
        <v>39803</v>
      </c>
      <c r="Y28" s="4"/>
      <c r="Z28" s="55"/>
    </row>
    <row r="29" ht="18.75" customHeight="1">
      <c r="A29" s="49">
        <f t="shared" si="4"/>
        <v>15</v>
      </c>
      <c r="B29" s="50">
        <f t="shared" si="8"/>
        <v>43698</v>
      </c>
      <c r="C29" s="47">
        <f t="shared" ref="C29:D29" si="34">C28</f>
        <v>0.07</v>
      </c>
      <c r="D29" s="47">
        <f t="shared" si="34"/>
        <v>0.005654</v>
      </c>
      <c r="E29" s="51">
        <f>'AP01'!$F29+'AP01'!$G29</f>
        <v>2483.27</v>
      </c>
      <c r="F29" s="51">
        <v>1643.27</v>
      </c>
      <c r="G29" s="51">
        <f>(O28*'AP01'!$P29)/($I$5-A28)</f>
        <v>840</v>
      </c>
      <c r="H29" s="52">
        <v>30.6</v>
      </c>
      <c r="I29" s="52">
        <v>38.83</v>
      </c>
      <c r="J29" s="51">
        <f t="shared" ref="J29:L29" si="35">J28</f>
        <v>25</v>
      </c>
      <c r="K29" s="51">
        <f t="shared" si="35"/>
        <v>0</v>
      </c>
      <c r="L29" s="51">
        <f t="shared" si="35"/>
        <v>0</v>
      </c>
      <c r="M29" s="51">
        <f>SUM('AP01'!$F29:$L29)</f>
        <v>2577.7</v>
      </c>
      <c r="N29" s="51">
        <f>O28*('AP01'!$P29-1)</f>
        <v>0</v>
      </c>
      <c r="O29" s="51">
        <f>(O28*'AP01'!$P29)-'AP01'!$G29</f>
        <v>289800</v>
      </c>
      <c r="P29" s="53">
        <f t="shared" si="11"/>
        <v>1</v>
      </c>
      <c r="Q29" s="51">
        <f>(Q28*'AP01'!$P29)</f>
        <v>432000</v>
      </c>
      <c r="R29" s="46">
        <f>DATEDIF($S$7,'AP01'!$B29,"Y")</f>
        <v>33</v>
      </c>
      <c r="S29" s="47">
        <f>VLOOKUP('AP01'!$R29,SEGUROS!$A:$B,2,TRUE)</f>
        <v>0.0001423</v>
      </c>
      <c r="T29" s="51">
        <f>('AP01'!$O29*'AP01'!$P29)*'AP01'!$S29</f>
        <v>41.23854</v>
      </c>
      <c r="U29" s="51">
        <f>'AP01'!$Q29*0.00899%</f>
        <v>38.8368</v>
      </c>
      <c r="V29" s="4"/>
      <c r="W29" s="4">
        <f t="shared" si="2"/>
        <v>24</v>
      </c>
      <c r="X29" s="17">
        <f t="shared" si="1"/>
        <v>40168</v>
      </c>
      <c r="Y29" s="4"/>
      <c r="Z29" s="4"/>
    </row>
    <row r="30" ht="18.75" customHeight="1">
      <c r="A30" s="49">
        <f t="shared" si="4"/>
        <v>16</v>
      </c>
      <c r="B30" s="50">
        <f t="shared" si="8"/>
        <v>43729</v>
      </c>
      <c r="C30" s="47">
        <f t="shared" ref="C30:D30" si="36">C29</f>
        <v>0.07</v>
      </c>
      <c r="D30" s="47">
        <f t="shared" si="36"/>
        <v>0.005654</v>
      </c>
      <c r="E30" s="51">
        <f>'AP01'!$F30+'AP01'!$G30</f>
        <v>2478.52</v>
      </c>
      <c r="F30" s="51">
        <v>1638.52</v>
      </c>
      <c r="G30" s="51">
        <f>(O29*'AP01'!$P30)/($I$5-A29)</f>
        <v>840</v>
      </c>
      <c r="H30" s="52">
        <v>30.51</v>
      </c>
      <c r="I30" s="52">
        <v>38.83</v>
      </c>
      <c r="J30" s="51">
        <f t="shared" ref="J30:L30" si="37">J29</f>
        <v>25</v>
      </c>
      <c r="K30" s="51">
        <f t="shared" si="37"/>
        <v>0</v>
      </c>
      <c r="L30" s="51">
        <f t="shared" si="37"/>
        <v>0</v>
      </c>
      <c r="M30" s="51">
        <f>SUM('AP01'!$F30:$L30)</f>
        <v>2572.86</v>
      </c>
      <c r="N30" s="51">
        <f>O29*('AP01'!$P30-1)</f>
        <v>0</v>
      </c>
      <c r="O30" s="51">
        <f>(O29*'AP01'!$P30)-'AP01'!$G30</f>
        <v>288960</v>
      </c>
      <c r="P30" s="53">
        <f t="shared" si="11"/>
        <v>1</v>
      </c>
      <c r="Q30" s="51">
        <f>(Q29*'AP01'!$P30)</f>
        <v>432000</v>
      </c>
      <c r="R30" s="46">
        <f>DATEDIF($S$7,'AP01'!$B30,"Y")</f>
        <v>33</v>
      </c>
      <c r="S30" s="47">
        <f>VLOOKUP('AP01'!$R30,SEGUROS!$A:$B,2,TRUE)</f>
        <v>0.0001423</v>
      </c>
      <c r="T30" s="51">
        <f>('AP01'!$O30*'AP01'!$P30)*'AP01'!$S30</f>
        <v>41.119008</v>
      </c>
      <c r="U30" s="51">
        <f>'AP01'!$Q30*0.00899%</f>
        <v>38.8368</v>
      </c>
      <c r="V30" s="4"/>
      <c r="W30" s="4">
        <f t="shared" si="2"/>
        <v>25</v>
      </c>
      <c r="X30" s="17">
        <f t="shared" si="1"/>
        <v>40533</v>
      </c>
      <c r="Y30" s="4"/>
      <c r="Z30" s="4"/>
    </row>
    <row r="31" ht="18.75" customHeight="1">
      <c r="A31" s="49">
        <f t="shared" si="4"/>
        <v>17</v>
      </c>
      <c r="B31" s="50">
        <f t="shared" si="8"/>
        <v>43759</v>
      </c>
      <c r="C31" s="47">
        <f t="shared" ref="C31:D31" si="38">C30</f>
        <v>0.07</v>
      </c>
      <c r="D31" s="47">
        <f t="shared" si="38"/>
        <v>0.005654</v>
      </c>
      <c r="E31" s="51">
        <f>'AP01'!$F31+'AP01'!$G31</f>
        <v>2473.77</v>
      </c>
      <c r="F31" s="51">
        <v>1633.77</v>
      </c>
      <c r="G31" s="51">
        <f>(O30*'AP01'!$P31)/($I$5-A30)</f>
        <v>840</v>
      </c>
      <c r="H31" s="52">
        <v>30.42</v>
      </c>
      <c r="I31" s="52">
        <v>38.83</v>
      </c>
      <c r="J31" s="51">
        <f t="shared" ref="J31:L31" si="39">J30</f>
        <v>25</v>
      </c>
      <c r="K31" s="51">
        <f t="shared" si="39"/>
        <v>0</v>
      </c>
      <c r="L31" s="51">
        <f t="shared" si="39"/>
        <v>0</v>
      </c>
      <c r="M31" s="51">
        <f>SUM('AP01'!$F31:$L31)</f>
        <v>2568.02</v>
      </c>
      <c r="N31" s="51">
        <f>O30*('AP01'!$P31-1)</f>
        <v>0</v>
      </c>
      <c r="O31" s="51">
        <f>(O30*'AP01'!$P31)-'AP01'!$G31</f>
        <v>288120</v>
      </c>
      <c r="P31" s="53">
        <f t="shared" si="11"/>
        <v>1</v>
      </c>
      <c r="Q31" s="51">
        <f>(Q30*'AP01'!$P31)</f>
        <v>432000</v>
      </c>
      <c r="R31" s="46">
        <f>DATEDIF($S$7,'AP01'!$B31,"Y")</f>
        <v>33</v>
      </c>
      <c r="S31" s="47">
        <f>VLOOKUP('AP01'!$R31,SEGUROS!$A:$B,2,TRUE)</f>
        <v>0.0001423</v>
      </c>
      <c r="T31" s="51">
        <f>('AP01'!$O31*'AP01'!$P31)*'AP01'!$S31</f>
        <v>40.999476</v>
      </c>
      <c r="U31" s="51">
        <f>'AP01'!$Q31*0.00899%</f>
        <v>38.8368</v>
      </c>
      <c r="V31" s="4"/>
      <c r="W31" s="4">
        <f t="shared" si="2"/>
        <v>26</v>
      </c>
      <c r="X31" s="17">
        <f t="shared" si="1"/>
        <v>40898</v>
      </c>
      <c r="Y31" s="4"/>
      <c r="Z31" s="4"/>
    </row>
    <row r="32" ht="18.75" customHeight="1">
      <c r="A32" s="49">
        <f t="shared" si="4"/>
        <v>18</v>
      </c>
      <c r="B32" s="50">
        <f t="shared" si="8"/>
        <v>43790</v>
      </c>
      <c r="C32" s="47">
        <f t="shared" ref="C32:D32" si="40">C31</f>
        <v>0.07</v>
      </c>
      <c r="D32" s="47">
        <f t="shared" si="40"/>
        <v>0.005654</v>
      </c>
      <c r="E32" s="51">
        <f>'AP01'!$F32+'AP01'!$G32</f>
        <v>2469.03</v>
      </c>
      <c r="F32" s="51">
        <v>1629.03</v>
      </c>
      <c r="G32" s="51">
        <f>(O31*'AP01'!$P32)/($I$5-A31)</f>
        <v>840</v>
      </c>
      <c r="H32" s="52">
        <v>30.33</v>
      </c>
      <c r="I32" s="52">
        <v>38.83</v>
      </c>
      <c r="J32" s="51">
        <f t="shared" ref="J32:L32" si="41">J31</f>
        <v>25</v>
      </c>
      <c r="K32" s="51">
        <f t="shared" si="41"/>
        <v>0</v>
      </c>
      <c r="L32" s="51">
        <f t="shared" si="41"/>
        <v>0</v>
      </c>
      <c r="M32" s="51">
        <f>SUM('AP01'!$F32:$L32)</f>
        <v>2563.19</v>
      </c>
      <c r="N32" s="51">
        <f>O31*('AP01'!$P32-1)</f>
        <v>0</v>
      </c>
      <c r="O32" s="51">
        <f>(O31*'AP01'!$P32)-'AP01'!$G32</f>
        <v>287280</v>
      </c>
      <c r="P32" s="53">
        <f t="shared" si="11"/>
        <v>1</v>
      </c>
      <c r="Q32" s="51">
        <f>(Q31*'AP01'!$P32)</f>
        <v>432000</v>
      </c>
      <c r="R32" s="46">
        <f>DATEDIF($S$7,'AP01'!$B32,"Y")</f>
        <v>33</v>
      </c>
      <c r="S32" s="47">
        <f>VLOOKUP('AP01'!$R32,SEGUROS!$A:$B,2,TRUE)</f>
        <v>0.0001423</v>
      </c>
      <c r="T32" s="51">
        <f>('AP01'!$O32*'AP01'!$P32)*'AP01'!$S32</f>
        <v>40.879944</v>
      </c>
      <c r="U32" s="51">
        <f>'AP01'!$Q32*0.00899%</f>
        <v>38.8368</v>
      </c>
      <c r="V32" s="4"/>
      <c r="W32" s="4">
        <f t="shared" si="2"/>
        <v>27</v>
      </c>
      <c r="X32" s="17">
        <f t="shared" si="1"/>
        <v>41264</v>
      </c>
      <c r="Y32" s="4"/>
      <c r="Z32" s="4"/>
    </row>
    <row r="33" ht="18.75" customHeight="1">
      <c r="A33" s="49">
        <f t="shared" si="4"/>
        <v>19</v>
      </c>
      <c r="B33" s="50">
        <f t="shared" si="8"/>
        <v>43820</v>
      </c>
      <c r="C33" s="47">
        <f t="shared" ref="C33:D33" si="42">C32</f>
        <v>0.07</v>
      </c>
      <c r="D33" s="47">
        <f t="shared" si="42"/>
        <v>0.005654</v>
      </c>
      <c r="E33" s="51">
        <f>'AP01'!$F33+'AP01'!$G33</f>
        <v>2464.28</v>
      </c>
      <c r="F33" s="51">
        <v>1624.28</v>
      </c>
      <c r="G33" s="51">
        <f>(O32*'AP01'!$P33)/($I$5-A32)</f>
        <v>840</v>
      </c>
      <c r="H33" s="52">
        <v>30.87</v>
      </c>
      <c r="I33" s="52">
        <v>38.83</v>
      </c>
      <c r="J33" s="51">
        <f t="shared" ref="J33:L33" si="43">J32</f>
        <v>25</v>
      </c>
      <c r="K33" s="51">
        <f t="shared" si="43"/>
        <v>0</v>
      </c>
      <c r="L33" s="51">
        <f t="shared" si="43"/>
        <v>0</v>
      </c>
      <c r="M33" s="51">
        <f>SUM('AP01'!$F33:$L33)</f>
        <v>2558.98</v>
      </c>
      <c r="N33" s="51">
        <f>O32*('AP01'!$P33-1)</f>
        <v>0</v>
      </c>
      <c r="O33" s="51">
        <f>(O32*'AP01'!$P33)-'AP01'!$G33</f>
        <v>286440</v>
      </c>
      <c r="P33" s="53">
        <f t="shared" si="11"/>
        <v>1</v>
      </c>
      <c r="Q33" s="51">
        <f>(Q32*'AP01'!$P33)</f>
        <v>432000</v>
      </c>
      <c r="R33" s="46">
        <f>DATEDIF($S$7,'AP01'!$B33,"Y")</f>
        <v>34</v>
      </c>
      <c r="S33" s="47">
        <f>VLOOKUP('AP01'!$R33,SEGUROS!$A:$B,2,TRUE)</f>
        <v>0.0001472</v>
      </c>
      <c r="T33" s="51">
        <f>('AP01'!$O33*'AP01'!$P33)*'AP01'!$S33</f>
        <v>42.163968</v>
      </c>
      <c r="U33" s="51">
        <f>'AP01'!$Q33*0.00899%</f>
        <v>38.8368</v>
      </c>
      <c r="V33" s="4"/>
      <c r="W33" s="4">
        <f t="shared" si="2"/>
        <v>28</v>
      </c>
      <c r="X33" s="17">
        <f t="shared" si="1"/>
        <v>41629</v>
      </c>
      <c r="Y33" s="4"/>
      <c r="Z33" s="4"/>
    </row>
    <row r="34" ht="18.75" customHeight="1">
      <c r="A34" s="49">
        <f t="shared" si="4"/>
        <v>20</v>
      </c>
      <c r="B34" s="50">
        <f t="shared" si="8"/>
        <v>43851</v>
      </c>
      <c r="C34" s="47">
        <f t="shared" ref="C34:D34" si="44">C33</f>
        <v>0.07</v>
      </c>
      <c r="D34" s="47">
        <f t="shared" si="44"/>
        <v>0.005654</v>
      </c>
      <c r="E34" s="51">
        <f>'AP01'!$F34+'AP01'!$G34</f>
        <v>2459.53</v>
      </c>
      <c r="F34" s="51">
        <v>1619.53</v>
      </c>
      <c r="G34" s="51">
        <f>(O33*'AP01'!$P34)/($I$5-A33)</f>
        <v>840</v>
      </c>
      <c r="H34" s="52">
        <v>30.78</v>
      </c>
      <c r="I34" s="52">
        <v>38.83</v>
      </c>
      <c r="J34" s="51">
        <f t="shared" ref="J34:L34" si="45">J33</f>
        <v>25</v>
      </c>
      <c r="K34" s="51">
        <f t="shared" si="45"/>
        <v>0</v>
      </c>
      <c r="L34" s="51">
        <f t="shared" si="45"/>
        <v>0</v>
      </c>
      <c r="M34" s="51">
        <f>SUM('AP01'!$F34:$L34)</f>
        <v>2554.14</v>
      </c>
      <c r="N34" s="51">
        <f>O33*('AP01'!$P34-1)</f>
        <v>0</v>
      </c>
      <c r="O34" s="51">
        <f>(O33*'AP01'!$P34)-'AP01'!$G34</f>
        <v>285600</v>
      </c>
      <c r="P34" s="53">
        <f t="shared" si="11"/>
        <v>1</v>
      </c>
      <c r="Q34" s="51">
        <f>(Q33*'AP01'!$P34)</f>
        <v>432000</v>
      </c>
      <c r="R34" s="46">
        <f>DATEDIF($S$7,'AP01'!$B34,"Y")</f>
        <v>34</v>
      </c>
      <c r="S34" s="47">
        <f>VLOOKUP('AP01'!$R34,SEGUROS!$A:$B,2,TRUE)</f>
        <v>0.0001472</v>
      </c>
      <c r="T34" s="51">
        <f>('AP01'!$O34*'AP01'!$P34)*'AP01'!$S34</f>
        <v>42.04032</v>
      </c>
      <c r="U34" s="51">
        <f>'AP01'!$Q34*0.00899%</f>
        <v>38.8368</v>
      </c>
      <c r="V34" s="4"/>
      <c r="W34" s="4">
        <f t="shared" si="2"/>
        <v>29</v>
      </c>
      <c r="X34" s="17">
        <f t="shared" si="1"/>
        <v>41994</v>
      </c>
      <c r="Y34" s="4"/>
      <c r="Z34" s="4"/>
    </row>
    <row r="35" ht="18.75" customHeight="1">
      <c r="A35" s="49">
        <f t="shared" si="4"/>
        <v>21</v>
      </c>
      <c r="B35" s="50">
        <f t="shared" si="8"/>
        <v>43882</v>
      </c>
      <c r="C35" s="47">
        <f t="shared" ref="C35:D35" si="46">C34</f>
        <v>0.07</v>
      </c>
      <c r="D35" s="47">
        <f t="shared" si="46"/>
        <v>0.005654</v>
      </c>
      <c r="E35" s="51">
        <f>'AP01'!$F35+'AP01'!$G35</f>
        <v>2454.78</v>
      </c>
      <c r="F35" s="51">
        <v>1614.78</v>
      </c>
      <c r="G35" s="51">
        <f>(O34*'AP01'!$P35)/($I$5-A34)</f>
        <v>840</v>
      </c>
      <c r="H35" s="52">
        <v>39.94</v>
      </c>
      <c r="I35" s="52">
        <v>38.83</v>
      </c>
      <c r="J35" s="51">
        <f t="shared" ref="J35:L35" si="47">J34</f>
        <v>25</v>
      </c>
      <c r="K35" s="51">
        <f t="shared" si="47"/>
        <v>0</v>
      </c>
      <c r="L35" s="51">
        <f t="shared" si="47"/>
        <v>0</v>
      </c>
      <c r="M35" s="51">
        <f>SUM('AP01'!$F35:$L35)</f>
        <v>2558.55</v>
      </c>
      <c r="N35" s="51">
        <f>O34*('AP01'!$P35-1)</f>
        <v>0</v>
      </c>
      <c r="O35" s="51">
        <f>(O34*'AP01'!$P35)-'AP01'!$G35</f>
        <v>284760</v>
      </c>
      <c r="P35" s="53">
        <f t="shared" si="11"/>
        <v>1</v>
      </c>
      <c r="Q35" s="51">
        <f>(Q34*'AP01'!$P35)</f>
        <v>432000</v>
      </c>
      <c r="R35" s="46">
        <f>DATEDIF($S$7,'AP01'!$B35,"Y")</f>
        <v>34</v>
      </c>
      <c r="S35" s="47">
        <f>VLOOKUP('AP01'!$R35,SEGUROS!$A:$B,2,TRUE)</f>
        <v>0.0001472</v>
      </c>
      <c r="T35" s="51">
        <f>('AP01'!$O35*'AP01'!$P35)*'AP01'!$S35</f>
        <v>41.916672</v>
      </c>
      <c r="U35" s="51">
        <f>'AP01'!$Q35*0.00899%</f>
        <v>38.8368</v>
      </c>
      <c r="V35" s="4"/>
      <c r="W35" s="4"/>
      <c r="X35" s="4"/>
      <c r="Y35" s="4"/>
      <c r="Z35" s="4"/>
    </row>
    <row r="36" ht="18.75" customHeight="1">
      <c r="A36" s="49">
        <f t="shared" si="4"/>
        <v>22</v>
      </c>
      <c r="B36" s="50">
        <f t="shared" si="8"/>
        <v>43911</v>
      </c>
      <c r="C36" s="47">
        <v>0.062</v>
      </c>
      <c r="D36" s="47">
        <v>0.005025</v>
      </c>
      <c r="E36" s="51">
        <f>'AP01'!$F36+'AP01'!$G36</f>
        <v>2270.91</v>
      </c>
      <c r="F36" s="51">
        <v>1430.91</v>
      </c>
      <c r="G36" s="51">
        <f>(O35*'AP01'!$P36)/($I$5-A35)</f>
        <v>840</v>
      </c>
      <c r="H36" s="52">
        <v>39.82</v>
      </c>
      <c r="I36" s="52">
        <v>38.83</v>
      </c>
      <c r="J36" s="51">
        <f t="shared" ref="J36:L36" si="48">J35</f>
        <v>25</v>
      </c>
      <c r="K36" s="51">
        <f t="shared" si="48"/>
        <v>0</v>
      </c>
      <c r="L36" s="51">
        <f t="shared" si="48"/>
        <v>0</v>
      </c>
      <c r="M36" s="51">
        <f>SUM('AP01'!$F36:$L36)</f>
        <v>2374.56</v>
      </c>
      <c r="N36" s="51">
        <f>O35*('AP01'!$P36-1)</f>
        <v>0</v>
      </c>
      <c r="O36" s="51">
        <f>(O35*'AP01'!$P36)-'AP01'!$G36</f>
        <v>283920</v>
      </c>
      <c r="P36" s="53">
        <f t="shared" si="11"/>
        <v>1</v>
      </c>
      <c r="Q36" s="51">
        <f>(Q35*'AP01'!$P36)</f>
        <v>432000</v>
      </c>
      <c r="R36" s="46">
        <f>DATEDIF($S$7,'AP01'!$B36,"Y")</f>
        <v>34</v>
      </c>
      <c r="S36" s="47">
        <f>VLOOKUP('AP01'!$R36,SEGUROS!$A:$B,2,TRUE)</f>
        <v>0.0001472</v>
      </c>
      <c r="T36" s="51">
        <f>('AP01'!$O36*'AP01'!$P36)*'AP01'!$S36</f>
        <v>41.793024</v>
      </c>
      <c r="U36" s="51">
        <f>'AP01'!$Q36*0.00899%</f>
        <v>38.8368</v>
      </c>
      <c r="V36" s="4"/>
      <c r="W36" s="4"/>
      <c r="X36" s="4"/>
      <c r="Y36" s="4"/>
      <c r="Z36" s="4"/>
    </row>
    <row r="37" ht="18.75" customHeight="1">
      <c r="A37" s="49">
        <f t="shared" si="4"/>
        <v>23</v>
      </c>
      <c r="B37" s="50">
        <f t="shared" si="8"/>
        <v>43942</v>
      </c>
      <c r="C37" s="47">
        <v>0.062</v>
      </c>
      <c r="D37" s="47">
        <f t="shared" ref="D37:D41" si="50">D36</f>
        <v>0.005025</v>
      </c>
      <c r="E37" s="51">
        <f>'AP01'!$F37+'AP01'!$G37</f>
        <v>2266.69</v>
      </c>
      <c r="F37" s="51">
        <v>1426.69</v>
      </c>
      <c r="G37" s="51">
        <f>(O36*'AP01'!$P37)/($I$5-A36)</f>
        <v>840</v>
      </c>
      <c r="H37" s="52">
        <v>39.71</v>
      </c>
      <c r="I37" s="52">
        <v>38.83</v>
      </c>
      <c r="J37" s="51">
        <f t="shared" ref="J37:L37" si="49">J36</f>
        <v>25</v>
      </c>
      <c r="K37" s="51">
        <f t="shared" si="49"/>
        <v>0</v>
      </c>
      <c r="L37" s="51">
        <f t="shared" si="49"/>
        <v>0</v>
      </c>
      <c r="M37" s="51">
        <f>SUM('AP01'!$F37:$L37)</f>
        <v>2370.23</v>
      </c>
      <c r="N37" s="51">
        <f>O36*('AP01'!$P37-1)</f>
        <v>0</v>
      </c>
      <c r="O37" s="51">
        <f>(O36*'AP01'!$P37)-'AP01'!$G37</f>
        <v>283080</v>
      </c>
      <c r="P37" s="53">
        <f t="shared" si="11"/>
        <v>1</v>
      </c>
      <c r="Q37" s="51">
        <f>(Q36*'AP01'!$P37)</f>
        <v>432000</v>
      </c>
      <c r="R37" s="46">
        <f>DATEDIF($S$7,'AP01'!$B37,"Y")</f>
        <v>34</v>
      </c>
      <c r="S37" s="47">
        <f>VLOOKUP('AP01'!$R37,SEGUROS!$A:$B,2,TRUE)</f>
        <v>0.0001472</v>
      </c>
      <c r="T37" s="51">
        <f>('AP01'!$O37*'AP01'!$P37)*'AP01'!$S37</f>
        <v>41.669376</v>
      </c>
      <c r="U37" s="51">
        <f>'AP01'!$Q37*0.00899%</f>
        <v>38.8368</v>
      </c>
      <c r="V37" s="4"/>
      <c r="W37" s="4"/>
      <c r="X37" s="4"/>
      <c r="Y37" s="4"/>
      <c r="Z37" s="4"/>
    </row>
    <row r="38" ht="18.75" customHeight="1">
      <c r="A38" s="56">
        <f t="shared" si="4"/>
        <v>24</v>
      </c>
      <c r="B38" s="50">
        <f t="shared" si="8"/>
        <v>43972</v>
      </c>
      <c r="C38" s="47">
        <v>0.062</v>
      </c>
      <c r="D38" s="47">
        <f t="shared" si="50"/>
        <v>0.005025</v>
      </c>
      <c r="E38" s="51">
        <f>'AP01'!$F38+'AP01'!$G38</f>
        <v>2262.47</v>
      </c>
      <c r="F38" s="51">
        <v>1422.47</v>
      </c>
      <c r="G38" s="51">
        <f>(O37*'AP01'!$P38)/($I$5-A37)</f>
        <v>840</v>
      </c>
      <c r="H38" s="57">
        <v>39.59</v>
      </c>
      <c r="I38" s="57">
        <v>38.83</v>
      </c>
      <c r="J38" s="51">
        <f t="shared" ref="J38:L38" si="51">J37</f>
        <v>25</v>
      </c>
      <c r="K38" s="51">
        <f t="shared" si="51"/>
        <v>0</v>
      </c>
      <c r="L38" s="51">
        <f t="shared" si="51"/>
        <v>0</v>
      </c>
      <c r="M38" s="51">
        <f>SUM('AP01'!$F38:$L38)</f>
        <v>2365.89</v>
      </c>
      <c r="N38" s="51">
        <f>O37*('AP01'!$P38-1)</f>
        <v>0</v>
      </c>
      <c r="O38" s="51">
        <f>(O37*'AP01'!$P38)-'AP01'!$G38</f>
        <v>282240</v>
      </c>
      <c r="P38" s="53">
        <f t="shared" si="11"/>
        <v>1</v>
      </c>
      <c r="Q38" s="51">
        <f>(Q37*'AP01'!$P38)</f>
        <v>432000</v>
      </c>
      <c r="R38" s="46">
        <f>DATEDIF($S$7,'AP01'!$B38,"Y")</f>
        <v>34</v>
      </c>
      <c r="S38" s="47">
        <f>VLOOKUP('AP01'!$R38,SEGUROS!$A:$B,2,TRUE)</f>
        <v>0.0001472</v>
      </c>
      <c r="T38" s="51">
        <f>('AP01'!$O38*'AP01'!$P38)*'AP01'!$S38</f>
        <v>41.545728</v>
      </c>
      <c r="U38" s="51">
        <f>'AP01'!$Q38*0.00899%</f>
        <v>38.8368</v>
      </c>
      <c r="V38" s="4"/>
      <c r="W38" s="4"/>
      <c r="X38" s="4"/>
      <c r="Y38" s="4"/>
      <c r="Z38" s="4"/>
    </row>
    <row r="39" ht="18.75" customHeight="1">
      <c r="A39" s="56">
        <f t="shared" si="4"/>
        <v>25</v>
      </c>
      <c r="B39" s="50">
        <f t="shared" si="8"/>
        <v>44003</v>
      </c>
      <c r="C39" s="47">
        <v>0.062</v>
      </c>
      <c r="D39" s="47">
        <f t="shared" si="50"/>
        <v>0.005025</v>
      </c>
      <c r="E39" s="51">
        <f>'AP01'!$F39+'AP01'!$G39</f>
        <v>2258.25</v>
      </c>
      <c r="F39" s="51">
        <v>1418.25</v>
      </c>
      <c r="G39" s="51">
        <f>(O38*'AP01'!$P39)/($I$5-A38)</f>
        <v>840</v>
      </c>
      <c r="H39" s="52">
        <v>39.47</v>
      </c>
      <c r="I39" s="52">
        <v>38.83</v>
      </c>
      <c r="J39" s="51">
        <f t="shared" ref="J39:L39" si="52">J38</f>
        <v>25</v>
      </c>
      <c r="K39" s="51">
        <f t="shared" si="52"/>
        <v>0</v>
      </c>
      <c r="L39" s="51">
        <f t="shared" si="52"/>
        <v>0</v>
      </c>
      <c r="M39" s="51">
        <f>SUM('AP01'!$F39:$L39)</f>
        <v>2361.55</v>
      </c>
      <c r="N39" s="51">
        <f>O38*('AP01'!$P39-1)</f>
        <v>0</v>
      </c>
      <c r="O39" s="51">
        <f>(O38*'AP01'!$P39)-'AP01'!$G39</f>
        <v>281400</v>
      </c>
      <c r="P39" s="53">
        <f t="shared" si="11"/>
        <v>1</v>
      </c>
      <c r="Q39" s="51">
        <f>(Q38*'AP01'!$P39)</f>
        <v>432000</v>
      </c>
      <c r="R39" s="46">
        <f>DATEDIF($S$7,'AP01'!$B39,"Y")</f>
        <v>34</v>
      </c>
      <c r="S39" s="47">
        <f>VLOOKUP('AP01'!$R39,SEGUROS!$A:$B,2,TRUE)</f>
        <v>0.0001472</v>
      </c>
      <c r="T39" s="51">
        <f>('AP01'!$O39*'AP01'!$P39)*'AP01'!$S39</f>
        <v>41.42208</v>
      </c>
      <c r="U39" s="51">
        <f>'AP01'!$Q39*0.00899%</f>
        <v>38.8368</v>
      </c>
      <c r="V39" s="4"/>
      <c r="W39" s="4"/>
      <c r="X39" s="4"/>
      <c r="Y39" s="4"/>
      <c r="Z39" s="4"/>
    </row>
    <row r="40" ht="18.75" customHeight="1">
      <c r="A40" s="56">
        <f t="shared" si="4"/>
        <v>26</v>
      </c>
      <c r="B40" s="50">
        <f t="shared" si="8"/>
        <v>44033</v>
      </c>
      <c r="C40" s="47">
        <v>0.062</v>
      </c>
      <c r="D40" s="47">
        <f t="shared" si="50"/>
        <v>0.005025</v>
      </c>
      <c r="E40" s="51">
        <f>'AP01'!$F40+'AP01'!$G40</f>
        <v>2254.03</v>
      </c>
      <c r="F40" s="51">
        <v>1414.03</v>
      </c>
      <c r="G40" s="51">
        <f>(O39*'AP01'!$P40)/($I$5-A39)</f>
        <v>840</v>
      </c>
      <c r="H40" s="52">
        <v>39.35</v>
      </c>
      <c r="I40" s="52">
        <v>38.83</v>
      </c>
      <c r="J40" s="51">
        <f t="shared" ref="J40:L40" si="53">J39</f>
        <v>25</v>
      </c>
      <c r="K40" s="51">
        <f t="shared" si="53"/>
        <v>0</v>
      </c>
      <c r="L40" s="51">
        <f t="shared" si="53"/>
        <v>0</v>
      </c>
      <c r="M40" s="51">
        <f>SUM('AP01'!$F40:$L40)</f>
        <v>2357.21</v>
      </c>
      <c r="N40" s="51">
        <f>O39*('AP01'!$P40-1)</f>
        <v>0</v>
      </c>
      <c r="O40" s="51">
        <f>(O39*'AP01'!$P40)-'AP01'!$G40</f>
        <v>280560</v>
      </c>
      <c r="P40" s="53">
        <f t="shared" si="11"/>
        <v>1</v>
      </c>
      <c r="Q40" s="51">
        <f>(Q39*'AP01'!$P40)</f>
        <v>432000</v>
      </c>
      <c r="R40" s="46">
        <f>DATEDIF($S$7,'AP01'!$B40,"Y")</f>
        <v>34</v>
      </c>
      <c r="S40" s="47">
        <f>VLOOKUP('AP01'!$R40,SEGUROS!$A:$B,2,TRUE)</f>
        <v>0.0001472</v>
      </c>
      <c r="T40" s="51">
        <f>('AP01'!$O40*'AP01'!$P40)*'AP01'!$S40</f>
        <v>41.298432</v>
      </c>
      <c r="U40" s="51">
        <f>'AP01'!$Q40*0.00899%</f>
        <v>38.8368</v>
      </c>
      <c r="V40" s="4"/>
      <c r="W40" s="4"/>
      <c r="X40" s="4"/>
      <c r="Y40" s="4"/>
      <c r="Z40" s="4"/>
    </row>
    <row r="41" ht="18.75" customHeight="1">
      <c r="A41" s="56">
        <f t="shared" si="4"/>
        <v>27</v>
      </c>
      <c r="B41" s="50">
        <f t="shared" si="8"/>
        <v>44064</v>
      </c>
      <c r="C41" s="47">
        <v>0.062</v>
      </c>
      <c r="D41" s="47">
        <f t="shared" si="50"/>
        <v>0.005025</v>
      </c>
      <c r="E41" s="51">
        <f>'AP01'!$F41+'AP01'!$G41</f>
        <v>2249.81</v>
      </c>
      <c r="F41" s="51">
        <v>1409.81</v>
      </c>
      <c r="G41" s="51">
        <f>(O40*'AP01'!$P41)/($I$5-A40)</f>
        <v>840</v>
      </c>
      <c r="H41" s="52">
        <v>39.24</v>
      </c>
      <c r="I41" s="52">
        <v>38.83</v>
      </c>
      <c r="J41" s="51">
        <f t="shared" ref="J41:L41" si="54">J40</f>
        <v>25</v>
      </c>
      <c r="K41" s="51">
        <f t="shared" si="54"/>
        <v>0</v>
      </c>
      <c r="L41" s="51">
        <f t="shared" si="54"/>
        <v>0</v>
      </c>
      <c r="M41" s="51">
        <f>SUM('AP01'!$F41:$L41)</f>
        <v>2352.88</v>
      </c>
      <c r="N41" s="51">
        <f>O40*('AP01'!$P41-1)</f>
        <v>0</v>
      </c>
      <c r="O41" s="51">
        <f>(O40*'AP01'!$P41)-'AP01'!$G41</f>
        <v>279720</v>
      </c>
      <c r="P41" s="53">
        <f t="shared" si="11"/>
        <v>1</v>
      </c>
      <c r="Q41" s="51">
        <f>(Q40*'AP01'!$P41)</f>
        <v>432000</v>
      </c>
      <c r="R41" s="46">
        <f>DATEDIF($S$7,'AP01'!$B41,"Y")</f>
        <v>34</v>
      </c>
      <c r="S41" s="47">
        <f>VLOOKUP('AP01'!$R41,SEGUROS!$A:$B,2,TRUE)</f>
        <v>0.0001472</v>
      </c>
      <c r="T41" s="51">
        <f>('AP01'!$O41*'AP01'!$P41)*'AP01'!$S41</f>
        <v>41.174784</v>
      </c>
      <c r="U41" s="51">
        <f>'AP01'!$Q41*0.00899%</f>
        <v>38.8368</v>
      </c>
      <c r="V41" s="4"/>
      <c r="W41" s="4"/>
      <c r="X41" s="4"/>
      <c r="Y41" s="4"/>
      <c r="Z41" s="4"/>
    </row>
    <row r="42" ht="18.75" customHeight="1">
      <c r="A42" s="56">
        <f t="shared" si="4"/>
        <v>28</v>
      </c>
      <c r="B42" s="50">
        <f t="shared" si="8"/>
        <v>44095</v>
      </c>
      <c r="C42" s="47">
        <f t="shared" ref="C42:D42" si="55">C41</f>
        <v>0.062</v>
      </c>
      <c r="D42" s="47">
        <f t="shared" si="55"/>
        <v>0.005025</v>
      </c>
      <c r="E42" s="51">
        <f>'AP01'!$F42+'AP01'!$G42</f>
        <v>2245.59</v>
      </c>
      <c r="F42" s="51">
        <v>1405.59</v>
      </c>
      <c r="G42" s="51">
        <f>(O41*'AP01'!$P42)/($I$5-A41)</f>
        <v>840</v>
      </c>
      <c r="H42" s="52">
        <v>39.12</v>
      </c>
      <c r="I42" s="52">
        <v>38.83</v>
      </c>
      <c r="J42" s="51">
        <f t="shared" ref="J42:L42" si="56">J41</f>
        <v>25</v>
      </c>
      <c r="K42" s="51">
        <f t="shared" si="56"/>
        <v>0</v>
      </c>
      <c r="L42" s="51">
        <f t="shared" si="56"/>
        <v>0</v>
      </c>
      <c r="M42" s="51">
        <f>SUM('AP01'!$F42:$L42)</f>
        <v>2348.54</v>
      </c>
      <c r="N42" s="51">
        <f>O41*('AP01'!$P42-1)</f>
        <v>0</v>
      </c>
      <c r="O42" s="51">
        <f>(O41*'AP01'!$P42)-'AP01'!$G42</f>
        <v>278880</v>
      </c>
      <c r="P42" s="53">
        <f t="shared" si="11"/>
        <v>1</v>
      </c>
      <c r="Q42" s="51">
        <f>(Q41*'AP01'!$P42)</f>
        <v>432000</v>
      </c>
      <c r="R42" s="46">
        <f>DATEDIF($S$7,'AP01'!$B42,"Y")</f>
        <v>34</v>
      </c>
      <c r="S42" s="47">
        <f>VLOOKUP('AP01'!$R42,SEGUROS!$A:$B,2,TRUE)</f>
        <v>0.0001472</v>
      </c>
      <c r="T42" s="51">
        <f>('AP01'!$O42*'AP01'!$P42)*'AP01'!$S42</f>
        <v>41.051136</v>
      </c>
      <c r="U42" s="51">
        <f>'AP01'!$Q42*0.00899%</f>
        <v>38.8368</v>
      </c>
      <c r="V42" s="4"/>
      <c r="W42" s="4"/>
      <c r="X42" s="4"/>
      <c r="Y42" s="4"/>
      <c r="Z42" s="4"/>
    </row>
    <row r="43" ht="18.75" customHeight="1">
      <c r="A43" s="56">
        <f t="shared" si="4"/>
        <v>29</v>
      </c>
      <c r="B43" s="50">
        <f t="shared" si="8"/>
        <v>44125</v>
      </c>
      <c r="C43" s="47">
        <f t="shared" ref="C43:D43" si="57">C42</f>
        <v>0.062</v>
      </c>
      <c r="D43" s="47">
        <f t="shared" si="57"/>
        <v>0.005025</v>
      </c>
      <c r="E43" s="51">
        <f>'AP01'!$F43+'AP01'!$G43</f>
        <v>2241.49</v>
      </c>
      <c r="F43" s="51">
        <v>1401.49</v>
      </c>
      <c r="G43" s="51">
        <f>(O42*'AP01'!$P43)/($I$5-A42)</f>
        <v>840</v>
      </c>
      <c r="H43" s="52">
        <v>39.01</v>
      </c>
      <c r="I43" s="52">
        <v>38.84</v>
      </c>
      <c r="J43" s="51">
        <f t="shared" ref="J43:L43" si="58">J42</f>
        <v>25</v>
      </c>
      <c r="K43" s="51">
        <f t="shared" si="58"/>
        <v>0</v>
      </c>
      <c r="L43" s="51">
        <f t="shared" si="58"/>
        <v>0</v>
      </c>
      <c r="M43" s="51">
        <f>SUM('AP01'!$F43:$L43)</f>
        <v>2344.34</v>
      </c>
      <c r="N43" s="51">
        <f>O42*('AP01'!$P43-1)</f>
        <v>0</v>
      </c>
      <c r="O43" s="51">
        <f>(O42*'AP01'!$P43)-'AP01'!$G43</f>
        <v>278040</v>
      </c>
      <c r="P43" s="53">
        <f t="shared" si="11"/>
        <v>1</v>
      </c>
      <c r="Q43" s="51">
        <f>(Q42*'AP01'!$P43)</f>
        <v>432000</v>
      </c>
      <c r="R43" s="46">
        <f>DATEDIF($S$7,'AP01'!$B43,"Y")</f>
        <v>34</v>
      </c>
      <c r="S43" s="47">
        <f>VLOOKUP('AP01'!$R43,SEGUROS!$A:$B,2,TRUE)</f>
        <v>0.0001472</v>
      </c>
      <c r="T43" s="51">
        <f>('AP01'!$O43*'AP01'!$P43)*'AP01'!$S43</f>
        <v>40.927488</v>
      </c>
      <c r="U43" s="51">
        <f>'AP01'!$Q43*0.00899%</f>
        <v>38.8368</v>
      </c>
      <c r="V43" s="4"/>
      <c r="W43" s="4"/>
      <c r="X43" s="4"/>
      <c r="Y43" s="4"/>
      <c r="Z43" s="4"/>
    </row>
    <row r="44" ht="18.75" customHeight="1">
      <c r="A44" s="56">
        <f t="shared" si="4"/>
        <v>30</v>
      </c>
      <c r="B44" s="50">
        <f t="shared" si="8"/>
        <v>44156</v>
      </c>
      <c r="C44" s="47">
        <f t="shared" ref="C44:D44" si="59">C43</f>
        <v>0.062</v>
      </c>
      <c r="D44" s="47">
        <f t="shared" si="59"/>
        <v>0.005025</v>
      </c>
      <c r="E44" s="51">
        <f>'AP01'!$F44+'AP01'!$G44</f>
        <v>2237.27</v>
      </c>
      <c r="F44" s="51">
        <v>1397.27</v>
      </c>
      <c r="G44" s="51">
        <f>(O43*'AP01'!$P44)/($I$5-A43)</f>
        <v>840</v>
      </c>
      <c r="H44" s="52">
        <v>38.89</v>
      </c>
      <c r="I44" s="52">
        <v>38.84</v>
      </c>
      <c r="J44" s="51">
        <f t="shared" ref="J44:L44" si="60">J43</f>
        <v>25</v>
      </c>
      <c r="K44" s="51">
        <f t="shared" si="60"/>
        <v>0</v>
      </c>
      <c r="L44" s="51">
        <f t="shared" si="60"/>
        <v>0</v>
      </c>
      <c r="M44" s="51">
        <f>SUM('AP01'!$F44:$L44)</f>
        <v>2340</v>
      </c>
      <c r="N44" s="51">
        <f>O43*('AP01'!$P44-1)</f>
        <v>0</v>
      </c>
      <c r="O44" s="51">
        <f>(O43*'AP01'!$P44)-'AP01'!$G44</f>
        <v>277200</v>
      </c>
      <c r="P44" s="53">
        <f t="shared" si="11"/>
        <v>1</v>
      </c>
      <c r="Q44" s="51">
        <f>(Q43*'AP01'!$P44)</f>
        <v>432000</v>
      </c>
      <c r="R44" s="46">
        <f>DATEDIF($S$7,'AP01'!$B44,"Y")</f>
        <v>34</v>
      </c>
      <c r="S44" s="47">
        <f>VLOOKUP('AP01'!$R44,SEGUROS!$A:$B,2,TRUE)</f>
        <v>0.0001472</v>
      </c>
      <c r="T44" s="51">
        <f>('AP01'!$O44*'AP01'!$P44)*'AP01'!$S44</f>
        <v>40.80384</v>
      </c>
      <c r="U44" s="51">
        <f>'AP01'!$Q44*0.00899%</f>
        <v>38.8368</v>
      </c>
      <c r="V44" s="4"/>
      <c r="W44" s="4"/>
      <c r="X44" s="4"/>
      <c r="Y44" s="4"/>
      <c r="Z44" s="4"/>
    </row>
    <row r="45" ht="18.75" customHeight="1">
      <c r="A45" s="56">
        <f t="shared" si="4"/>
        <v>31</v>
      </c>
      <c r="B45" s="50">
        <f t="shared" si="8"/>
        <v>44186</v>
      </c>
      <c r="C45" s="47">
        <f t="shared" ref="C45:D45" si="61">C44</f>
        <v>0.062</v>
      </c>
      <c r="D45" s="47">
        <f t="shared" si="61"/>
        <v>0.005025</v>
      </c>
      <c r="E45" s="51">
        <f>'AP01'!$F45+'AP01'!$G45</f>
        <v>2233.04</v>
      </c>
      <c r="F45" s="51">
        <v>1393.04</v>
      </c>
      <c r="G45" s="51">
        <f>(O44*'AP01'!$P45)/($I$5-A44)</f>
        <v>840</v>
      </c>
      <c r="H45" s="52">
        <v>39.71</v>
      </c>
      <c r="I45" s="52">
        <v>38.84</v>
      </c>
      <c r="J45" s="51">
        <f t="shared" ref="J45:L45" si="62">J44</f>
        <v>25</v>
      </c>
      <c r="K45" s="51">
        <f t="shared" si="62"/>
        <v>0</v>
      </c>
      <c r="L45" s="51">
        <f t="shared" si="62"/>
        <v>0</v>
      </c>
      <c r="M45" s="51">
        <f>SUM('AP01'!$F45:$L45)</f>
        <v>2336.59</v>
      </c>
      <c r="N45" s="51">
        <f>O44*('AP01'!$P45-1)</f>
        <v>0</v>
      </c>
      <c r="O45" s="51">
        <f>(O44*'AP01'!$P45)-'AP01'!$G45</f>
        <v>276360</v>
      </c>
      <c r="P45" s="53">
        <f t="shared" si="11"/>
        <v>1</v>
      </c>
      <c r="Q45" s="51">
        <f>(Q44*'AP01'!$P45)</f>
        <v>432000</v>
      </c>
      <c r="R45" s="46">
        <f>DATEDIF($S$7,'AP01'!$B45,"Y")</f>
        <v>35</v>
      </c>
      <c r="S45" s="47">
        <f>VLOOKUP('AP01'!$R45,SEGUROS!$A:$B,2,TRUE)</f>
        <v>0.0001548</v>
      </c>
      <c r="T45" s="51">
        <f>('AP01'!$O45*'AP01'!$P45)*'AP01'!$S45</f>
        <v>42.780528</v>
      </c>
      <c r="U45" s="51">
        <f>'AP01'!$Q45*0.00899%</f>
        <v>38.8368</v>
      </c>
      <c r="V45" s="4"/>
      <c r="W45" s="4"/>
      <c r="X45" s="4"/>
      <c r="Y45" s="4"/>
      <c r="Z45" s="4"/>
    </row>
    <row r="46" ht="18.75" customHeight="1">
      <c r="A46" s="56">
        <f t="shared" si="4"/>
        <v>32</v>
      </c>
      <c r="B46" s="50">
        <f t="shared" si="8"/>
        <v>44217</v>
      </c>
      <c r="C46" s="47">
        <f t="shared" ref="C46:D46" si="63">C45</f>
        <v>0.062</v>
      </c>
      <c r="D46" s="47">
        <f t="shared" si="63"/>
        <v>0.005025</v>
      </c>
      <c r="E46" s="51">
        <f>'AP01'!$F46+'AP01'!$G46</f>
        <v>2228.82</v>
      </c>
      <c r="F46" s="51">
        <v>1388.82</v>
      </c>
      <c r="G46" s="51">
        <f>(O45*'AP01'!$P46)/($I$5-A45)</f>
        <v>840</v>
      </c>
      <c r="H46" s="52">
        <v>39.59</v>
      </c>
      <c r="I46" s="52">
        <v>38.84</v>
      </c>
      <c r="J46" s="51">
        <f t="shared" ref="J46:L46" si="64">J45</f>
        <v>25</v>
      </c>
      <c r="K46" s="51">
        <f t="shared" si="64"/>
        <v>0</v>
      </c>
      <c r="L46" s="51">
        <f t="shared" si="64"/>
        <v>0</v>
      </c>
      <c r="M46" s="51">
        <f>SUM('AP01'!$F46:$L46)</f>
        <v>2332.25</v>
      </c>
      <c r="N46" s="51">
        <f>O45*('AP01'!$P46-1)</f>
        <v>0</v>
      </c>
      <c r="O46" s="51">
        <f>(O45*'AP01'!$P46)-'AP01'!$G46</f>
        <v>275520</v>
      </c>
      <c r="P46" s="53">
        <f t="shared" si="11"/>
        <v>1</v>
      </c>
      <c r="Q46" s="51">
        <f>(Q45*'AP01'!$P46)</f>
        <v>432000</v>
      </c>
      <c r="R46" s="46">
        <f>DATEDIF($S$7,'AP01'!$B46,"Y")</f>
        <v>35</v>
      </c>
      <c r="S46" s="47">
        <f>VLOOKUP('AP01'!$R46,SEGUROS!$A:$B,2,TRUE)</f>
        <v>0.0001548</v>
      </c>
      <c r="T46" s="51">
        <f>('AP01'!$O46*'AP01'!$P46)*'AP01'!$S46</f>
        <v>42.650496</v>
      </c>
      <c r="U46" s="51">
        <f>'AP01'!$Q46*0.00899%</f>
        <v>38.8368</v>
      </c>
      <c r="V46" s="4"/>
      <c r="W46" s="4"/>
      <c r="X46" s="4"/>
      <c r="Y46" s="4"/>
      <c r="Z46" s="4"/>
    </row>
    <row r="47" ht="18.75" customHeight="1">
      <c r="A47" s="56">
        <f t="shared" si="4"/>
        <v>33</v>
      </c>
      <c r="B47" s="50">
        <f t="shared" si="8"/>
        <v>44248</v>
      </c>
      <c r="C47" s="47">
        <f t="shared" ref="C47:D47" si="65">C46</f>
        <v>0.062</v>
      </c>
      <c r="D47" s="47">
        <f t="shared" si="65"/>
        <v>0.005025</v>
      </c>
      <c r="E47" s="51">
        <f>'AP01'!$F47+'AP01'!$G47</f>
        <v>2224.6</v>
      </c>
      <c r="F47" s="51">
        <v>1384.6</v>
      </c>
      <c r="G47" s="51">
        <f>(O46*'AP01'!$P47)/($I$5-A46)</f>
        <v>840</v>
      </c>
      <c r="H47" s="52">
        <v>40.09</v>
      </c>
      <c r="I47" s="52">
        <v>38.84</v>
      </c>
      <c r="J47" s="51">
        <f t="shared" ref="J47:L47" si="66">J46</f>
        <v>25</v>
      </c>
      <c r="K47" s="51">
        <f t="shared" si="66"/>
        <v>0</v>
      </c>
      <c r="L47" s="51">
        <f t="shared" si="66"/>
        <v>0</v>
      </c>
      <c r="M47" s="51">
        <f>SUM('AP01'!$F47:$L47)</f>
        <v>2328.53</v>
      </c>
      <c r="N47" s="51">
        <f>O46*('AP01'!$P47-1)</f>
        <v>0</v>
      </c>
      <c r="O47" s="51">
        <f>(O46*'AP01'!$P47)-'AP01'!$G47</f>
        <v>274680</v>
      </c>
      <c r="P47" s="53">
        <f t="shared" si="11"/>
        <v>1</v>
      </c>
      <c r="Q47" s="51">
        <f>(Q46*'AP01'!$P47)</f>
        <v>432000</v>
      </c>
      <c r="R47" s="46">
        <f>DATEDIF($S$7,'AP01'!$B47,"Y")</f>
        <v>35</v>
      </c>
      <c r="S47" s="47">
        <f>VLOOKUP('AP01'!$R47,SEGUROS!$A:$B,2,TRUE)</f>
        <v>0.0001548</v>
      </c>
      <c r="T47" s="51">
        <f>('AP01'!$O47*'AP01'!$P47)*'AP01'!$S47</f>
        <v>42.520464</v>
      </c>
      <c r="U47" s="51">
        <f>'AP01'!$Q47*0.00899%</f>
        <v>38.8368</v>
      </c>
      <c r="V47" s="4"/>
      <c r="W47" s="4"/>
      <c r="X47" s="4"/>
      <c r="Y47" s="4"/>
      <c r="Z47" s="4"/>
    </row>
    <row r="48" ht="18.75" customHeight="1">
      <c r="A48" s="56">
        <f t="shared" si="4"/>
        <v>34</v>
      </c>
      <c r="B48" s="50">
        <f t="shared" si="8"/>
        <v>44276</v>
      </c>
      <c r="C48" s="47">
        <f t="shared" ref="C48:D48" si="67">C47</f>
        <v>0.062</v>
      </c>
      <c r="D48" s="47">
        <f t="shared" si="67"/>
        <v>0.005025</v>
      </c>
      <c r="E48" s="51">
        <f>'AP01'!$F48+'AP01'!$G48</f>
        <v>2220.38</v>
      </c>
      <c r="F48" s="51">
        <v>1380.38</v>
      </c>
      <c r="G48" s="51">
        <f>(O47*'AP01'!$P48)/($I$5-A47)</f>
        <v>840</v>
      </c>
      <c r="H48" s="52">
        <v>39.97</v>
      </c>
      <c r="I48" s="52">
        <v>38.84</v>
      </c>
      <c r="J48" s="51">
        <f t="shared" ref="J48:L48" si="68">J47</f>
        <v>25</v>
      </c>
      <c r="K48" s="51">
        <f t="shared" si="68"/>
        <v>0</v>
      </c>
      <c r="L48" s="51">
        <f t="shared" si="68"/>
        <v>0</v>
      </c>
      <c r="M48" s="51">
        <f>SUM('AP01'!$F48:$L48)</f>
        <v>2324.19</v>
      </c>
      <c r="N48" s="51">
        <f>O47*('AP01'!$P48-1)</f>
        <v>0</v>
      </c>
      <c r="O48" s="51">
        <f>(O47*'AP01'!$P48)-'AP01'!$G48</f>
        <v>273840</v>
      </c>
      <c r="P48" s="53">
        <f t="shared" si="11"/>
        <v>1</v>
      </c>
      <c r="Q48" s="51">
        <f>(Q47*'AP01'!$P48)</f>
        <v>432000</v>
      </c>
      <c r="R48" s="46">
        <f>DATEDIF($S$7,'AP01'!$B48,"Y")</f>
        <v>35</v>
      </c>
      <c r="S48" s="47">
        <f>VLOOKUP('AP01'!$R48,SEGUROS!$A:$B,2,TRUE)</f>
        <v>0.0001548</v>
      </c>
      <c r="T48" s="51">
        <f>('AP01'!$O48*'AP01'!$P48)*'AP01'!$S48</f>
        <v>42.390432</v>
      </c>
      <c r="U48" s="51">
        <f>'AP01'!$Q48*0.00899%</f>
        <v>38.8368</v>
      </c>
      <c r="V48" s="4"/>
      <c r="W48" s="4"/>
      <c r="X48" s="4"/>
      <c r="Y48" s="4"/>
      <c r="Z48" s="4"/>
    </row>
    <row r="49" ht="18.75" customHeight="1">
      <c r="A49" s="56">
        <f t="shared" si="4"/>
        <v>35</v>
      </c>
      <c r="B49" s="50">
        <f t="shared" si="8"/>
        <v>44307</v>
      </c>
      <c r="C49" s="47">
        <f t="shared" ref="C49:D49" si="69">C48</f>
        <v>0.062</v>
      </c>
      <c r="D49" s="47">
        <f t="shared" si="69"/>
        <v>0.005025</v>
      </c>
      <c r="E49" s="51">
        <f>'AP01'!$F49+'AP01'!$G49</f>
        <v>2216.16</v>
      </c>
      <c r="F49" s="51">
        <v>1376.16</v>
      </c>
      <c r="G49" s="51">
        <f>(O48*'AP01'!$P49)/($I$5-A48)</f>
        <v>840</v>
      </c>
      <c r="H49" s="52">
        <v>39.85</v>
      </c>
      <c r="I49" s="52">
        <v>38.84</v>
      </c>
      <c r="J49" s="51">
        <f t="shared" ref="J49:L49" si="70">J48</f>
        <v>25</v>
      </c>
      <c r="K49" s="51">
        <f t="shared" si="70"/>
        <v>0</v>
      </c>
      <c r="L49" s="51">
        <f t="shared" si="70"/>
        <v>0</v>
      </c>
      <c r="M49" s="51">
        <f>SUM('AP01'!$F49:$L49)</f>
        <v>2319.85</v>
      </c>
      <c r="N49" s="51">
        <f>O48*('AP01'!$P49-1)</f>
        <v>0</v>
      </c>
      <c r="O49" s="51">
        <f>(O48*'AP01'!$P49)-'AP01'!$G49</f>
        <v>273000</v>
      </c>
      <c r="P49" s="53">
        <f t="shared" si="11"/>
        <v>1</v>
      </c>
      <c r="Q49" s="51">
        <f>(Q48*'AP01'!$P49)</f>
        <v>432000</v>
      </c>
      <c r="R49" s="46">
        <f>DATEDIF($S$7,'AP01'!$B49,"Y")</f>
        <v>35</v>
      </c>
      <c r="S49" s="47">
        <f>VLOOKUP('AP01'!$R49,SEGUROS!$A:$B,2,TRUE)</f>
        <v>0.0001548</v>
      </c>
      <c r="T49" s="51">
        <f>('AP01'!$O49*'AP01'!$P49)*'AP01'!$S49</f>
        <v>42.2604</v>
      </c>
      <c r="U49" s="51">
        <f>'AP01'!$Q49*0.00899%</f>
        <v>38.8368</v>
      </c>
      <c r="V49" s="4"/>
      <c r="W49" s="4"/>
      <c r="X49" s="4"/>
      <c r="Y49" s="4"/>
      <c r="Z49" s="4"/>
    </row>
    <row r="50" ht="18.75" customHeight="1">
      <c r="A50" s="56">
        <f t="shared" si="4"/>
        <v>36</v>
      </c>
      <c r="B50" s="50">
        <f t="shared" si="8"/>
        <v>44337</v>
      </c>
      <c r="C50" s="47">
        <f t="shared" ref="C50:D50" si="71">C49</f>
        <v>0.062</v>
      </c>
      <c r="D50" s="47">
        <f t="shared" si="71"/>
        <v>0.005025</v>
      </c>
      <c r="E50" s="51">
        <f>'AP01'!$F50+'AP01'!$G50</f>
        <v>2211.94</v>
      </c>
      <c r="F50" s="51">
        <v>1371.94</v>
      </c>
      <c r="G50" s="51">
        <f>(O49*'AP01'!$P50)/($I$5-A49)</f>
        <v>840</v>
      </c>
      <c r="H50" s="52">
        <v>39.73</v>
      </c>
      <c r="I50" s="52">
        <v>38.84</v>
      </c>
      <c r="J50" s="51">
        <f t="shared" ref="J50:L50" si="72">J49</f>
        <v>25</v>
      </c>
      <c r="K50" s="51">
        <f t="shared" si="72"/>
        <v>0</v>
      </c>
      <c r="L50" s="51">
        <f t="shared" si="72"/>
        <v>0</v>
      </c>
      <c r="M50" s="51">
        <f>SUM('AP01'!$F50:$L50)</f>
        <v>2315.51</v>
      </c>
      <c r="N50" s="51">
        <f>O49*('AP01'!$P50-1)</f>
        <v>0</v>
      </c>
      <c r="O50" s="51">
        <f>(O49*'AP01'!$P50)-'AP01'!$G50</f>
        <v>272160</v>
      </c>
      <c r="P50" s="53">
        <f t="shared" si="11"/>
        <v>1</v>
      </c>
      <c r="Q50" s="51">
        <f>(Q49*'AP01'!$P50)</f>
        <v>432000</v>
      </c>
      <c r="R50" s="46">
        <f>DATEDIF($S$7,'AP01'!$B50,"Y")</f>
        <v>35</v>
      </c>
      <c r="S50" s="47">
        <f>VLOOKUP('AP01'!$R50,SEGUROS!$A:$B,2,TRUE)</f>
        <v>0.0001548</v>
      </c>
      <c r="T50" s="51">
        <f>('AP01'!$O50*'AP01'!$P50)*'AP01'!$S50</f>
        <v>42.130368</v>
      </c>
      <c r="U50" s="51">
        <f>'AP01'!$Q50*0.00899%</f>
        <v>38.8368</v>
      </c>
      <c r="V50" s="4"/>
      <c r="W50" s="4"/>
      <c r="X50" s="4"/>
      <c r="Y50" s="4"/>
      <c r="Z50" s="4"/>
    </row>
    <row r="51" ht="18.75" customHeight="1">
      <c r="A51" s="56">
        <f t="shared" si="4"/>
        <v>37</v>
      </c>
      <c r="B51" s="50">
        <f t="shared" si="8"/>
        <v>44368</v>
      </c>
      <c r="C51" s="47">
        <f t="shared" ref="C51:D51" si="73">C50</f>
        <v>0.062</v>
      </c>
      <c r="D51" s="47">
        <f t="shared" si="73"/>
        <v>0.005025</v>
      </c>
      <c r="E51" s="51">
        <f>'AP01'!$F51+'AP01'!$G51</f>
        <v>2207.72</v>
      </c>
      <c r="F51" s="51">
        <v>1367.72</v>
      </c>
      <c r="G51" s="51">
        <f>(O50*'AP01'!$P51)/($I$5-A50)</f>
        <v>840</v>
      </c>
      <c r="H51" s="52">
        <v>39.6</v>
      </c>
      <c r="I51" s="52">
        <v>38.84</v>
      </c>
      <c r="J51" s="51">
        <f t="shared" ref="J51:L51" si="74">J50</f>
        <v>25</v>
      </c>
      <c r="K51" s="51">
        <f t="shared" si="74"/>
        <v>0</v>
      </c>
      <c r="L51" s="51">
        <f t="shared" si="74"/>
        <v>0</v>
      </c>
      <c r="M51" s="51">
        <f>SUM('AP01'!$F51:$L51)</f>
        <v>2311.16</v>
      </c>
      <c r="N51" s="51">
        <f>O50*('AP01'!$P51-1)</f>
        <v>0</v>
      </c>
      <c r="O51" s="51">
        <f>(O50*'AP01'!$P51)-'AP01'!$G51</f>
        <v>271320</v>
      </c>
      <c r="P51" s="53">
        <f t="shared" si="11"/>
        <v>1</v>
      </c>
      <c r="Q51" s="51">
        <f>(Q50*'AP01'!$P51)</f>
        <v>432000</v>
      </c>
      <c r="R51" s="46">
        <f>DATEDIF($S$7,'AP01'!$B51,"Y")</f>
        <v>35</v>
      </c>
      <c r="S51" s="47">
        <f>VLOOKUP('AP01'!$R51,SEGUROS!$A:$B,2,TRUE)</f>
        <v>0.0001548</v>
      </c>
      <c r="T51" s="51">
        <f>('AP01'!$O51*'AP01'!$P51)*'AP01'!$S51</f>
        <v>42.000336</v>
      </c>
      <c r="U51" s="51">
        <f>'AP01'!$Q51*0.00899%</f>
        <v>38.8368</v>
      </c>
      <c r="V51" s="4"/>
      <c r="W51" s="4"/>
      <c r="X51" s="4"/>
      <c r="Y51" s="4"/>
      <c r="Z51" s="4"/>
    </row>
    <row r="52" ht="18.75" customHeight="1">
      <c r="A52" s="56">
        <f t="shared" si="4"/>
        <v>38</v>
      </c>
      <c r="B52" s="50">
        <f t="shared" si="8"/>
        <v>44398</v>
      </c>
      <c r="C52" s="47">
        <f t="shared" ref="C52:D52" si="75">C51</f>
        <v>0.062</v>
      </c>
      <c r="D52" s="47">
        <f t="shared" si="75"/>
        <v>0.005025</v>
      </c>
      <c r="E52" s="51">
        <f>'AP01'!$F52+'AP01'!$G52</f>
        <v>2203.49</v>
      </c>
      <c r="F52" s="51">
        <v>1363.49</v>
      </c>
      <c r="G52" s="51">
        <f>(O51*'AP01'!$P52)/($I$5-A51)</f>
        <v>840</v>
      </c>
      <c r="H52" s="52">
        <v>39.48</v>
      </c>
      <c r="I52" s="52">
        <v>38.84</v>
      </c>
      <c r="J52" s="51">
        <f t="shared" ref="J52:L52" si="76">J51</f>
        <v>25</v>
      </c>
      <c r="K52" s="51">
        <f t="shared" si="76"/>
        <v>0</v>
      </c>
      <c r="L52" s="51">
        <f t="shared" si="76"/>
        <v>0</v>
      </c>
      <c r="M52" s="51">
        <f>SUM('AP01'!$F52:$L52)</f>
        <v>2306.81</v>
      </c>
      <c r="N52" s="51">
        <f>O51*('AP01'!$P52-1)</f>
        <v>0</v>
      </c>
      <c r="O52" s="51">
        <f>(O51*'AP01'!$P52)-'AP01'!$G52</f>
        <v>270480</v>
      </c>
      <c r="P52" s="53">
        <f t="shared" si="11"/>
        <v>1</v>
      </c>
      <c r="Q52" s="51">
        <f>(Q51*'AP01'!$P52)</f>
        <v>432000</v>
      </c>
      <c r="R52" s="46">
        <f>DATEDIF($S$7,'AP01'!$B52,"Y")</f>
        <v>35</v>
      </c>
      <c r="S52" s="47">
        <f>VLOOKUP('AP01'!$R52,SEGUROS!$A:$B,2,TRUE)</f>
        <v>0.0001548</v>
      </c>
      <c r="T52" s="51">
        <f>('AP01'!$O52*'AP01'!$P52)*'AP01'!$S52</f>
        <v>41.870304</v>
      </c>
      <c r="U52" s="51">
        <f>'AP01'!$Q52*0.00899%</f>
        <v>38.8368</v>
      </c>
      <c r="V52" s="4"/>
      <c r="W52" s="4"/>
      <c r="X52" s="4"/>
      <c r="Y52" s="4"/>
      <c r="Z52" s="4"/>
    </row>
    <row r="53" ht="18.75" customHeight="1">
      <c r="A53" s="56">
        <f t="shared" si="4"/>
        <v>39</v>
      </c>
      <c r="B53" s="50">
        <f t="shared" si="8"/>
        <v>44429</v>
      </c>
      <c r="C53" s="47">
        <f t="shared" ref="C53:D53" si="77">C52</f>
        <v>0.062</v>
      </c>
      <c r="D53" s="47">
        <f t="shared" si="77"/>
        <v>0.005025</v>
      </c>
      <c r="E53" s="51">
        <f>'AP01'!$F53+'AP01'!$G53</f>
        <v>2199.27</v>
      </c>
      <c r="F53" s="51">
        <v>1359.27</v>
      </c>
      <c r="G53" s="51">
        <f>(O52*'AP01'!$P53)/($I$5-A52)</f>
        <v>840</v>
      </c>
      <c r="H53" s="52">
        <v>39.36</v>
      </c>
      <c r="I53" s="52">
        <v>38.84</v>
      </c>
      <c r="J53" s="51">
        <f t="shared" ref="J53:L53" si="78">J52</f>
        <v>25</v>
      </c>
      <c r="K53" s="51">
        <f t="shared" si="78"/>
        <v>0</v>
      </c>
      <c r="L53" s="51">
        <f t="shared" si="78"/>
        <v>0</v>
      </c>
      <c r="M53" s="51">
        <f>SUM('AP01'!$F53:$L53)</f>
        <v>2302.47</v>
      </c>
      <c r="N53" s="51">
        <f>O52*('AP01'!$P53-1)</f>
        <v>0</v>
      </c>
      <c r="O53" s="51">
        <f>(O52*'AP01'!$P53)-'AP01'!$G53</f>
        <v>269640</v>
      </c>
      <c r="P53" s="53">
        <f t="shared" si="11"/>
        <v>1</v>
      </c>
      <c r="Q53" s="51">
        <f>(Q52*'AP01'!$P53)</f>
        <v>432000</v>
      </c>
      <c r="R53" s="46">
        <f>DATEDIF($S$7,'AP01'!$B53,"Y")</f>
        <v>35</v>
      </c>
      <c r="S53" s="47">
        <f>VLOOKUP('AP01'!$R53,SEGUROS!$A:$B,2,TRUE)</f>
        <v>0.0001548</v>
      </c>
      <c r="T53" s="51">
        <f>('AP01'!$O53*'AP01'!$P53)*'AP01'!$S53</f>
        <v>41.740272</v>
      </c>
      <c r="U53" s="51">
        <f>'AP01'!$Q53*0.00899%</f>
        <v>38.8368</v>
      </c>
      <c r="V53" s="4"/>
      <c r="W53" s="4"/>
      <c r="X53" s="4"/>
      <c r="Y53" s="4"/>
      <c r="Z53" s="4"/>
    </row>
    <row r="54" ht="18.75" customHeight="1">
      <c r="A54" s="56">
        <f t="shared" si="4"/>
        <v>40</v>
      </c>
      <c r="B54" s="50">
        <f t="shared" si="8"/>
        <v>44460</v>
      </c>
      <c r="C54" s="47">
        <f t="shared" ref="C54:D54" si="79">C53</f>
        <v>0.062</v>
      </c>
      <c r="D54" s="47">
        <f t="shared" si="79"/>
        <v>0.005025</v>
      </c>
      <c r="E54" s="51">
        <f>'AP01'!$F54+'AP01'!$G54</f>
        <v>2195.05</v>
      </c>
      <c r="F54" s="51">
        <v>1355.05</v>
      </c>
      <c r="G54" s="51">
        <f>(O53*'AP01'!$P54)/($I$5-A53)</f>
        <v>840</v>
      </c>
      <c r="H54" s="52">
        <v>39.24</v>
      </c>
      <c r="I54" s="52">
        <v>38.84</v>
      </c>
      <c r="J54" s="51">
        <f t="shared" ref="J54:L54" si="80">J53</f>
        <v>25</v>
      </c>
      <c r="K54" s="51">
        <f t="shared" si="80"/>
        <v>0</v>
      </c>
      <c r="L54" s="51">
        <f t="shared" si="80"/>
        <v>0</v>
      </c>
      <c r="M54" s="51">
        <f>SUM('AP01'!$F54:$L54)</f>
        <v>2298.13</v>
      </c>
      <c r="N54" s="51">
        <f>O53*('AP01'!$P54-1)</f>
        <v>0</v>
      </c>
      <c r="O54" s="51">
        <f>(O53*'AP01'!$P54)-'AP01'!$G54</f>
        <v>268800</v>
      </c>
      <c r="P54" s="53">
        <f t="shared" si="11"/>
        <v>1</v>
      </c>
      <c r="Q54" s="51">
        <f>(Q53*'AP01'!$P54)</f>
        <v>432000</v>
      </c>
      <c r="R54" s="46">
        <f>DATEDIF($S$7,'AP01'!$B54,"Y")</f>
        <v>35</v>
      </c>
      <c r="S54" s="47">
        <f>VLOOKUP('AP01'!$R54,SEGUROS!$A:$B,2,TRUE)</f>
        <v>0.0001548</v>
      </c>
      <c r="T54" s="51">
        <f>('AP01'!$O54*'AP01'!$P54)*'AP01'!$S54</f>
        <v>41.61024</v>
      </c>
      <c r="U54" s="51">
        <f>'AP01'!$Q54*0.00899%</f>
        <v>38.8368</v>
      </c>
      <c r="V54" s="4"/>
      <c r="W54" s="4"/>
      <c r="X54" s="4"/>
      <c r="Y54" s="4"/>
      <c r="Z54" s="4"/>
    </row>
    <row r="55" ht="18.75" customHeight="1">
      <c r="A55" s="56">
        <f t="shared" si="4"/>
        <v>41</v>
      </c>
      <c r="B55" s="50">
        <f t="shared" si="8"/>
        <v>44490</v>
      </c>
      <c r="C55" s="47">
        <f t="shared" ref="C55:D55" si="81">C54</f>
        <v>0.062</v>
      </c>
      <c r="D55" s="47">
        <f t="shared" si="81"/>
        <v>0.005025</v>
      </c>
      <c r="E55" s="51">
        <f>'AP01'!$F55+'AP01'!$G55</f>
        <v>2190.83</v>
      </c>
      <c r="F55" s="51">
        <v>1350.83</v>
      </c>
      <c r="G55" s="51">
        <f>(O54*'AP01'!$P55)/($I$5-A54)</f>
        <v>840</v>
      </c>
      <c r="H55" s="52">
        <v>39.12</v>
      </c>
      <c r="I55" s="52">
        <v>38.84</v>
      </c>
      <c r="J55" s="51">
        <f t="shared" ref="J55:L55" si="82">J54</f>
        <v>25</v>
      </c>
      <c r="K55" s="51">
        <f t="shared" si="82"/>
        <v>0</v>
      </c>
      <c r="L55" s="51">
        <f t="shared" si="82"/>
        <v>0</v>
      </c>
      <c r="M55" s="51">
        <f>SUM('AP01'!$F55:$L55)</f>
        <v>2293.79</v>
      </c>
      <c r="N55" s="51">
        <f>O54*('AP01'!$P55-1)</f>
        <v>0</v>
      </c>
      <c r="O55" s="51">
        <f>(O54*'AP01'!$P55)-'AP01'!$G55</f>
        <v>267960</v>
      </c>
      <c r="P55" s="53">
        <f t="shared" si="11"/>
        <v>1</v>
      </c>
      <c r="Q55" s="51">
        <f>(Q54*'AP01'!$P55)</f>
        <v>432000</v>
      </c>
      <c r="R55" s="46">
        <f>DATEDIF($S$7,'AP01'!$B55,"Y")</f>
        <v>35</v>
      </c>
      <c r="S55" s="47">
        <f>VLOOKUP('AP01'!$R55,SEGUROS!$A:$B,2,TRUE)</f>
        <v>0.0001548</v>
      </c>
      <c r="T55" s="51">
        <f>('AP01'!$O55*'AP01'!$P55)*'AP01'!$S55</f>
        <v>41.480208</v>
      </c>
      <c r="U55" s="51">
        <f>'AP01'!$Q55*0.00899%</f>
        <v>38.8368</v>
      </c>
      <c r="V55" s="4"/>
      <c r="W55" s="4"/>
      <c r="X55" s="4"/>
      <c r="Y55" s="4"/>
      <c r="Z55" s="4"/>
    </row>
    <row r="56" ht="18.75" customHeight="1">
      <c r="A56" s="56">
        <f t="shared" si="4"/>
        <v>42</v>
      </c>
      <c r="B56" s="50">
        <f t="shared" si="8"/>
        <v>44521</v>
      </c>
      <c r="C56" s="47">
        <f t="shared" ref="C56:D56" si="83">C55</f>
        <v>0.062</v>
      </c>
      <c r="D56" s="47">
        <f t="shared" si="83"/>
        <v>0.005025</v>
      </c>
      <c r="E56" s="51">
        <f>'AP01'!$F56+'AP01'!$G56</f>
        <v>2186.61</v>
      </c>
      <c r="F56" s="51">
        <v>1346.61</v>
      </c>
      <c r="G56" s="51">
        <f>(O55*'AP01'!$P56)/($I$5-A55)</f>
        <v>840</v>
      </c>
      <c r="H56" s="52">
        <v>38.99</v>
      </c>
      <c r="I56" s="52">
        <v>38.84</v>
      </c>
      <c r="J56" s="51">
        <f t="shared" ref="J56:L56" si="84">J55</f>
        <v>25</v>
      </c>
      <c r="K56" s="51">
        <f t="shared" si="84"/>
        <v>0</v>
      </c>
      <c r="L56" s="51">
        <f t="shared" si="84"/>
        <v>0</v>
      </c>
      <c r="M56" s="51">
        <f>SUM('AP01'!$F56:$L56)</f>
        <v>2289.44</v>
      </c>
      <c r="N56" s="51">
        <f>O55*('AP01'!$P56-1)</f>
        <v>0</v>
      </c>
      <c r="O56" s="51">
        <f>(O55*'AP01'!$P56)-'AP01'!$G56</f>
        <v>267120</v>
      </c>
      <c r="P56" s="53">
        <f t="shared" si="11"/>
        <v>1</v>
      </c>
      <c r="Q56" s="51">
        <f>(Q55*'AP01'!$P56)</f>
        <v>432000</v>
      </c>
      <c r="R56" s="46">
        <f>DATEDIF($S$7,'AP01'!$B56,"Y")</f>
        <v>35</v>
      </c>
      <c r="S56" s="47">
        <f>VLOOKUP('AP01'!$R56,SEGUROS!$A:$B,2,TRUE)</f>
        <v>0.0001548</v>
      </c>
      <c r="T56" s="51">
        <f>('AP01'!$O56*'AP01'!$P56)*'AP01'!$S56</f>
        <v>41.350176</v>
      </c>
      <c r="U56" s="51">
        <f>'AP01'!$Q56*0.00899%</f>
        <v>38.8368</v>
      </c>
      <c r="V56" s="4"/>
      <c r="W56" s="4"/>
      <c r="X56" s="4"/>
      <c r="Y56" s="4"/>
      <c r="Z56" s="4"/>
    </row>
    <row r="57" ht="18.75" customHeight="1">
      <c r="A57" s="56">
        <f t="shared" si="4"/>
        <v>43</v>
      </c>
      <c r="B57" s="50">
        <f t="shared" si="8"/>
        <v>44551</v>
      </c>
      <c r="C57" s="47">
        <f t="shared" ref="C57:D57" si="85">C56</f>
        <v>0.062</v>
      </c>
      <c r="D57" s="47">
        <f t="shared" si="85"/>
        <v>0.005025</v>
      </c>
      <c r="E57" s="51">
        <f>'AP01'!$F57+'AP01'!$G57</f>
        <v>2182.39</v>
      </c>
      <c r="F57" s="51">
        <v>1342.39</v>
      </c>
      <c r="G57" s="51">
        <f>(O56*'AP01'!$P57)/($I$5-A56)</f>
        <v>840</v>
      </c>
      <c r="H57" s="52">
        <v>48.24</v>
      </c>
      <c r="I57" s="52">
        <v>38.84</v>
      </c>
      <c r="J57" s="51">
        <f t="shared" ref="J57:L57" si="86">J56</f>
        <v>25</v>
      </c>
      <c r="K57" s="51">
        <f t="shared" si="86"/>
        <v>0</v>
      </c>
      <c r="L57" s="51">
        <f t="shared" si="86"/>
        <v>0</v>
      </c>
      <c r="M57" s="51">
        <f>SUM('AP01'!$F57:$L57)</f>
        <v>2294.47</v>
      </c>
      <c r="N57" s="51">
        <f>O56*('AP01'!$P57-1)</f>
        <v>0</v>
      </c>
      <c r="O57" s="51">
        <f>(O56*'AP01'!$P57)-'AP01'!$G57</f>
        <v>266280</v>
      </c>
      <c r="P57" s="53">
        <f t="shared" si="11"/>
        <v>1</v>
      </c>
      <c r="Q57" s="51">
        <f>(Q56*'AP01'!$P57)</f>
        <v>432000</v>
      </c>
      <c r="R57" s="46">
        <f>DATEDIF($S$7,'AP01'!$B57,"Y")</f>
        <v>36</v>
      </c>
      <c r="S57" s="47">
        <f>VLOOKUP('AP01'!$R57,SEGUROS!$A:$B,2,TRUE)</f>
        <v>0.0002337</v>
      </c>
      <c r="T57" s="51">
        <f>('AP01'!$O57*'AP01'!$P57)*'AP01'!$S57</f>
        <v>62.229636</v>
      </c>
      <c r="U57" s="51">
        <f>'AP01'!$Q57*0.00899%</f>
        <v>38.8368</v>
      </c>
      <c r="V57" s="4"/>
      <c r="W57" s="4"/>
      <c r="X57" s="4"/>
      <c r="Y57" s="4"/>
      <c r="Z57" s="4"/>
    </row>
    <row r="58" ht="18.75" customHeight="1">
      <c r="A58" s="56">
        <f t="shared" si="4"/>
        <v>44</v>
      </c>
      <c r="B58" s="50">
        <f t="shared" si="8"/>
        <v>44582</v>
      </c>
      <c r="C58" s="47">
        <f t="shared" ref="C58:D58" si="87">C57</f>
        <v>0.062</v>
      </c>
      <c r="D58" s="47">
        <f t="shared" si="87"/>
        <v>0.005025</v>
      </c>
      <c r="E58" s="51">
        <f>'AP01'!$F58+'AP01'!$G58</f>
        <v>2180.7738</v>
      </c>
      <c r="F58" s="51">
        <v>1339.77</v>
      </c>
      <c r="G58" s="51">
        <f>(O57*'AP01'!$P58)/($I$5-A57)</f>
        <v>841.0038</v>
      </c>
      <c r="H58" s="52">
        <v>48.14</v>
      </c>
      <c r="I58" s="52">
        <v>38.88</v>
      </c>
      <c r="J58" s="51">
        <f t="shared" ref="J58:L58" si="88">J57</f>
        <v>25</v>
      </c>
      <c r="K58" s="51">
        <f t="shared" si="88"/>
        <v>0</v>
      </c>
      <c r="L58" s="51">
        <f t="shared" si="88"/>
        <v>0</v>
      </c>
      <c r="M58" s="51">
        <f>SUM('AP01'!$F58:$L58)</f>
        <v>2292.7938</v>
      </c>
      <c r="N58" s="51">
        <f>O57*('AP01'!$P58-1)</f>
        <v>318.2046</v>
      </c>
      <c r="O58" s="51">
        <f>(O57*'AP01'!$P58)-'AP01'!$G58</f>
        <v>265757.2008</v>
      </c>
      <c r="P58" s="53">
        <v>1.001195</v>
      </c>
      <c r="Q58" s="51">
        <f>(Q57*'AP01'!$P58)</f>
        <v>432516.24</v>
      </c>
      <c r="R58" s="46">
        <f>DATEDIF($S$7,'AP01'!$B58,"Y")</f>
        <v>36</v>
      </c>
      <c r="S58" s="47">
        <f>VLOOKUP('AP01'!$R58,SEGUROS!$A:$B,2,TRUE)</f>
        <v>0.0002337</v>
      </c>
      <c r="T58" s="51">
        <f>('AP01'!$O58*'AP01'!$P58)*'AP01'!$S58</f>
        <v>62.18167624</v>
      </c>
      <c r="U58" s="51">
        <f>'AP01'!$Q58*0.00899%</f>
        <v>38.88320998</v>
      </c>
      <c r="V58" s="4"/>
      <c r="W58" s="4"/>
      <c r="X58" s="4"/>
      <c r="Y58" s="4"/>
      <c r="Z58" s="4"/>
    </row>
    <row r="59" ht="18.75" customHeight="1">
      <c r="A59" s="56">
        <f t="shared" si="4"/>
        <v>45</v>
      </c>
      <c r="B59" s="50">
        <f t="shared" si="8"/>
        <v>44613</v>
      </c>
      <c r="C59" s="47">
        <f t="shared" ref="C59:D59" si="89">C58</f>
        <v>0.062</v>
      </c>
      <c r="D59" s="47">
        <f t="shared" si="89"/>
        <v>0.005025</v>
      </c>
      <c r="E59" s="51">
        <f>'AP01'!$F59+'AP01'!$G59</f>
        <v>2178.371084</v>
      </c>
      <c r="F59" s="51">
        <v>1336.66</v>
      </c>
      <c r="G59" s="51">
        <f>(O58*'AP01'!$P59)/($I$5-A58)</f>
        <v>841.7110842</v>
      </c>
      <c r="H59" s="52">
        <v>48.65</v>
      </c>
      <c r="I59" s="52">
        <v>38.92</v>
      </c>
      <c r="J59" s="51">
        <f t="shared" ref="J59:L59" si="90">J58</f>
        <v>25</v>
      </c>
      <c r="K59" s="51">
        <f t="shared" si="90"/>
        <v>0</v>
      </c>
      <c r="L59" s="51">
        <f t="shared" si="90"/>
        <v>0</v>
      </c>
      <c r="M59" s="51">
        <f>SUM('AP01'!$F59:$L59)</f>
        <v>2290.941084</v>
      </c>
      <c r="N59" s="51">
        <f>O58*('AP01'!$P59-1)</f>
        <v>223.5018059</v>
      </c>
      <c r="O59" s="51">
        <f>(O58*'AP01'!$P59)-'AP01'!$G59</f>
        <v>265138.9915</v>
      </c>
      <c r="P59" s="53">
        <v>1.000841</v>
      </c>
      <c r="Q59" s="51">
        <f>(Q58*'AP01'!$P59)</f>
        <v>432879.9862</v>
      </c>
      <c r="R59" s="46">
        <f>DATEDIF($S$7,'AP01'!$B59,"Y")</f>
        <v>36</v>
      </c>
      <c r="S59" s="47">
        <f>VLOOKUP('AP01'!$R59,SEGUROS!$A:$B,2,TRUE)</f>
        <v>0.0002337</v>
      </c>
      <c r="T59" s="51">
        <f>('AP01'!$O59*'AP01'!$P59)*'AP01'!$S59</f>
        <v>62.01509319</v>
      </c>
      <c r="U59" s="51">
        <f>'AP01'!$Q59*0.00899%</f>
        <v>38.91591076</v>
      </c>
      <c r="V59" s="4"/>
      <c r="W59" s="4"/>
      <c r="X59" s="4"/>
      <c r="Y59" s="4"/>
      <c r="Z59" s="4"/>
    </row>
    <row r="60" ht="18.75" customHeight="1">
      <c r="A60" s="56">
        <f t="shared" si="4"/>
        <v>46</v>
      </c>
      <c r="B60" s="50">
        <f t="shared" si="8"/>
        <v>44641</v>
      </c>
      <c r="C60" s="47">
        <f t="shared" ref="C60:D60" si="91">C59</f>
        <v>0.062</v>
      </c>
      <c r="D60" s="47">
        <f t="shared" si="91"/>
        <v>0.005025</v>
      </c>
      <c r="E60" s="51">
        <f>'AP01'!$F60+'AP01'!$G60</f>
        <v>2174.141084</v>
      </c>
      <c r="F60" s="51">
        <v>1332.43</v>
      </c>
      <c r="G60" s="51">
        <f>(O59*'AP01'!$P60)/($I$5-A59)</f>
        <v>841.7110842</v>
      </c>
      <c r="H60" s="52">
        <v>48.5</v>
      </c>
      <c r="I60" s="52">
        <v>38.92</v>
      </c>
      <c r="J60" s="51">
        <f t="shared" ref="J60:L60" si="92">J59</f>
        <v>25</v>
      </c>
      <c r="K60" s="51">
        <f t="shared" si="92"/>
        <v>0</v>
      </c>
      <c r="L60" s="51">
        <f t="shared" si="92"/>
        <v>0</v>
      </c>
      <c r="M60" s="51">
        <f>SUM('AP01'!$F60:$L60)</f>
        <v>2286.561084</v>
      </c>
      <c r="N60" s="51">
        <f>O59*('AP01'!$P60-1)</f>
        <v>0</v>
      </c>
      <c r="O60" s="51">
        <f>(O59*'AP01'!$P60)-'AP01'!$G60</f>
        <v>264297.2804</v>
      </c>
      <c r="P60" s="53">
        <v>1.0</v>
      </c>
      <c r="Q60" s="51">
        <f>(Q59*'AP01'!$P60)</f>
        <v>432879.9862</v>
      </c>
      <c r="R60" s="46">
        <f>DATEDIF($S$7,'AP01'!$B60,"Y")</f>
        <v>36</v>
      </c>
      <c r="S60" s="47">
        <f>VLOOKUP('AP01'!$R60,SEGUROS!$A:$B,2,TRUE)</f>
        <v>0.0002337</v>
      </c>
      <c r="T60" s="51">
        <f>('AP01'!$O60*'AP01'!$P60)*'AP01'!$S60</f>
        <v>61.76627444</v>
      </c>
      <c r="U60" s="51">
        <f>'AP01'!$Q60*0.00899%</f>
        <v>38.91591076</v>
      </c>
      <c r="V60" s="4"/>
      <c r="W60" s="4"/>
      <c r="X60" s="4"/>
      <c r="Y60" s="4"/>
      <c r="Z60" s="4"/>
    </row>
    <row r="61" ht="18.75" customHeight="1">
      <c r="A61" s="56">
        <f t="shared" si="4"/>
        <v>47</v>
      </c>
      <c r="B61" s="50">
        <f t="shared" si="8"/>
        <v>44672</v>
      </c>
      <c r="C61" s="47">
        <f t="shared" ref="C61:D61" si="93">C60</f>
        <v>0.062</v>
      </c>
      <c r="D61" s="47">
        <f t="shared" si="93"/>
        <v>0.005025</v>
      </c>
      <c r="E61" s="51">
        <f>'AP01'!$F61+'AP01'!$G61</f>
        <v>2172.783826</v>
      </c>
      <c r="F61" s="51">
        <v>1329.96</v>
      </c>
      <c r="G61" s="51">
        <f>(O60*'AP01'!$P61)/($I$5-A60)</f>
        <v>842.8238262</v>
      </c>
      <c r="H61" s="52">
        <v>48.41</v>
      </c>
      <c r="I61" s="52">
        <v>38.97</v>
      </c>
      <c r="J61" s="51">
        <f t="shared" ref="J61:L61" si="94">J60</f>
        <v>25</v>
      </c>
      <c r="K61" s="51">
        <f t="shared" si="94"/>
        <v>0</v>
      </c>
      <c r="L61" s="51">
        <f t="shared" si="94"/>
        <v>0</v>
      </c>
      <c r="M61" s="51">
        <f>SUM('AP01'!$F61:$L61)</f>
        <v>2285.163826</v>
      </c>
      <c r="N61" s="51">
        <f>O60*('AP01'!$P61-1)</f>
        <v>349.4010047</v>
      </c>
      <c r="O61" s="51">
        <f>(O60*'AP01'!$P61)-'AP01'!$G61</f>
        <v>263803.8576</v>
      </c>
      <c r="P61" s="53">
        <v>1.001322</v>
      </c>
      <c r="Q61" s="51">
        <f>(Q60*'AP01'!$P61)</f>
        <v>433452.2535</v>
      </c>
      <c r="R61" s="46">
        <f>DATEDIF($S$7,'AP01'!$B61,"Y")</f>
        <v>36</v>
      </c>
      <c r="S61" s="47">
        <f>VLOOKUP('AP01'!$R61,SEGUROS!$A:$B,2,TRUE)</f>
        <v>0.0002337</v>
      </c>
      <c r="T61" s="51">
        <f>('AP01'!$O61*'AP01'!$P61)*'AP01'!$S61</f>
        <v>61.7324641</v>
      </c>
      <c r="U61" s="51">
        <f>'AP01'!$Q61*0.00899%</f>
        <v>38.96735759</v>
      </c>
      <c r="V61" s="4"/>
      <c r="W61" s="4"/>
      <c r="X61" s="4"/>
      <c r="Y61" s="4"/>
      <c r="Z61" s="4"/>
    </row>
    <row r="62" ht="18.75" customHeight="1">
      <c r="A62" s="56">
        <f t="shared" si="4"/>
        <v>48</v>
      </c>
      <c r="B62" s="50">
        <f t="shared" si="8"/>
        <v>44702</v>
      </c>
      <c r="C62" s="47">
        <f t="shared" ref="C62:D62" si="95">C61</f>
        <v>0.062</v>
      </c>
      <c r="D62" s="47">
        <f t="shared" si="95"/>
        <v>0.005025</v>
      </c>
      <c r="E62" s="51">
        <f>'AP01'!$F62+'AP01'!$G62</f>
        <v>2171.371183</v>
      </c>
      <c r="F62" s="51">
        <v>1327.45</v>
      </c>
      <c r="G62" s="51">
        <f>(O61*'AP01'!$P62)/($I$5-A61)</f>
        <v>843.9211829</v>
      </c>
      <c r="H62" s="52">
        <v>48.32</v>
      </c>
      <c r="I62" s="52">
        <v>39.02</v>
      </c>
      <c r="J62" s="51">
        <f t="shared" ref="J62:L62" si="96">J61</f>
        <v>25</v>
      </c>
      <c r="K62" s="51">
        <f t="shared" si="96"/>
        <v>0</v>
      </c>
      <c r="L62" s="51">
        <f t="shared" si="96"/>
        <v>0</v>
      </c>
      <c r="M62" s="51">
        <f>SUM('AP01'!$F62:$L62)</f>
        <v>2283.711183</v>
      </c>
      <c r="N62" s="51">
        <f>O61*('AP01'!$P62-1)</f>
        <v>343.4726226</v>
      </c>
      <c r="O62" s="51">
        <f>(O61*'AP01'!$P62)-'AP01'!$G62</f>
        <v>263303.4091</v>
      </c>
      <c r="P62" s="53">
        <v>1.001302</v>
      </c>
      <c r="Q62" s="51">
        <f>(Q61*'AP01'!$P62)</f>
        <v>434016.6083</v>
      </c>
      <c r="R62" s="46">
        <f>DATEDIF($S$7,'AP01'!$B62,"Y")</f>
        <v>36</v>
      </c>
      <c r="S62" s="47">
        <f>VLOOKUP('AP01'!$R62,SEGUROS!$A:$B,2,TRUE)</f>
        <v>0.0002337</v>
      </c>
      <c r="T62" s="51">
        <f>('AP01'!$O62*'AP01'!$P62)*'AP01'!$S62</f>
        <v>61.61412397</v>
      </c>
      <c r="U62" s="51">
        <f>'AP01'!$Q62*0.00899%</f>
        <v>39.01809309</v>
      </c>
      <c r="V62" s="4"/>
      <c r="W62" s="4"/>
      <c r="X62" s="4"/>
      <c r="Y62" s="4"/>
      <c r="Z62" s="4"/>
    </row>
    <row r="63" ht="18.75" customHeight="1">
      <c r="A63" s="56">
        <f t="shared" si="4"/>
        <v>49</v>
      </c>
      <c r="B63" s="50">
        <f t="shared" si="8"/>
        <v>44733</v>
      </c>
      <c r="C63" s="47">
        <f t="shared" ref="C63:E63" si="97">C62</f>
        <v>0.062</v>
      </c>
      <c r="D63" s="47">
        <f t="shared" si="97"/>
        <v>0.005025</v>
      </c>
      <c r="E63" s="51">
        <f t="shared" si="97"/>
        <v>2171.371183</v>
      </c>
      <c r="F63" s="51">
        <v>1324.61</v>
      </c>
      <c r="G63" s="51">
        <f>(O62*'AP01'!$P63)/($I$5-A62)</f>
        <v>844.8174272</v>
      </c>
      <c r="H63" s="52">
        <v>48.21</v>
      </c>
      <c r="I63" s="52">
        <v>39.06</v>
      </c>
      <c r="J63" s="51">
        <f t="shared" ref="J63:L63" si="98">J62</f>
        <v>25</v>
      </c>
      <c r="K63" s="51">
        <f t="shared" si="98"/>
        <v>0</v>
      </c>
      <c r="L63" s="51">
        <f t="shared" si="98"/>
        <v>0</v>
      </c>
      <c r="M63" s="51">
        <f>SUM('AP01'!$F63:$L63)</f>
        <v>2281.697427</v>
      </c>
      <c r="N63" s="51">
        <f>O62*('AP01'!$P63-1)</f>
        <v>279.6282204</v>
      </c>
      <c r="O63" s="51">
        <f>(O62*'AP01'!$P63)-'AP01'!$G63</f>
        <v>262738.2198</v>
      </c>
      <c r="P63" s="53">
        <v>1.001062</v>
      </c>
      <c r="Q63" s="51">
        <f>(Q62*'AP01'!$P63)</f>
        <v>434477.534</v>
      </c>
      <c r="R63" s="46">
        <f>DATEDIF($S$7,'AP01'!$B63,"Y")</f>
        <v>36</v>
      </c>
      <c r="S63" s="47">
        <f>VLOOKUP('AP01'!$R63,SEGUROS!$A:$B,2,TRUE)</f>
        <v>0.0002337</v>
      </c>
      <c r="T63" s="51">
        <f>('AP01'!$O63*'AP01'!$P63)*'AP01'!$S63</f>
        <v>61.46713082</v>
      </c>
      <c r="U63" s="51">
        <f>'AP01'!$Q63*0.00899%</f>
        <v>39.0595303</v>
      </c>
      <c r="V63" s="4"/>
      <c r="W63" s="4"/>
      <c r="X63" s="4"/>
      <c r="Y63" s="4"/>
      <c r="Z63" s="4"/>
    </row>
    <row r="64" ht="18.75" customHeight="1">
      <c r="A64" s="56">
        <f t="shared" si="4"/>
        <v>50</v>
      </c>
      <c r="B64" s="50">
        <f t="shared" si="8"/>
        <v>44763</v>
      </c>
      <c r="C64" s="47">
        <f t="shared" ref="C64:E64" si="99">C63</f>
        <v>0.062</v>
      </c>
      <c r="D64" s="47">
        <f t="shared" si="99"/>
        <v>0.005025</v>
      </c>
      <c r="E64" s="51">
        <f t="shared" si="99"/>
        <v>2171.371183</v>
      </c>
      <c r="F64" s="51">
        <v>1322.91</v>
      </c>
      <c r="G64" s="51">
        <f>(O63*'AP01'!$P64)/($I$5-A63)</f>
        <v>846.4420111</v>
      </c>
      <c r="H64" s="52">
        <v>48.15</v>
      </c>
      <c r="I64" s="52">
        <v>39.13</v>
      </c>
      <c r="J64" s="51">
        <f t="shared" ref="J64:L64" si="100">J63</f>
        <v>25</v>
      </c>
      <c r="K64" s="51">
        <f t="shared" si="100"/>
        <v>0</v>
      </c>
      <c r="L64" s="51">
        <f t="shared" si="100"/>
        <v>0</v>
      </c>
      <c r="M64" s="51">
        <f>SUM('AP01'!$F64:$L64)</f>
        <v>2281.632011</v>
      </c>
      <c r="N64" s="51">
        <f>O63*('AP01'!$P64-1)</f>
        <v>505.2455968</v>
      </c>
      <c r="O64" s="51">
        <v>262397.03</v>
      </c>
      <c r="P64" s="53">
        <v>1.001923</v>
      </c>
      <c r="Q64" s="51">
        <f>(Q63*'AP01'!$P64)</f>
        <v>435313.0343</v>
      </c>
      <c r="R64" s="46">
        <f>DATEDIF($S$7,'AP01'!$B64,"Y")</f>
        <v>36</v>
      </c>
      <c r="S64" s="47">
        <f>VLOOKUP('AP01'!$R64,SEGUROS!$A:$B,2,TRUE)</f>
        <v>0.0002337</v>
      </c>
      <c r="T64" s="51">
        <f>('AP01'!$O64*'AP01'!$P64)*'AP01'!$S64</f>
        <v>61.44010847</v>
      </c>
      <c r="U64" s="51">
        <f>'AP01'!$Q64*0.00899%</f>
        <v>39.13464178</v>
      </c>
      <c r="V64" s="4"/>
      <c r="W64" s="4"/>
      <c r="X64" s="4"/>
      <c r="Y64" s="4"/>
      <c r="Z64" s="4"/>
    </row>
    <row r="65" ht="18.75" customHeight="1">
      <c r="A65" s="56">
        <f t="shared" si="4"/>
        <v>51</v>
      </c>
      <c r="B65" s="50">
        <f t="shared" si="8"/>
        <v>44794</v>
      </c>
      <c r="C65" s="47">
        <f t="shared" ref="C65:E65" si="101">C64</f>
        <v>0.062</v>
      </c>
      <c r="D65" s="47">
        <f t="shared" si="101"/>
        <v>0.005025</v>
      </c>
      <c r="E65" s="51">
        <f t="shared" si="101"/>
        <v>2171.371183</v>
      </c>
      <c r="F65" s="51">
        <v>1321.41</v>
      </c>
      <c r="G65" s="51">
        <f>(O64*'AP01'!$P65)/($I$5-A64)</f>
        <v>848.2110961</v>
      </c>
      <c r="H65" s="52">
        <v>48.1</v>
      </c>
      <c r="I65" s="52">
        <v>39.22</v>
      </c>
      <c r="J65" s="51">
        <f t="shared" ref="J65:L65" si="102">J64</f>
        <v>25</v>
      </c>
      <c r="K65" s="51">
        <f t="shared" si="102"/>
        <v>0</v>
      </c>
      <c r="L65" s="51">
        <f t="shared" si="102"/>
        <v>0</v>
      </c>
      <c r="M65" s="51">
        <f>SUM('AP01'!$F65:$L65)</f>
        <v>2281.941096</v>
      </c>
      <c r="N65" s="51">
        <f>O64*('AP01'!$P65-1)</f>
        <v>548.4097927</v>
      </c>
      <c r="O65" s="51">
        <v>262097.23</v>
      </c>
      <c r="P65" s="53">
        <v>1.00209</v>
      </c>
      <c r="Q65" s="51">
        <f>(Q64*'AP01'!$P65)</f>
        <v>436222.8385</v>
      </c>
      <c r="R65" s="46">
        <f>DATEDIF($S$7,'AP01'!$B65,"Y")</f>
        <v>36</v>
      </c>
      <c r="S65" s="47">
        <f>VLOOKUP('AP01'!$R65,SEGUROS!$A:$B,2,TRUE)</f>
        <v>0.0002337</v>
      </c>
      <c r="T65" s="51">
        <f>('AP01'!$O65*'AP01'!$P65)*'AP01'!$S65</f>
        <v>61.38013959</v>
      </c>
      <c r="U65" s="51">
        <f>'AP01'!$Q65*0.00899%</f>
        <v>39.21643318</v>
      </c>
      <c r="V65" s="4"/>
      <c r="W65" s="4"/>
      <c r="X65" s="4"/>
      <c r="Y65" s="4"/>
      <c r="Z65" s="4"/>
    </row>
    <row r="66" ht="18.75" customHeight="1">
      <c r="A66" s="56">
        <f t="shared" si="4"/>
        <v>52</v>
      </c>
      <c r="B66" s="50">
        <f t="shared" si="8"/>
        <v>44825</v>
      </c>
      <c r="C66" s="47">
        <f t="shared" ref="C66:E66" si="103">C65</f>
        <v>0.062</v>
      </c>
      <c r="D66" s="47">
        <f t="shared" si="103"/>
        <v>0.005025</v>
      </c>
      <c r="E66" s="51">
        <f t="shared" si="103"/>
        <v>2171.371183</v>
      </c>
      <c r="F66" s="51">
        <v>1319.51</v>
      </c>
      <c r="G66" s="51">
        <f>(O65*'AP01'!$P66)/($I$5-A65)</f>
        <v>849.7310946</v>
      </c>
      <c r="H66" s="52">
        <v>48.03</v>
      </c>
      <c r="I66" s="52">
        <v>39.29</v>
      </c>
      <c r="J66" s="51">
        <f t="shared" ref="J66:L66" si="104">J65</f>
        <v>25</v>
      </c>
      <c r="K66" s="51">
        <f t="shared" si="104"/>
        <v>0</v>
      </c>
      <c r="L66" s="51">
        <f t="shared" si="104"/>
        <v>0</v>
      </c>
      <c r="M66" s="51">
        <f>SUM('AP01'!$F66:$L66)</f>
        <v>2281.561095</v>
      </c>
      <c r="N66" s="51">
        <f>O65*('AP01'!$P66-1)</f>
        <v>469.6782362</v>
      </c>
      <c r="O66" s="51">
        <v>261717.18</v>
      </c>
      <c r="P66" s="53">
        <v>1.001792</v>
      </c>
      <c r="Q66" s="51">
        <f>(Q65*'AP01'!$P66)</f>
        <v>437004.5498</v>
      </c>
      <c r="R66" s="46">
        <f>DATEDIF($S$7,'AP01'!$B66,"Y")</f>
        <v>36</v>
      </c>
      <c r="S66" s="47">
        <f>VLOOKUP('AP01'!$R66,SEGUROS!$A:$B,2,TRUE)</f>
        <v>0.0002337</v>
      </c>
      <c r="T66" s="51">
        <f>('AP01'!$O66*'AP01'!$P66)*'AP01'!$S66</f>
        <v>61.27290961</v>
      </c>
      <c r="U66" s="51">
        <f>'AP01'!$Q66*0.00899%</f>
        <v>39.28670903</v>
      </c>
      <c r="V66" s="4"/>
      <c r="W66" s="4"/>
      <c r="X66" s="4"/>
      <c r="Y66" s="4"/>
      <c r="Z66" s="4"/>
    </row>
    <row r="67" ht="18.75" customHeight="1">
      <c r="A67" s="56">
        <f t="shared" si="4"/>
        <v>53</v>
      </c>
      <c r="B67" s="50">
        <f t="shared" si="8"/>
        <v>44855</v>
      </c>
      <c r="C67" s="47">
        <f t="shared" ref="C67:E67" si="105">C66</f>
        <v>0.062</v>
      </c>
      <c r="D67" s="47">
        <f t="shared" si="105"/>
        <v>0.005025</v>
      </c>
      <c r="E67" s="51">
        <f t="shared" si="105"/>
        <v>2171.371183</v>
      </c>
      <c r="F67" s="51">
        <v>1317.65</v>
      </c>
      <c r="G67" s="51">
        <f>(O66*'AP01'!$P67)/($I$5-A66)</f>
        <v>851.2912102</v>
      </c>
      <c r="H67" s="52">
        <v>47.96</v>
      </c>
      <c r="I67" s="52">
        <v>39.36</v>
      </c>
      <c r="J67" s="51">
        <f t="shared" ref="J67:L67" si="106">J66</f>
        <v>25</v>
      </c>
      <c r="K67" s="51">
        <f t="shared" si="106"/>
        <v>0</v>
      </c>
      <c r="L67" s="51">
        <f t="shared" si="106"/>
        <v>0</v>
      </c>
      <c r="M67" s="51">
        <f>SUM('AP01'!$F67:$L67)</f>
        <v>2281.26121</v>
      </c>
      <c r="N67" s="51">
        <f>O66*('AP01'!$P67-1)</f>
        <v>480.5127425</v>
      </c>
      <c r="O67" s="51">
        <v>261346.4</v>
      </c>
      <c r="P67" s="53">
        <v>1.001836</v>
      </c>
      <c r="Q67" s="51">
        <f>(Q66*'AP01'!$P67)</f>
        <v>437806.8902</v>
      </c>
      <c r="R67" s="46">
        <f>DATEDIF($S$7,'AP01'!$B67,"Y")</f>
        <v>36</v>
      </c>
      <c r="S67" s="47">
        <f>VLOOKUP('AP01'!$R67,SEGUROS!$A:$B,2,TRUE)</f>
        <v>0.0002337</v>
      </c>
      <c r="T67" s="51">
        <f>('AP01'!$O67*'AP01'!$P67)*'AP01'!$S67</f>
        <v>61.18879042</v>
      </c>
      <c r="U67" s="51">
        <f>'AP01'!$Q67*0.00899%</f>
        <v>39.35883943</v>
      </c>
      <c r="V67" s="4"/>
      <c r="W67" s="4"/>
      <c r="X67" s="4"/>
      <c r="Y67" s="4"/>
      <c r="Z67" s="4"/>
    </row>
    <row r="68" ht="18.75" customHeight="1">
      <c r="A68" s="56">
        <f t="shared" si="4"/>
        <v>54</v>
      </c>
      <c r="B68" s="50">
        <f t="shared" si="8"/>
        <v>44886</v>
      </c>
      <c r="C68" s="47">
        <f t="shared" ref="C68:E68" si="107">C67</f>
        <v>0.062</v>
      </c>
      <c r="D68" s="47">
        <f t="shared" si="107"/>
        <v>0.005025</v>
      </c>
      <c r="E68" s="51">
        <f t="shared" si="107"/>
        <v>2171.371183</v>
      </c>
      <c r="F68" s="51">
        <v>1314.87</v>
      </c>
      <c r="G68" s="51">
        <f>(O67*'AP01'!$P68)/($I$5-A67)</f>
        <v>852.2591233</v>
      </c>
      <c r="H68" s="52">
        <v>47.86</v>
      </c>
      <c r="I68" s="52">
        <v>39.4</v>
      </c>
      <c r="J68" s="51">
        <f t="shared" ref="J68:L68" si="108">J67</f>
        <v>25</v>
      </c>
      <c r="K68" s="51">
        <f t="shared" si="108"/>
        <v>0</v>
      </c>
      <c r="L68" s="51">
        <f t="shared" si="108"/>
        <v>0</v>
      </c>
      <c r="M68" s="51">
        <f>SUM('AP01'!$F68:$L68)</f>
        <v>2279.389123</v>
      </c>
      <c r="N68" s="51">
        <f>O67*('AP01'!$P68-1)</f>
        <v>297.1508568</v>
      </c>
      <c r="O68" s="51">
        <v>260791.29</v>
      </c>
      <c r="P68" s="53">
        <v>1.001137</v>
      </c>
      <c r="Q68" s="51">
        <f>(Q67*'AP01'!$P68)</f>
        <v>438304.6766</v>
      </c>
      <c r="R68" s="46">
        <f>DATEDIF($S$7,'AP01'!$B68,"Y")</f>
        <v>36</v>
      </c>
      <c r="S68" s="47">
        <f>VLOOKUP('AP01'!$R68,SEGUROS!$A:$B,2,TRUE)</f>
        <v>0.0002337</v>
      </c>
      <c r="T68" s="51">
        <f>('AP01'!$O68*'AP01'!$P68)*'AP01'!$S68</f>
        <v>61.01622113</v>
      </c>
      <c r="U68" s="51">
        <f>'AP01'!$Q68*0.00899%</f>
        <v>39.40359043</v>
      </c>
      <c r="V68" s="4"/>
      <c r="W68" s="4"/>
      <c r="X68" s="4"/>
      <c r="Y68" s="4"/>
      <c r="Z68" s="4"/>
    </row>
    <row r="69" ht="18.75" customHeight="1">
      <c r="A69" s="56">
        <f t="shared" si="4"/>
        <v>55</v>
      </c>
      <c r="B69" s="50">
        <f t="shared" si="8"/>
        <v>44916</v>
      </c>
      <c r="C69" s="47">
        <f t="shared" ref="C69:E69" si="109">C68</f>
        <v>0.062</v>
      </c>
      <c r="D69" s="47">
        <f t="shared" si="109"/>
        <v>0.005025</v>
      </c>
      <c r="E69" s="51">
        <f t="shared" si="109"/>
        <v>2171.371183</v>
      </c>
      <c r="F69" s="51">
        <v>1313.33</v>
      </c>
      <c r="G69" s="51">
        <f>(O68*'AP01'!$P69)/($I$5-A68)</f>
        <v>854.042896</v>
      </c>
      <c r="H69" s="52">
        <v>49.34</v>
      </c>
      <c r="I69" s="52">
        <v>39.49</v>
      </c>
      <c r="J69" s="51">
        <f t="shared" ref="J69:L69" si="110">J68</f>
        <v>25</v>
      </c>
      <c r="K69" s="51">
        <f t="shared" si="110"/>
        <v>0</v>
      </c>
      <c r="L69" s="51">
        <f t="shared" si="110"/>
        <v>0</v>
      </c>
      <c r="M69" s="51">
        <f>SUM('AP01'!$F69:$L69)</f>
        <v>2281.202896</v>
      </c>
      <c r="N69" s="51">
        <f>O68*('AP01'!$P69-1)</f>
        <v>545.83617</v>
      </c>
      <c r="O69" s="51">
        <v>260483.09</v>
      </c>
      <c r="P69" s="53">
        <v>1.002093</v>
      </c>
      <c r="Q69" s="51">
        <f>(Q68*'AP01'!$P69)</f>
        <v>439222.0483</v>
      </c>
      <c r="R69" s="46">
        <f>DATEDIF($S$7,'AP01'!$B69,"Y")</f>
        <v>37</v>
      </c>
      <c r="S69" s="47">
        <f>VLOOKUP('AP01'!$R69,SEGUROS!$A:$B,2,TRUE)</f>
        <v>0.0002469</v>
      </c>
      <c r="T69" s="51">
        <f>('AP01'!$O69*'AP01'!$P69)*'AP01'!$S69</f>
        <v>64.44788261</v>
      </c>
      <c r="U69" s="51">
        <f>'AP01'!$Q69*0.00899%</f>
        <v>39.48606214</v>
      </c>
      <c r="V69" s="4"/>
      <c r="W69" s="4"/>
      <c r="X69" s="4"/>
      <c r="Y69" s="4"/>
      <c r="Z69" s="4"/>
    </row>
    <row r="70" ht="18.75" customHeight="1">
      <c r="A70" s="56">
        <f t="shared" si="4"/>
        <v>56</v>
      </c>
      <c r="B70" s="50">
        <f t="shared" si="8"/>
        <v>44947</v>
      </c>
      <c r="C70" s="47">
        <f t="shared" ref="C70:E70" si="111">C69</f>
        <v>0.062</v>
      </c>
      <c r="D70" s="47">
        <f t="shared" si="111"/>
        <v>0.005025</v>
      </c>
      <c r="E70" s="51">
        <f t="shared" si="111"/>
        <v>2171.371183</v>
      </c>
      <c r="F70" s="51">
        <v>1312.19</v>
      </c>
      <c r="G70" s="51">
        <f>(O69*'AP01'!$P70)/($I$5-A69)</f>
        <v>856.1011615</v>
      </c>
      <c r="H70" s="52">
        <v>49.29</v>
      </c>
      <c r="I70" s="52">
        <v>39.58</v>
      </c>
      <c r="J70" s="51">
        <f t="shared" ref="J70:L70" si="112">J69</f>
        <v>25</v>
      </c>
      <c r="K70" s="51">
        <f t="shared" si="112"/>
        <v>0</v>
      </c>
      <c r="L70" s="51">
        <f t="shared" si="112"/>
        <v>0</v>
      </c>
      <c r="M70" s="51">
        <f>SUM('AP01'!$F70:$L70)</f>
        <v>2282.161161</v>
      </c>
      <c r="N70" s="51">
        <f>O69*('AP01'!$P70-1)</f>
        <v>627.7642469</v>
      </c>
      <c r="O70" s="51">
        <v>260254.75</v>
      </c>
      <c r="P70" s="53">
        <v>1.00241</v>
      </c>
      <c r="Q70" s="51">
        <f>(Q69*'AP01'!$P70)</f>
        <v>440280.5734</v>
      </c>
      <c r="R70" s="46">
        <f>DATEDIF($S$7,'AP01'!$B70,"Y")</f>
        <v>37</v>
      </c>
      <c r="S70" s="47">
        <f>VLOOKUP('AP01'!$R70,SEGUROS!$A:$B,2,TRUE)</f>
        <v>0.0002469</v>
      </c>
      <c r="T70" s="51">
        <f>('AP01'!$O70*'AP01'!$P70)*'AP01'!$S70</f>
        <v>64.4117569</v>
      </c>
      <c r="U70" s="51">
        <f>'AP01'!$Q70*0.00899%</f>
        <v>39.58122355</v>
      </c>
      <c r="V70" s="4"/>
      <c r="W70" s="4"/>
      <c r="X70" s="4"/>
      <c r="Y70" s="4"/>
      <c r="Z70" s="4"/>
    </row>
    <row r="71" ht="18.75" customHeight="1">
      <c r="A71" s="56">
        <f t="shared" si="4"/>
        <v>57</v>
      </c>
      <c r="B71" s="50">
        <f t="shared" si="8"/>
        <v>44978</v>
      </c>
      <c r="C71" s="47">
        <f t="shared" ref="C71:E71" si="113">C70</f>
        <v>0.062</v>
      </c>
      <c r="D71" s="47">
        <f t="shared" si="113"/>
        <v>0.005025</v>
      </c>
      <c r="E71" s="51">
        <f t="shared" si="113"/>
        <v>2171.371183</v>
      </c>
      <c r="F71" s="51">
        <v>1309.83</v>
      </c>
      <c r="G71" s="51">
        <f>(O70*'AP01'!$P71)/($I$5-A70)</f>
        <v>857.3750298</v>
      </c>
      <c r="H71" s="52">
        <v>49.91</v>
      </c>
      <c r="I71" s="52">
        <v>39.64</v>
      </c>
      <c r="J71" s="51">
        <f t="shared" ref="J71:L71" si="114">J70</f>
        <v>25</v>
      </c>
      <c r="K71" s="51">
        <f t="shared" si="114"/>
        <v>0</v>
      </c>
      <c r="L71" s="51">
        <f t="shared" si="114"/>
        <v>0</v>
      </c>
      <c r="M71" s="51">
        <f>SUM('AP01'!$F71:$L71)</f>
        <v>2281.75503</v>
      </c>
      <c r="N71" s="51">
        <f>O70*('AP01'!$P71-1)</f>
        <v>387.259068</v>
      </c>
      <c r="O71" s="51">
        <v>259784.63</v>
      </c>
      <c r="P71" s="53">
        <v>1.001488</v>
      </c>
      <c r="Q71" s="51">
        <f>(Q70*'AP01'!$P71)</f>
        <v>440935.7109</v>
      </c>
      <c r="R71" s="46">
        <f>DATEDIF($S$7,'AP01'!$B71,"Y")</f>
        <v>37</v>
      </c>
      <c r="S71" s="47">
        <f>VLOOKUP('AP01'!$R71,SEGUROS!$A:$B,2,TRUE)</f>
        <v>0.0002469</v>
      </c>
      <c r="T71" s="51">
        <f>('AP01'!$O71*'AP01'!$P71)*'AP01'!$S71</f>
        <v>64.23626669</v>
      </c>
      <c r="U71" s="51">
        <f>'AP01'!$Q71*0.00899%</f>
        <v>39.64012041</v>
      </c>
      <c r="V71" s="4"/>
      <c r="W71" s="4"/>
      <c r="X71" s="4"/>
      <c r="Y71" s="4"/>
      <c r="Z71" s="4"/>
    </row>
    <row r="72" ht="18.75" customHeight="1">
      <c r="A72" s="56">
        <f t="shared" si="4"/>
        <v>58</v>
      </c>
      <c r="B72" s="50">
        <f t="shared" si="8"/>
        <v>45006</v>
      </c>
      <c r="C72" s="47">
        <f t="shared" ref="C72:E72" si="115">C71</f>
        <v>0.062</v>
      </c>
      <c r="D72" s="47">
        <f t="shared" si="115"/>
        <v>0.005025</v>
      </c>
      <c r="E72" s="51">
        <f t="shared" si="115"/>
        <v>2171.371183</v>
      </c>
      <c r="F72" s="51">
        <v>1306.95</v>
      </c>
      <c r="G72" s="51">
        <f>(O71*'AP01'!$P72)/($I$5-A71)</f>
        <v>858.3129848</v>
      </c>
      <c r="H72" s="52">
        <v>49.8</v>
      </c>
      <c r="I72" s="52">
        <v>39.68</v>
      </c>
      <c r="J72" s="51">
        <f t="shared" ref="J72:L72" si="116">J71</f>
        <v>25</v>
      </c>
      <c r="K72" s="51">
        <f t="shared" si="116"/>
        <v>0</v>
      </c>
      <c r="L72" s="51">
        <f t="shared" si="116"/>
        <v>0</v>
      </c>
      <c r="M72" s="51">
        <f>SUM('AP01'!$F72:$L72)</f>
        <v>2279.742985</v>
      </c>
      <c r="N72" s="51">
        <f>O71*('AP01'!$P72-1)</f>
        <v>284.2043852</v>
      </c>
      <c r="O72" s="51">
        <v>259210.52</v>
      </c>
      <c r="P72" s="53">
        <v>1.001094</v>
      </c>
      <c r="Q72" s="51">
        <f>(Q71*'AP01'!$P72)</f>
        <v>441418.0946</v>
      </c>
      <c r="R72" s="46">
        <f>DATEDIF($S$7,'AP01'!$B72,"Y")</f>
        <v>37</v>
      </c>
      <c r="S72" s="47">
        <f>VLOOKUP('AP01'!$R72,SEGUROS!$A:$B,2,TRUE)</f>
        <v>0.0002469</v>
      </c>
      <c r="T72" s="51">
        <f>('AP01'!$O72*'AP01'!$P72)*'AP01'!$S72</f>
        <v>64.06909238</v>
      </c>
      <c r="U72" s="51">
        <f>'AP01'!$Q72*0.00899%</f>
        <v>39.68348671</v>
      </c>
      <c r="V72" s="4"/>
      <c r="W72" s="4"/>
      <c r="X72" s="4"/>
      <c r="Y72" s="4"/>
      <c r="Z72" s="4"/>
    </row>
    <row r="73" ht="18.75" customHeight="1">
      <c r="A73" s="56">
        <f t="shared" si="4"/>
        <v>59</v>
      </c>
      <c r="B73" s="50">
        <f t="shared" si="8"/>
        <v>45037</v>
      </c>
      <c r="C73" s="47">
        <f t="shared" ref="C73:E73" si="117">C72</f>
        <v>0.062</v>
      </c>
      <c r="D73" s="47">
        <f t="shared" si="117"/>
        <v>0.005025</v>
      </c>
      <c r="E73" s="51">
        <f t="shared" si="117"/>
        <v>2171.371183</v>
      </c>
      <c r="F73" s="51">
        <v>1305.36</v>
      </c>
      <c r="G73" s="51">
        <f>(O72*'AP01'!$P73)/($I$5-A72)</f>
        <v>860.1059959</v>
      </c>
      <c r="H73" s="52">
        <v>49.74</v>
      </c>
      <c r="I73" s="52">
        <v>39.77</v>
      </c>
      <c r="J73" s="51">
        <f t="shared" ref="J73:L73" si="118">J72</f>
        <v>25</v>
      </c>
      <c r="K73" s="51">
        <f t="shared" si="118"/>
        <v>0</v>
      </c>
      <c r="L73" s="51">
        <f t="shared" si="118"/>
        <v>0</v>
      </c>
      <c r="M73" s="51">
        <f>SUM('AP01'!$F73:$L73)</f>
        <v>2279.975996</v>
      </c>
      <c r="N73" s="51">
        <f>O72*('AP01'!$P73-1)</f>
        <v>541.4907763</v>
      </c>
      <c r="O73" s="51">
        <v>258891.9</v>
      </c>
      <c r="P73" s="53">
        <v>1.002089</v>
      </c>
      <c r="Q73" s="51">
        <f>(Q72*'AP01'!$P73)</f>
        <v>442340.217</v>
      </c>
      <c r="R73" s="46">
        <f>DATEDIF($S$7,'AP01'!$B73,"Y")</f>
        <v>37</v>
      </c>
      <c r="S73" s="47">
        <f>VLOOKUP('AP01'!$R73,SEGUROS!$A:$B,2,TRUE)</f>
        <v>0.0002469</v>
      </c>
      <c r="T73" s="51">
        <f>('AP01'!$O73*'AP01'!$P73)*'AP01'!$S73</f>
        <v>64.05393985</v>
      </c>
      <c r="U73" s="51">
        <f>'AP01'!$Q73*0.00899%</f>
        <v>39.76638551</v>
      </c>
      <c r="V73" s="4"/>
      <c r="W73" s="4"/>
      <c r="X73" s="4"/>
      <c r="Y73" s="4"/>
      <c r="Z73" s="4"/>
    </row>
    <row r="74" ht="18.75" customHeight="1">
      <c r="A74" s="56">
        <f t="shared" si="4"/>
        <v>60</v>
      </c>
      <c r="B74" s="50">
        <f t="shared" si="8"/>
        <v>45067</v>
      </c>
      <c r="C74" s="47">
        <f t="shared" ref="C74:E74" si="119">C73</f>
        <v>0.062</v>
      </c>
      <c r="D74" s="47">
        <f t="shared" si="119"/>
        <v>0.005025</v>
      </c>
      <c r="E74" s="51">
        <f t="shared" si="119"/>
        <v>2171.371183</v>
      </c>
      <c r="F74" s="51">
        <v>1302.5</v>
      </c>
      <c r="G74" s="51">
        <f>(O73*'AP01'!$P74)/($I$5-A73)</f>
        <v>861.0692988</v>
      </c>
      <c r="H74" s="52">
        <v>49.63</v>
      </c>
      <c r="I74" s="52">
        <v>39.81</v>
      </c>
      <c r="J74" s="51">
        <f t="shared" ref="J74:L74" si="120">J73</f>
        <v>25</v>
      </c>
      <c r="K74" s="51">
        <f t="shared" si="120"/>
        <v>0</v>
      </c>
      <c r="L74" s="51">
        <f t="shared" si="120"/>
        <v>0</v>
      </c>
      <c r="M74" s="51">
        <f>SUM('AP01'!$F74:$L74)</f>
        <v>2278.009299</v>
      </c>
      <c r="N74" s="51">
        <f>O73*('AP01'!$P74-1)</f>
        <v>289.958928</v>
      </c>
      <c r="O74" s="51">
        <v>258320.79</v>
      </c>
      <c r="P74" s="53">
        <v>1.00112</v>
      </c>
      <c r="Q74" s="51">
        <f>(Q73*'AP01'!$P74)</f>
        <v>442835.6381</v>
      </c>
      <c r="R74" s="46">
        <f>DATEDIF($S$7,'AP01'!$B74,"Y")</f>
        <v>37</v>
      </c>
      <c r="S74" s="47">
        <f>VLOOKUP('AP01'!$R74,SEGUROS!$A:$B,2,TRUE)</f>
        <v>0.0002469</v>
      </c>
      <c r="T74" s="51">
        <f>('AP01'!$O74*'AP01'!$P74)*'AP01'!$S74</f>
        <v>63.85083598</v>
      </c>
      <c r="U74" s="51">
        <f>'AP01'!$Q74*0.00899%</f>
        <v>39.81092386</v>
      </c>
      <c r="V74" s="4"/>
      <c r="W74" s="4"/>
      <c r="X74" s="4"/>
      <c r="Y74" s="4"/>
      <c r="Z74" s="4"/>
    </row>
    <row r="75" ht="18.75" customHeight="1">
      <c r="A75" s="56">
        <f t="shared" si="4"/>
        <v>61</v>
      </c>
      <c r="B75" s="50">
        <f t="shared" si="8"/>
        <v>45098</v>
      </c>
      <c r="C75" s="47">
        <f t="shared" ref="C75:E75" si="121">C74</f>
        <v>0.062</v>
      </c>
      <c r="D75" s="47">
        <f t="shared" si="121"/>
        <v>0.005025</v>
      </c>
      <c r="E75" s="51">
        <f t="shared" si="121"/>
        <v>2171.371183</v>
      </c>
      <c r="F75" s="51">
        <v>1300.49</v>
      </c>
      <c r="G75" s="51">
        <f>(O74*'AP01'!$P75)/($I$5-A74)</f>
        <v>862.6114751</v>
      </c>
      <c r="H75" s="52">
        <v>49.56</v>
      </c>
      <c r="I75" s="52">
        <v>39.88</v>
      </c>
      <c r="J75" s="51">
        <f t="shared" ref="J75:L75" si="122">J74</f>
        <v>25</v>
      </c>
      <c r="K75" s="51">
        <f t="shared" si="122"/>
        <v>0</v>
      </c>
      <c r="L75" s="51">
        <f t="shared" si="122"/>
        <v>0</v>
      </c>
      <c r="M75" s="51">
        <f>SUM('AP01'!$F75:$L75)</f>
        <v>2277.541475</v>
      </c>
      <c r="N75" s="51">
        <f>O74*('AP01'!$P75-1)</f>
        <v>462.6525349</v>
      </c>
      <c r="O75" s="51">
        <v>257920.83</v>
      </c>
      <c r="P75" s="53">
        <v>1.001791</v>
      </c>
      <c r="Q75" s="51">
        <f>(Q74*'AP01'!$P75)</f>
        <v>443628.7567</v>
      </c>
      <c r="R75" s="46">
        <f>DATEDIF($S$7,'AP01'!$B75,"Y")</f>
        <v>37</v>
      </c>
      <c r="S75" s="47">
        <f>VLOOKUP('AP01'!$R75,SEGUROS!$A:$B,2,TRUE)</f>
        <v>0.0002469</v>
      </c>
      <c r="T75" s="51">
        <f>('AP01'!$O75*'AP01'!$P75)*'AP01'!$S75</f>
        <v>63.79470498</v>
      </c>
      <c r="U75" s="51">
        <f>'AP01'!$Q75*0.00899%</f>
        <v>39.88222523</v>
      </c>
      <c r="V75" s="4"/>
      <c r="W75" s="4"/>
      <c r="X75" s="4"/>
      <c r="Y75" s="4"/>
      <c r="Z75" s="4"/>
    </row>
    <row r="76" ht="18.75" customHeight="1">
      <c r="A76" s="56">
        <f t="shared" si="4"/>
        <v>62</v>
      </c>
      <c r="B76" s="50">
        <f t="shared" si="8"/>
        <v>45128</v>
      </c>
      <c r="C76" s="47">
        <f t="shared" ref="C76:E76" si="123">C75</f>
        <v>0.062</v>
      </c>
      <c r="D76" s="47">
        <f t="shared" si="123"/>
        <v>0.005025</v>
      </c>
      <c r="E76" s="51">
        <f t="shared" si="123"/>
        <v>2171.371183</v>
      </c>
      <c r="F76" s="51">
        <v>1298.75</v>
      </c>
      <c r="G76" s="51">
        <f>(O75*'AP01'!$P76)/($I$5-A75)</f>
        <v>864.3392823</v>
      </c>
      <c r="H76" s="52">
        <v>49.49</v>
      </c>
      <c r="I76" s="52">
        <v>39.96</v>
      </c>
      <c r="J76" s="51">
        <f t="shared" ref="J76:L76" si="124">J75</f>
        <v>25</v>
      </c>
      <c r="K76" s="51">
        <f t="shared" si="124"/>
        <v>0</v>
      </c>
      <c r="L76" s="51">
        <f t="shared" si="124"/>
        <v>0</v>
      </c>
      <c r="M76" s="51">
        <f>SUM('AP01'!$F76:$L76)</f>
        <v>2277.539282</v>
      </c>
      <c r="N76" s="51">
        <f>O75*('AP01'!$P76-1)</f>
        <v>516.6154225</v>
      </c>
      <c r="O76" s="51">
        <v>257573.11</v>
      </c>
      <c r="P76" s="53">
        <v>1.002003</v>
      </c>
      <c r="Q76" s="51">
        <f>(Q75*'AP01'!$P76)</f>
        <v>444517.3451</v>
      </c>
      <c r="R76" s="46">
        <f>DATEDIF($S$7,'AP01'!$B76,"Y")</f>
        <v>37</v>
      </c>
      <c r="S76" s="47">
        <f>VLOOKUP('AP01'!$R76,SEGUROS!$A:$B,2,TRUE)</f>
        <v>0.0002469</v>
      </c>
      <c r="T76" s="51">
        <f>('AP01'!$O76*'AP01'!$P76)*'AP01'!$S76</f>
        <v>63.72218125</v>
      </c>
      <c r="U76" s="51">
        <f>'AP01'!$Q76*0.00899%</f>
        <v>39.96210932</v>
      </c>
      <c r="V76" s="4"/>
      <c r="W76" s="4"/>
      <c r="X76" s="4"/>
      <c r="Y76" s="4"/>
      <c r="Z76" s="4"/>
    </row>
    <row r="77" ht="18.75" customHeight="1">
      <c r="A77" s="56">
        <f t="shared" si="4"/>
        <v>63</v>
      </c>
      <c r="B77" s="50">
        <f t="shared" si="8"/>
        <v>45159</v>
      </c>
      <c r="C77" s="58">
        <v>0.1049</v>
      </c>
      <c r="D77" s="58">
        <f>((1+'AP01'!$C77)^(1/12))-1</f>
        <v>0.00834755088</v>
      </c>
      <c r="E77" s="51">
        <f t="shared" ref="E77:E374" si="126">E76</f>
        <v>2171.371183</v>
      </c>
      <c r="F77" s="51">
        <v>2153.5</v>
      </c>
      <c r="G77" s="51">
        <f>(O76*'AP01'!$P77)/($I$5-A76)</f>
        <v>865.7049514</v>
      </c>
      <c r="H77" s="52">
        <v>49.4</v>
      </c>
      <c r="I77" s="52">
        <v>40.03</v>
      </c>
      <c r="J77" s="51">
        <f t="shared" ref="J77:L77" si="125">J76</f>
        <v>25</v>
      </c>
      <c r="K77" s="51">
        <f t="shared" si="125"/>
        <v>0</v>
      </c>
      <c r="L77" s="51">
        <f t="shared" si="125"/>
        <v>0</v>
      </c>
      <c r="M77" s="51">
        <f>SUM('AP01'!$F77:$L77)</f>
        <v>3133.634951</v>
      </c>
      <c r="N77" s="51">
        <f>O76*('AP01'!$P77-1)</f>
        <v>406.9655138</v>
      </c>
      <c r="O77" s="51">
        <v>257114.38</v>
      </c>
      <c r="P77" s="53">
        <v>1.00158</v>
      </c>
      <c r="Q77" s="51">
        <f>(Q76*'AP01'!$P77)</f>
        <v>445219.6825</v>
      </c>
      <c r="R77" s="46">
        <f>DATEDIF($S$7,'AP01'!$B77,"Y")</f>
        <v>37</v>
      </c>
      <c r="S77" s="47">
        <f>VLOOKUP('AP01'!$R77,SEGUROS!$A:$B,2,TRUE)</f>
        <v>0.0002469</v>
      </c>
      <c r="T77" s="51">
        <f>('AP01'!$O77*'AP01'!$P77)*'AP01'!$S77</f>
        <v>63.58184126</v>
      </c>
      <c r="U77" s="51">
        <f>'AP01'!$Q77*0.00899%</f>
        <v>40.02524946</v>
      </c>
      <c r="V77" s="4"/>
      <c r="W77" s="4"/>
      <c r="X77" s="4"/>
      <c r="Y77" s="4"/>
      <c r="Z77" s="4"/>
    </row>
    <row r="78" ht="18.75" customHeight="1">
      <c r="A78" s="56">
        <f t="shared" si="4"/>
        <v>64</v>
      </c>
      <c r="B78" s="50">
        <f t="shared" si="8"/>
        <v>45190</v>
      </c>
      <c r="C78" s="58">
        <f t="shared" ref="C78:C374" si="128">C77</f>
        <v>0.1049</v>
      </c>
      <c r="D78" s="58">
        <f>((1+'AP01'!$C78)^(1/12))-1</f>
        <v>0.00834755088</v>
      </c>
      <c r="E78" s="51">
        <f t="shared" si="126"/>
        <v>2171.371183</v>
      </c>
      <c r="F78" s="51">
        <v>2150.09</v>
      </c>
      <c r="G78" s="51">
        <f>(O77*'AP01'!$P78)/($I$5-A77)</f>
        <v>867.2442066</v>
      </c>
      <c r="H78" s="52">
        <v>49.33</v>
      </c>
      <c r="I78" s="52">
        <v>40.1</v>
      </c>
      <c r="J78" s="51">
        <f t="shared" ref="J78:L78" si="127">J77</f>
        <v>25</v>
      </c>
      <c r="K78" s="51">
        <f t="shared" si="127"/>
        <v>0</v>
      </c>
      <c r="L78" s="51">
        <f t="shared" si="127"/>
        <v>0</v>
      </c>
      <c r="M78" s="51">
        <f>SUM('AP01'!$F78:$L78)</f>
        <v>3131.764207</v>
      </c>
      <c r="N78" s="51">
        <f>O77*('AP01'!$P78-1)</f>
        <v>457.1493676</v>
      </c>
      <c r="O78" s="51">
        <v>256704.29</v>
      </c>
      <c r="P78" s="53">
        <v>1.001778</v>
      </c>
      <c r="Q78" s="51">
        <f>(Q77*'AP01'!$P78)</f>
        <v>446011.2831</v>
      </c>
      <c r="R78" s="46">
        <f>DATEDIF($S$7,'AP01'!$B78,"Y")</f>
        <v>37</v>
      </c>
      <c r="S78" s="47">
        <f>VLOOKUP('AP01'!$R78,SEGUROS!$A:$B,2,TRUE)</f>
        <v>0.0002469</v>
      </c>
      <c r="T78" s="51">
        <f>('AP01'!$O78*'AP01'!$P78)*'AP01'!$S78</f>
        <v>63.49297936</v>
      </c>
      <c r="U78" s="51">
        <f>'AP01'!$Q78*0.00899%</f>
        <v>40.09641435</v>
      </c>
      <c r="V78" s="4"/>
      <c r="W78" s="4"/>
      <c r="X78" s="4"/>
      <c r="Y78" s="4"/>
      <c r="Z78" s="4"/>
    </row>
    <row r="79" ht="18.75" customHeight="1">
      <c r="A79" s="56">
        <f t="shared" si="4"/>
        <v>65</v>
      </c>
      <c r="B79" s="50">
        <f t="shared" si="8"/>
        <v>45220</v>
      </c>
      <c r="C79" s="58">
        <f t="shared" si="128"/>
        <v>0.1049</v>
      </c>
      <c r="D79" s="58">
        <f>((1+'AP01'!$C79)^(1/12))-1</f>
        <v>0.00834755088</v>
      </c>
      <c r="E79" s="51">
        <f t="shared" si="126"/>
        <v>2171.371183</v>
      </c>
      <c r="F79" s="51">
        <v>2145.32</v>
      </c>
      <c r="G79" s="51">
        <f>(O78*'AP01'!$P79)/($I$5-A78)</f>
        <v>868.2415538</v>
      </c>
      <c r="H79" s="52">
        <v>49.22</v>
      </c>
      <c r="I79" s="52">
        <v>40.14</v>
      </c>
      <c r="J79" s="51">
        <f t="shared" ref="J79:L79" si="129">J78</f>
        <v>25</v>
      </c>
      <c r="K79" s="51">
        <f t="shared" si="129"/>
        <v>0</v>
      </c>
      <c r="L79" s="51">
        <f t="shared" si="129"/>
        <v>0</v>
      </c>
      <c r="M79" s="51">
        <f>SUM('AP01'!$F79:$L79)</f>
        <v>3127.921554</v>
      </c>
      <c r="N79" s="51">
        <f>O78*('AP01'!$P79-1)</f>
        <v>295.2099335</v>
      </c>
      <c r="O79" s="51">
        <v>256131.26</v>
      </c>
      <c r="P79" s="53">
        <v>1.00115</v>
      </c>
      <c r="Q79" s="51">
        <f>(Q78*'AP01'!$P79)</f>
        <v>446524.1961</v>
      </c>
      <c r="R79" s="46">
        <f>DATEDIF($S$7,'AP01'!$B79,"Y")</f>
        <v>37</v>
      </c>
      <c r="S79" s="47">
        <f>VLOOKUP('AP01'!$R79,SEGUROS!$A:$B,2,TRUE)</f>
        <v>0.0002469</v>
      </c>
      <c r="T79" s="51">
        <f>('AP01'!$O79*'AP01'!$P79)*'AP01'!$S79</f>
        <v>63.31153272</v>
      </c>
      <c r="U79" s="51">
        <f>'AP01'!$Q79*0.00899%</f>
        <v>40.14252523</v>
      </c>
      <c r="V79" s="4"/>
      <c r="W79" s="4"/>
      <c r="X79" s="4"/>
      <c r="Y79" s="4"/>
      <c r="Z79" s="4"/>
    </row>
    <row r="80" ht="18.75" customHeight="1">
      <c r="A80" s="56">
        <f t="shared" si="4"/>
        <v>66</v>
      </c>
      <c r="B80" s="50">
        <f t="shared" si="8"/>
        <v>45251</v>
      </c>
      <c r="C80" s="58">
        <f t="shared" si="128"/>
        <v>0.1049</v>
      </c>
      <c r="D80" s="58">
        <f>((1+'AP01'!$C80)^(1/12))-1</f>
        <v>0.00834755088</v>
      </c>
      <c r="E80" s="51">
        <f t="shared" si="126"/>
        <v>2171.371183</v>
      </c>
      <c r="F80" s="51">
        <v>2139.13</v>
      </c>
      <c r="G80" s="51">
        <f>(O79*'AP01'!$P80)/($I$5-A79)</f>
        <v>868.6730754</v>
      </c>
      <c r="H80" s="52">
        <v>49.08</v>
      </c>
      <c r="I80" s="52">
        <v>40.16</v>
      </c>
      <c r="J80" s="51">
        <f t="shared" ref="J80:L80" si="130">J79</f>
        <v>25</v>
      </c>
      <c r="K80" s="51">
        <f t="shared" si="130"/>
        <v>0</v>
      </c>
      <c r="L80" s="51">
        <f t="shared" si="130"/>
        <v>0</v>
      </c>
      <c r="M80" s="51">
        <f>SUM('AP01'!$F80:$L80)</f>
        <v>3122.043075</v>
      </c>
      <c r="N80" s="51">
        <f>O79*('AP01'!$P80-1)</f>
        <v>127.2972362</v>
      </c>
      <c r="O80" s="51">
        <v>255389.89</v>
      </c>
      <c r="P80" s="53">
        <v>1.000497</v>
      </c>
      <c r="Q80" s="51">
        <f>(Q79*'AP01'!$P80)</f>
        <v>446746.1186</v>
      </c>
      <c r="R80" s="46">
        <f>DATEDIF($S$7,'AP01'!$B80,"Y")</f>
        <v>37</v>
      </c>
      <c r="S80" s="47">
        <f>VLOOKUP('AP01'!$R80,SEGUROS!$A:$B,2,TRUE)</f>
        <v>0.0002469</v>
      </c>
      <c r="T80" s="51">
        <f>('AP01'!$O80*'AP01'!$P80)*'AP01'!$S80</f>
        <v>63.08710256</v>
      </c>
      <c r="U80" s="51">
        <f>'AP01'!$Q80*0.00899%</f>
        <v>40.16247606</v>
      </c>
      <c r="V80" s="4"/>
      <c r="W80" s="4"/>
      <c r="X80" s="4"/>
      <c r="Y80" s="4"/>
      <c r="Z80" s="4"/>
    </row>
    <row r="81" ht="18.75" customHeight="1">
      <c r="A81" s="56">
        <f t="shared" si="4"/>
        <v>67</v>
      </c>
      <c r="B81" s="50">
        <f t="shared" si="8"/>
        <v>45281</v>
      </c>
      <c r="C81" s="58">
        <f t="shared" si="128"/>
        <v>0.1049</v>
      </c>
      <c r="D81" s="58">
        <f>((1+'AP01'!$C81)^(1/12))-1</f>
        <v>0.00834755088</v>
      </c>
      <c r="E81" s="51">
        <f t="shared" si="126"/>
        <v>2171.371183</v>
      </c>
      <c r="F81" s="51">
        <v>2134.6</v>
      </c>
      <c r="G81" s="51">
        <f>(O80*'AP01'!$P81)/($I$5-A80)</f>
        <v>869.7823908</v>
      </c>
      <c r="H81" s="52">
        <v>50.82</v>
      </c>
      <c r="I81" s="52">
        <v>40.21</v>
      </c>
      <c r="J81" s="51">
        <f t="shared" ref="J81:L81" si="131">J80</f>
        <v>25</v>
      </c>
      <c r="K81" s="51">
        <f t="shared" si="131"/>
        <v>0</v>
      </c>
      <c r="L81" s="51">
        <f t="shared" si="131"/>
        <v>0</v>
      </c>
      <c r="M81" s="51">
        <f>SUM('AP01'!$F81:$L81)</f>
        <v>3120.412391</v>
      </c>
      <c r="N81" s="51">
        <f>O80*('AP01'!$P81-1)</f>
        <v>326.1328895</v>
      </c>
      <c r="O81" s="51">
        <v>254846.24</v>
      </c>
      <c r="P81" s="53">
        <v>1.001277</v>
      </c>
      <c r="Q81" s="51">
        <f>(Q80*'AP01'!$P81)</f>
        <v>447316.6134</v>
      </c>
      <c r="R81" s="46">
        <f>DATEDIF($S$7,'AP01'!$B81,"Y")</f>
        <v>38</v>
      </c>
      <c r="S81" s="47">
        <f>VLOOKUP('AP01'!$R81,SEGUROS!$A:$B,2,TRUE)</f>
        <v>0.0002632</v>
      </c>
      <c r="T81" s="51">
        <f>('AP01'!$O81*'AP01'!$P81)*'AP01'!$S81</f>
        <v>67.16118582</v>
      </c>
      <c r="U81" s="51">
        <f>'AP01'!$Q81*0.00899%</f>
        <v>40.21376354</v>
      </c>
      <c r="V81" s="4"/>
      <c r="W81" s="4"/>
      <c r="X81" s="4"/>
      <c r="Y81" s="4"/>
      <c r="Z81" s="4"/>
    </row>
    <row r="82" ht="18.75" customHeight="1">
      <c r="A82" s="56">
        <f t="shared" si="4"/>
        <v>68</v>
      </c>
      <c r="B82" s="50">
        <f t="shared" si="8"/>
        <v>45312</v>
      </c>
      <c r="C82" s="58">
        <f t="shared" si="128"/>
        <v>0.1049</v>
      </c>
      <c r="D82" s="58">
        <f>((1+'AP01'!$C82)^(1/12))-1</f>
        <v>0.00834755088</v>
      </c>
      <c r="E82" s="51">
        <f t="shared" si="126"/>
        <v>2171.371183</v>
      </c>
      <c r="F82" s="51">
        <v>2128.33</v>
      </c>
      <c r="G82" s="51">
        <f>(O81*'AP01'!$P82)/($I$5-A81)</f>
        <v>870.1859681</v>
      </c>
      <c r="H82" s="52">
        <v>50.67</v>
      </c>
      <c r="I82" s="52">
        <v>40.23</v>
      </c>
      <c r="J82" s="51">
        <f t="shared" ref="J82:L82" si="132">J81</f>
        <v>25</v>
      </c>
      <c r="K82" s="51">
        <f t="shared" si="132"/>
        <v>0</v>
      </c>
      <c r="L82" s="51">
        <f t="shared" si="132"/>
        <v>0</v>
      </c>
      <c r="M82" s="51">
        <f>SUM('AP01'!$F82:$L82)</f>
        <v>3114.415968</v>
      </c>
      <c r="N82" s="51">
        <f>O81*('AP01'!$P82-1)</f>
        <v>118.2486554</v>
      </c>
      <c r="O82" s="51">
        <v>254094.3</v>
      </c>
      <c r="P82" s="53">
        <v>1.000464</v>
      </c>
      <c r="Q82" s="51">
        <f>(Q81*'AP01'!$P82)</f>
        <v>447524.1683</v>
      </c>
      <c r="R82" s="46">
        <f>DATEDIF($S$7,'AP01'!$B82,"Y")</f>
        <v>38</v>
      </c>
      <c r="S82" s="47">
        <f>VLOOKUP('AP01'!$R82,SEGUROS!$A:$B,2,TRUE)</f>
        <v>0.0002632</v>
      </c>
      <c r="T82" s="51">
        <f>('AP01'!$O82*'AP01'!$P82)*'AP01'!$S82</f>
        <v>66.90865098</v>
      </c>
      <c r="U82" s="51">
        <f>'AP01'!$Q82*0.00899%</f>
        <v>40.23242273</v>
      </c>
      <c r="V82" s="4"/>
      <c r="W82" s="4"/>
      <c r="X82" s="4"/>
      <c r="Y82" s="4"/>
      <c r="Z82" s="4"/>
    </row>
    <row r="83" ht="18.75" customHeight="1">
      <c r="A83" s="56">
        <f t="shared" si="4"/>
        <v>69</v>
      </c>
      <c r="B83" s="50">
        <f t="shared" si="8"/>
        <v>45343</v>
      </c>
      <c r="C83" s="58">
        <f t="shared" si="128"/>
        <v>0.1049</v>
      </c>
      <c r="D83" s="58">
        <f>((1+'AP01'!$C83)^(1/12))-1</f>
        <v>0.00834755088</v>
      </c>
      <c r="E83" s="51">
        <f t="shared" si="126"/>
        <v>2171.371183</v>
      </c>
      <c r="F83" s="51">
        <v>2121.86</v>
      </c>
      <c r="G83" s="51">
        <f>(O82*'AP01'!$P83)/($I$5-A82)</f>
        <v>870.514019</v>
      </c>
      <c r="H83" s="52">
        <v>51.59</v>
      </c>
      <c r="I83" s="52">
        <v>40.25</v>
      </c>
      <c r="J83" s="51">
        <f t="shared" ref="J83:L83" si="133">J82</f>
        <v>25</v>
      </c>
      <c r="K83" s="51">
        <f t="shared" si="133"/>
        <v>0</v>
      </c>
      <c r="L83" s="51">
        <f t="shared" si="133"/>
        <v>0</v>
      </c>
      <c r="M83" s="51">
        <f>SUM('AP01'!$F83:$L83)</f>
        <v>3109.214019</v>
      </c>
      <c r="N83" s="51">
        <f>O82*('AP01'!$P83-1)</f>
        <v>95.7935511</v>
      </c>
      <c r="O83" s="51">
        <v>253319.58</v>
      </c>
      <c r="P83" s="53">
        <v>1.000377</v>
      </c>
      <c r="Q83" s="51">
        <f>(Q82*'AP01'!$P83)</f>
        <v>447692.8849</v>
      </c>
      <c r="R83" s="46">
        <f>DATEDIF($S$7,'AP01'!$B83,"Y")</f>
        <v>38</v>
      </c>
      <c r="S83" s="47">
        <f>VLOOKUP('AP01'!$R83,SEGUROS!$A:$B,2,TRUE)</f>
        <v>0.0002632</v>
      </c>
      <c r="T83" s="51">
        <f>('AP01'!$O83*'AP01'!$P83)*'AP01'!$S83</f>
        <v>66.69884945</v>
      </c>
      <c r="U83" s="51">
        <f>'AP01'!$Q83*0.00899%</f>
        <v>40.24759035</v>
      </c>
      <c r="V83" s="4"/>
      <c r="W83" s="4"/>
      <c r="X83" s="4"/>
      <c r="Y83" s="4"/>
      <c r="Z83" s="4"/>
    </row>
    <row r="84" ht="18.75" customHeight="1">
      <c r="A84" s="59">
        <f t="shared" si="4"/>
        <v>70</v>
      </c>
      <c r="B84" s="60">
        <f t="shared" si="8"/>
        <v>45372</v>
      </c>
      <c r="C84" s="61">
        <f t="shared" si="128"/>
        <v>0.1049</v>
      </c>
      <c r="D84" s="61">
        <f>((1+'AP01'!$C84)^(1/12))-1</f>
        <v>0.00834755088</v>
      </c>
      <c r="E84" s="62">
        <f t="shared" si="126"/>
        <v>2171.371183</v>
      </c>
      <c r="F84" s="62">
        <v>2115.97</v>
      </c>
      <c r="G84" s="62">
        <f>(O83*'AP01'!$P84)/($I$5-A83)</f>
        <v>871.0781137</v>
      </c>
      <c r="H84" s="63">
        <v>51.45</v>
      </c>
      <c r="I84" s="63">
        <v>40.27</v>
      </c>
      <c r="J84" s="62">
        <f t="shared" ref="J84:L84" si="134">J83</f>
        <v>25</v>
      </c>
      <c r="K84" s="62">
        <f t="shared" si="134"/>
        <v>0</v>
      </c>
      <c r="L84" s="62">
        <f t="shared" si="134"/>
        <v>0</v>
      </c>
      <c r="M84" s="62">
        <f>SUM('AP01'!$F84:$L84)</f>
        <v>3103.768114</v>
      </c>
      <c r="N84" s="62">
        <f>O83*('AP01'!$P84-1)</f>
        <v>164.1510878</v>
      </c>
      <c r="O84" s="62">
        <v>252612.65</v>
      </c>
      <c r="P84" s="64">
        <v>1.000648</v>
      </c>
      <c r="Q84" s="51">
        <f>(Q83*'AP01'!$P84)</f>
        <v>447982.9899</v>
      </c>
      <c r="R84" s="46">
        <f>DATEDIF($S$7,'AP01'!$B84,"Y")</f>
        <v>38</v>
      </c>
      <c r="S84" s="47">
        <f>VLOOKUP('AP01'!$R84,SEGUROS!$A:$B,2,TRUE)</f>
        <v>0.0002632</v>
      </c>
      <c r="T84" s="51">
        <f>('AP01'!$O84*'AP01'!$P84)*'AP01'!$S84</f>
        <v>66.53073348</v>
      </c>
      <c r="U84" s="51">
        <f>'AP01'!$Q84*0.00899%</f>
        <v>40.27367079</v>
      </c>
      <c r="V84" s="65"/>
      <c r="W84" s="4"/>
      <c r="X84" s="4"/>
      <c r="Y84" s="4"/>
      <c r="Z84" s="4"/>
    </row>
    <row r="85" ht="18.75" customHeight="1">
      <c r="A85" s="59">
        <f t="shared" si="4"/>
        <v>71</v>
      </c>
      <c r="B85" s="60">
        <f t="shared" si="8"/>
        <v>45403</v>
      </c>
      <c r="C85" s="61">
        <f t="shared" si="128"/>
        <v>0.1049</v>
      </c>
      <c r="D85" s="61">
        <f>((1+'AP01'!$C85)^(1/12))-1</f>
        <v>0.00834755088</v>
      </c>
      <c r="E85" s="62">
        <f t="shared" si="126"/>
        <v>2171.371183</v>
      </c>
      <c r="F85" s="62">
        <v>2135.95</v>
      </c>
      <c r="G85" s="62">
        <v>882.33</v>
      </c>
      <c r="H85" s="63">
        <v>51.94</v>
      </c>
      <c r="I85" s="63">
        <v>40.3</v>
      </c>
      <c r="J85" s="62">
        <f t="shared" ref="J85:L85" si="135">J84</f>
        <v>25</v>
      </c>
      <c r="K85" s="62">
        <f t="shared" si="135"/>
        <v>0</v>
      </c>
      <c r="L85" s="62">
        <f t="shared" si="135"/>
        <v>0</v>
      </c>
      <c r="M85" s="62">
        <f>SUM('AP01'!$F85:$L85)</f>
        <v>3135.52</v>
      </c>
      <c r="N85" s="62">
        <f>O84*('AP01'!$P85-1)</f>
        <v>158.6407442</v>
      </c>
      <c r="O85" s="62">
        <v>254994.68</v>
      </c>
      <c r="P85" s="64">
        <v>1.000628</v>
      </c>
      <c r="Q85" s="51">
        <f>(Q84*'AP01'!$P85)</f>
        <v>448264.3232</v>
      </c>
      <c r="R85" s="46">
        <f>DATEDIF($S$7,'AP01'!$B85,"Y")</f>
        <v>38</v>
      </c>
      <c r="S85" s="47">
        <f>VLOOKUP('AP01'!$R85,SEGUROS!$A:$B,2,TRUE)</f>
        <v>0.0002632</v>
      </c>
      <c r="T85" s="51">
        <f>('AP01'!$O85*'AP01'!$P85)*'AP01'!$S85</f>
        <v>67.15674774</v>
      </c>
      <c r="U85" s="51">
        <f>'AP01'!$Q85*0.00899%</f>
        <v>40.29896266</v>
      </c>
      <c r="V85" s="4"/>
      <c r="W85" s="4"/>
      <c r="X85" s="4"/>
      <c r="Y85" s="4"/>
      <c r="Z85" s="4"/>
    </row>
    <row r="86" ht="18.75" customHeight="1">
      <c r="A86" s="56">
        <f t="shared" si="4"/>
        <v>72</v>
      </c>
      <c r="B86" s="50">
        <f t="shared" si="8"/>
        <v>45433</v>
      </c>
      <c r="C86" s="58">
        <f t="shared" si="128"/>
        <v>0.1049</v>
      </c>
      <c r="D86" s="58">
        <f>((1+'AP01'!$C86)^(1/12))-1</f>
        <v>0.00834755088</v>
      </c>
      <c r="E86" s="51">
        <f t="shared" si="126"/>
        <v>2171.371183</v>
      </c>
      <c r="F86" s="51">
        <v>2155.54</v>
      </c>
      <c r="G86" s="51">
        <v>893.51</v>
      </c>
      <c r="H86" s="52">
        <v>52.41</v>
      </c>
      <c r="I86" s="52">
        <v>40.31</v>
      </c>
      <c r="J86" s="51">
        <f t="shared" ref="J86:J374" si="136">J85</f>
        <v>25</v>
      </c>
      <c r="K86" s="66">
        <v>77.99</v>
      </c>
      <c r="L86" s="66">
        <v>733.09</v>
      </c>
      <c r="M86" s="51">
        <f>SUM('AP01'!$F86:$L86)</f>
        <v>3977.85</v>
      </c>
      <c r="N86" s="51">
        <f>O85*('AP01'!$P86-1)</f>
        <v>92.56306884</v>
      </c>
      <c r="O86" s="51">
        <v>257330.39</v>
      </c>
      <c r="P86" s="53">
        <v>1.000363</v>
      </c>
      <c r="Q86" s="51">
        <f>(Q85*'AP01'!$P86)</f>
        <v>448427.0432</v>
      </c>
      <c r="R86" s="46">
        <f>DATEDIF($S$7,'AP01'!$B86,"Y")</f>
        <v>38</v>
      </c>
      <c r="S86" s="47">
        <f>VLOOKUP('AP01'!$R86,SEGUROS!$A:$B,2,TRUE)</f>
        <v>0.0002632</v>
      </c>
      <c r="T86" s="51">
        <f>('AP01'!$O86*'AP01'!$P86)*'AP01'!$S86</f>
        <v>67.75394441</v>
      </c>
      <c r="U86" s="51">
        <f>'AP01'!$Q86*0.00899%</f>
        <v>40.31359118</v>
      </c>
      <c r="V86" s="4"/>
      <c r="W86" s="4"/>
      <c r="X86" s="4"/>
      <c r="Y86" s="4"/>
      <c r="Z86" s="4"/>
    </row>
    <row r="87" ht="18.75" customHeight="1">
      <c r="A87" s="56">
        <f t="shared" si="4"/>
        <v>73</v>
      </c>
      <c r="B87" s="50">
        <f t="shared" si="8"/>
        <v>45464</v>
      </c>
      <c r="C87" s="58">
        <f t="shared" si="128"/>
        <v>0.1049</v>
      </c>
      <c r="D87" s="58">
        <f>((1+'AP01'!$C87)^(1/12))-1</f>
        <v>0.00834755088</v>
      </c>
      <c r="E87" s="51">
        <f t="shared" si="126"/>
        <v>2171.371183</v>
      </c>
      <c r="F87" s="51">
        <f>(O86*'AP01'!$P87)*'AP01'!$D87</f>
        <v>2150.056904</v>
      </c>
      <c r="G87" s="51">
        <f>(O86*'AP01'!$P87)/($I$5-A86)</f>
        <v>894.3312198</v>
      </c>
      <c r="H87" s="52">
        <v>52.28</v>
      </c>
      <c r="I87" s="52">
        <v>40.35</v>
      </c>
      <c r="J87" s="51">
        <f t="shared" si="136"/>
        <v>25</v>
      </c>
      <c r="K87" s="66">
        <v>76.44</v>
      </c>
      <c r="L87" s="66">
        <f t="shared" ref="L87:L96" si="137">L86</f>
        <v>733.09</v>
      </c>
      <c r="M87" s="51">
        <f>SUM('AP01'!$F87:$L87)</f>
        <v>3971.548124</v>
      </c>
      <c r="N87" s="51">
        <f>O86*('AP01'!$P87-1)</f>
        <v>237.0012892</v>
      </c>
      <c r="O87" s="51">
        <f>(O86*'AP01'!$P87)-'AP01'!$G87</f>
        <v>256673.0601</v>
      </c>
      <c r="P87" s="53">
        <v>1.000921</v>
      </c>
      <c r="Q87" s="51">
        <f>(Q86*'AP01'!$P87)</f>
        <v>448840.0445</v>
      </c>
      <c r="R87" s="46">
        <f>DATEDIF($S$7,'AP01'!$B87,"Y")</f>
        <v>38</v>
      </c>
      <c r="S87" s="47">
        <f>VLOOKUP('AP01'!$R87,SEGUROS!$A:$B,2,TRUE)</f>
        <v>0.0002632</v>
      </c>
      <c r="T87" s="51">
        <f>('AP01'!$O87*'AP01'!$P87)*'AP01'!$S87</f>
        <v>67.61856881</v>
      </c>
      <c r="U87" s="51">
        <f>'AP01'!$Q87*0.00899%</f>
        <v>40.35072</v>
      </c>
      <c r="V87" s="4"/>
      <c r="W87" s="4"/>
      <c r="X87" s="4"/>
      <c r="Y87" s="4"/>
      <c r="Z87" s="4"/>
    </row>
    <row r="88" ht="18.75" customHeight="1">
      <c r="A88" s="56">
        <f t="shared" si="4"/>
        <v>74</v>
      </c>
      <c r="B88" s="50">
        <f t="shared" si="8"/>
        <v>45494</v>
      </c>
      <c r="C88" s="58">
        <f t="shared" si="128"/>
        <v>0.1049</v>
      </c>
      <c r="D88" s="58">
        <f>((1+'AP01'!$C88)^(1/12))-1</f>
        <v>0.00834755088</v>
      </c>
      <c r="E88" s="51">
        <f t="shared" si="126"/>
        <v>2171.371183</v>
      </c>
      <c r="F88" s="51">
        <f>(O87*'AP01'!$P88)*'AP01'!$D88</f>
        <v>2143.990541</v>
      </c>
      <c r="G88" s="51">
        <f>(O87*'AP01'!$P88)/($I$5-A87)</f>
        <v>894.915218</v>
      </c>
      <c r="H88" s="52">
        <v>52.13</v>
      </c>
      <c r="I88" s="52">
        <v>40.38</v>
      </c>
      <c r="J88" s="51">
        <f t="shared" si="136"/>
        <v>25</v>
      </c>
      <c r="K88" s="66">
        <v>74.94</v>
      </c>
      <c r="L88" s="66">
        <f t="shared" si="137"/>
        <v>733.09</v>
      </c>
      <c r="M88" s="51">
        <f>SUM('AP01'!$F88:$L88)</f>
        <v>3964.445759</v>
      </c>
      <c r="N88" s="51">
        <f>O87*('AP01'!$P88-1)</f>
        <v>167.6075082</v>
      </c>
      <c r="O88" s="51">
        <f>(O87*'AP01'!$P88)-'AP01'!$G88</f>
        <v>255945.7524</v>
      </c>
      <c r="P88" s="53">
        <v>1.000653</v>
      </c>
      <c r="Q88" s="51">
        <f>(Q87*'AP01'!$P88)</f>
        <v>449133.137</v>
      </c>
      <c r="R88" s="46">
        <f>DATEDIF($S$7,'AP01'!$B88,"Y")</f>
        <v>38</v>
      </c>
      <c r="S88" s="47">
        <f>VLOOKUP('AP01'!$R88,SEGUROS!$A:$B,2,TRUE)</f>
        <v>0.0002632</v>
      </c>
      <c r="T88" s="51">
        <f>('AP01'!$O88*'AP01'!$P88)*'AP01'!$S88</f>
        <v>67.40891132</v>
      </c>
      <c r="U88" s="51">
        <f>'AP01'!$Q88*0.00899%</f>
        <v>40.37706902</v>
      </c>
      <c r="V88" s="65"/>
      <c r="W88" s="4"/>
      <c r="X88" s="4"/>
      <c r="Y88" s="4"/>
      <c r="Z88" s="4"/>
    </row>
    <row r="89" ht="18.75" customHeight="1">
      <c r="A89" s="56">
        <f t="shared" si="4"/>
        <v>75</v>
      </c>
      <c r="B89" s="50">
        <f t="shared" si="8"/>
        <v>45525</v>
      </c>
      <c r="C89" s="58">
        <f t="shared" si="128"/>
        <v>0.1049</v>
      </c>
      <c r="D89" s="58">
        <f>((1+'AP01'!$C89)^(1/12))-1</f>
        <v>0.00834755088</v>
      </c>
      <c r="E89" s="51">
        <f t="shared" si="126"/>
        <v>2171.371183</v>
      </c>
      <c r="F89" s="51">
        <f>(O88*'AP01'!$P89)*'AP01'!$D89</f>
        <v>2138.032847</v>
      </c>
      <c r="G89" s="51">
        <f>(O88*'AP01'!$P89)/($I$5-A88)</f>
        <v>895.548818</v>
      </c>
      <c r="H89" s="52">
        <v>51.99</v>
      </c>
      <c r="I89" s="52">
        <v>40.41</v>
      </c>
      <c r="J89" s="51">
        <f t="shared" si="136"/>
        <v>25</v>
      </c>
      <c r="K89" s="66">
        <v>73.44</v>
      </c>
      <c r="L89" s="66">
        <f t="shared" si="137"/>
        <v>733.09</v>
      </c>
      <c r="M89" s="51">
        <f>SUM('AP01'!$F89:$L89)</f>
        <v>3957.511665</v>
      </c>
      <c r="N89" s="51">
        <f>O88*('AP01'!$P89-1)</f>
        <v>181.2095927</v>
      </c>
      <c r="O89" s="51">
        <f>(O88*'AP01'!$P89)-'AP01'!$G89</f>
        <v>255231.4131</v>
      </c>
      <c r="P89" s="53">
        <v>1.000708</v>
      </c>
      <c r="Q89" s="51">
        <f>(Q88*'AP01'!$P89)</f>
        <v>449451.1233</v>
      </c>
      <c r="R89" s="46">
        <f>DATEDIF($S$7,'AP01'!$B89,"Y")</f>
        <v>38</v>
      </c>
      <c r="S89" s="47">
        <f>VLOOKUP('AP01'!$R89,SEGUROS!$A:$B,2,TRUE)</f>
        <v>0.0002632</v>
      </c>
      <c r="T89" s="51">
        <f>('AP01'!$O89*'AP01'!$P89)*'AP01'!$S89</f>
        <v>67.22446919</v>
      </c>
      <c r="U89" s="51">
        <f>'AP01'!$Q89*0.00899%</f>
        <v>40.40565598</v>
      </c>
      <c r="V89" s="65"/>
      <c r="W89" s="4"/>
      <c r="X89" s="4"/>
      <c r="Y89" s="4"/>
      <c r="Z89" s="4"/>
    </row>
    <row r="90" ht="18.75" customHeight="1">
      <c r="A90" s="56">
        <f t="shared" si="4"/>
        <v>76</v>
      </c>
      <c r="B90" s="50">
        <f t="shared" si="8"/>
        <v>45556</v>
      </c>
      <c r="C90" s="58">
        <f t="shared" si="128"/>
        <v>0.1049</v>
      </c>
      <c r="D90" s="58">
        <f>((1+'AP01'!$C90)^(1/12))-1</f>
        <v>0.00834755088</v>
      </c>
      <c r="E90" s="51">
        <f t="shared" si="126"/>
        <v>2171.371183</v>
      </c>
      <c r="F90" s="51">
        <f>(O89*'AP01'!$P90)*'AP01'!$D90</f>
        <v>2132.144472</v>
      </c>
      <c r="G90" s="51">
        <f>(O89*'AP01'!$P90)/($I$5-A89)</f>
        <v>896.2160019</v>
      </c>
      <c r="H90" s="52">
        <v>51.84</v>
      </c>
      <c r="I90" s="52">
        <v>40.44</v>
      </c>
      <c r="J90" s="51">
        <f t="shared" si="136"/>
        <v>25</v>
      </c>
      <c r="K90" s="66">
        <v>71.96</v>
      </c>
      <c r="L90" s="66">
        <f t="shared" si="137"/>
        <v>733.09</v>
      </c>
      <c r="M90" s="51">
        <f>SUM('AP01'!$F90:$L90)</f>
        <v>3950.690474</v>
      </c>
      <c r="N90" s="51">
        <f>O89*('AP01'!$P90-1)</f>
        <v>190.1474028</v>
      </c>
      <c r="O90" s="51">
        <f>(O89*'AP01'!$P90)-'AP01'!$G90</f>
        <v>254525.3445</v>
      </c>
      <c r="P90" s="53">
        <v>1.000745</v>
      </c>
      <c r="Q90" s="51">
        <f>(Q89*'AP01'!$P90)</f>
        <v>449785.9644</v>
      </c>
      <c r="R90" s="46">
        <f>DATEDIF($S$7,'AP01'!$B90,"Y")</f>
        <v>38</v>
      </c>
      <c r="S90" s="47">
        <f>VLOOKUP('AP01'!$R90,SEGUROS!$A:$B,2,TRUE)</f>
        <v>0.0002632</v>
      </c>
      <c r="T90" s="51">
        <f>('AP01'!$O90*'AP01'!$P90)*'AP01'!$S90</f>
        <v>67.04097903</v>
      </c>
      <c r="U90" s="51">
        <f>'AP01'!$Q90*0.00899%</f>
        <v>40.4357582</v>
      </c>
      <c r="V90" s="65"/>
      <c r="W90" s="4"/>
      <c r="X90" s="4"/>
      <c r="Y90" s="4"/>
      <c r="Z90" s="4"/>
    </row>
    <row r="91" ht="18.75" customHeight="1">
      <c r="A91" s="56">
        <f t="shared" si="4"/>
        <v>77</v>
      </c>
      <c r="B91" s="50">
        <f t="shared" si="8"/>
        <v>45586</v>
      </c>
      <c r="C91" s="58">
        <f t="shared" si="128"/>
        <v>0.1049</v>
      </c>
      <c r="D91" s="58">
        <f>((1+'AP01'!$C91)^(1/12))-1</f>
        <v>0.00834755088</v>
      </c>
      <c r="E91" s="51">
        <f t="shared" si="126"/>
        <v>2171.371183</v>
      </c>
      <c r="F91" s="51">
        <f>(O90*'AP01'!$P91)*'AP01'!$D91</f>
        <v>2126.076165</v>
      </c>
      <c r="G91" s="51">
        <f>(O90*'AP01'!$P91)/($I$5-A90)</f>
        <v>896.8119855</v>
      </c>
      <c r="H91" s="52">
        <v>51.7</v>
      </c>
      <c r="I91" s="52">
        <v>40.46</v>
      </c>
      <c r="J91" s="51">
        <f t="shared" si="136"/>
        <v>25</v>
      </c>
      <c r="K91" s="66">
        <v>70.52</v>
      </c>
      <c r="L91" s="66">
        <f t="shared" si="137"/>
        <v>733.09</v>
      </c>
      <c r="M91" s="51">
        <f>SUM('AP01'!$F91:$L91)</f>
        <v>3943.65815</v>
      </c>
      <c r="N91" s="51">
        <f>O90*('AP01'!$P91-1)</f>
        <v>169.2593541</v>
      </c>
      <c r="O91" s="51">
        <f>(O90*'AP01'!$P91)-'AP01'!$G91</f>
        <v>253797.7919</v>
      </c>
      <c r="P91" s="53">
        <v>1.000665</v>
      </c>
      <c r="Q91" s="51">
        <f>(Q90*'AP01'!$P91)</f>
        <v>450085.072</v>
      </c>
      <c r="R91" s="46">
        <f>DATEDIF($S$7,'AP01'!$B91,"Y")</f>
        <v>38</v>
      </c>
      <c r="S91" s="47">
        <f>VLOOKUP('AP01'!$R91,SEGUROS!$A:$B,2,TRUE)</f>
        <v>0.0002632</v>
      </c>
      <c r="T91" s="51">
        <f>('AP01'!$O91*'AP01'!$P91)*'AP01'!$S91</f>
        <v>66.84400055</v>
      </c>
      <c r="U91" s="51">
        <f>'AP01'!$Q91*0.00899%</f>
        <v>40.46264797</v>
      </c>
      <c r="V91" s="4"/>
      <c r="W91" s="4"/>
      <c r="X91" s="4"/>
      <c r="Y91" s="4"/>
      <c r="Z91" s="4"/>
    </row>
    <row r="92" ht="18.75" customHeight="1">
      <c r="A92" s="56">
        <f t="shared" si="4"/>
        <v>78</v>
      </c>
      <c r="B92" s="50">
        <f t="shared" si="8"/>
        <v>45617</v>
      </c>
      <c r="C92" s="58">
        <f t="shared" si="128"/>
        <v>0.1049</v>
      </c>
      <c r="D92" s="58">
        <f>((1+'AP01'!$C92)^(1/12))-1</f>
        <v>0.00834755088</v>
      </c>
      <c r="E92" s="51">
        <f t="shared" si="126"/>
        <v>2171.371183</v>
      </c>
      <c r="F92" s="51">
        <f>(O91*'AP01'!$P92)*'AP01'!$D92</f>
        <v>2120.121722</v>
      </c>
      <c r="G92" s="51">
        <f>(O91*'AP01'!$P92)/($I$5-A91)</f>
        <v>897.4603806</v>
      </c>
      <c r="H92" s="52">
        <v>51.55</v>
      </c>
      <c r="I92" s="52">
        <v>40.49</v>
      </c>
      <c r="J92" s="51">
        <f t="shared" si="136"/>
        <v>25</v>
      </c>
      <c r="K92" s="66">
        <v>69.09</v>
      </c>
      <c r="L92" s="66">
        <f t="shared" si="137"/>
        <v>733.09</v>
      </c>
      <c r="M92" s="51">
        <f>SUM('AP01'!$F92:$L92)</f>
        <v>3936.802102</v>
      </c>
      <c r="N92" s="51">
        <f>O91*('AP01'!$P92-1)</f>
        <v>183.4958035</v>
      </c>
      <c r="O92" s="51">
        <f>(O91*'AP01'!$P92)-'AP01'!$G92</f>
        <v>253083.8273</v>
      </c>
      <c r="P92" s="53">
        <v>1.000723</v>
      </c>
      <c r="Q92" s="51">
        <f>(Q91*'AP01'!$P92)</f>
        <v>450410.4835</v>
      </c>
      <c r="R92" s="46">
        <f>DATEDIF($S$7,'AP01'!$B92,"Y")</f>
        <v>38</v>
      </c>
      <c r="S92" s="47">
        <f>VLOOKUP('AP01'!$R92,SEGUROS!$A:$B,2,TRUE)</f>
        <v>0.0002632</v>
      </c>
      <c r="T92" s="51">
        <f>('AP01'!$O92*'AP01'!$P92)*'AP01'!$S92</f>
        <v>66.65982358</v>
      </c>
      <c r="U92" s="51">
        <f>'AP01'!$Q92*0.00899%</f>
        <v>40.49190247</v>
      </c>
      <c r="V92" s="4"/>
      <c r="W92" s="4"/>
      <c r="X92" s="4"/>
      <c r="Y92" s="4"/>
      <c r="Z92" s="4"/>
    </row>
    <row r="93" ht="18.75" customHeight="1">
      <c r="A93" s="56">
        <f t="shared" si="4"/>
        <v>79</v>
      </c>
      <c r="B93" s="50">
        <f t="shared" si="8"/>
        <v>45647</v>
      </c>
      <c r="C93" s="58">
        <f t="shared" si="128"/>
        <v>0.1049</v>
      </c>
      <c r="D93" s="58">
        <f>((1+'AP01'!$C93)^(1/12))-1</f>
        <v>0.00834755088</v>
      </c>
      <c r="E93" s="51">
        <f t="shared" si="126"/>
        <v>2171.371183</v>
      </c>
      <c r="F93" s="51">
        <f>(O92*'AP01'!$P93)*'AP01'!$D93</f>
        <v>2114.740643</v>
      </c>
      <c r="G93" s="51">
        <f>(O92*'AP01'!$P93)/($I$5-A92)</f>
        <v>898.3569435</v>
      </c>
      <c r="H93" s="52">
        <v>53.67</v>
      </c>
      <c r="I93" s="52">
        <v>40.53</v>
      </c>
      <c r="J93" s="51">
        <f t="shared" si="136"/>
        <v>25</v>
      </c>
      <c r="K93" s="66">
        <v>67.75</v>
      </c>
      <c r="L93" s="66">
        <f t="shared" si="137"/>
        <v>733.09</v>
      </c>
      <c r="M93" s="51">
        <f>SUM('AP01'!$F93:$L93)</f>
        <v>3933.137586</v>
      </c>
      <c r="N93" s="51">
        <f>O92*('AP01'!$P93-1)</f>
        <v>252.8307435</v>
      </c>
      <c r="O93" s="51">
        <f>(O92*'AP01'!$P93)-'AP01'!$G93</f>
        <v>252438.3011</v>
      </c>
      <c r="P93" s="53">
        <v>1.000999</v>
      </c>
      <c r="Q93" s="51">
        <f>(Q92*'AP01'!$P93)</f>
        <v>450860.4436</v>
      </c>
      <c r="R93" s="46">
        <f>DATEDIF($S$7,'AP01'!$B93,"Y")</f>
        <v>39</v>
      </c>
      <c r="S93" s="47">
        <f>VLOOKUP('AP01'!$R93,SEGUROS!$A:$B,2,TRUE)</f>
        <v>0.0002832</v>
      </c>
      <c r="T93" s="51">
        <f>('AP01'!$O93*'AP01'!$P93)*'AP01'!$S93</f>
        <v>71.56194592</v>
      </c>
      <c r="U93" s="51">
        <f>'AP01'!$Q93*0.00899%</f>
        <v>40.53235388</v>
      </c>
      <c r="V93" s="4"/>
      <c r="W93" s="4"/>
      <c r="X93" s="4"/>
      <c r="Y93" s="4"/>
      <c r="Z93" s="4"/>
    </row>
    <row r="94" ht="18.75" customHeight="1">
      <c r="A94" s="56">
        <f t="shared" si="4"/>
        <v>80</v>
      </c>
      <c r="B94" s="50">
        <f t="shared" si="8"/>
        <v>45678</v>
      </c>
      <c r="C94" s="58">
        <f t="shared" si="128"/>
        <v>0.1049</v>
      </c>
      <c r="D94" s="58">
        <f>((1+'AP01'!$C94)^(1/12))-1</f>
        <v>0.00834755088</v>
      </c>
      <c r="E94" s="51">
        <f t="shared" si="126"/>
        <v>2171.371183</v>
      </c>
      <c r="F94" s="51">
        <f>(O93*'AP01'!$P94)*'AP01'!$D94</f>
        <v>2108.927356</v>
      </c>
      <c r="G94" s="51">
        <f>(O93*'AP01'!$P94)/($I$5-A93)</f>
        <v>899.0756291</v>
      </c>
      <c r="H94" s="52">
        <v>53.52</v>
      </c>
      <c r="I94" s="52">
        <v>40.56</v>
      </c>
      <c r="J94" s="51">
        <f t="shared" si="136"/>
        <v>25</v>
      </c>
      <c r="K94" s="66">
        <v>66.35</v>
      </c>
      <c r="L94" s="66">
        <f t="shared" si="137"/>
        <v>733.09</v>
      </c>
      <c r="M94" s="51">
        <f>SUM('AP01'!$F94:$L94)</f>
        <v>3926.522985</v>
      </c>
      <c r="N94" s="51">
        <f>O93*('AP01'!$P94-1)</f>
        <v>201.9506409</v>
      </c>
      <c r="O94" s="51">
        <f>(O93*'AP01'!$P94)-'AP01'!$G94-0.01</f>
        <v>251741.1661</v>
      </c>
      <c r="P94" s="53">
        <v>1.0008</v>
      </c>
      <c r="Q94" s="51">
        <f>(Q93*'AP01'!$P94)</f>
        <v>451221.132</v>
      </c>
      <c r="R94" s="46">
        <f>DATEDIF($S$7,'AP01'!$B94,"Y")</f>
        <v>39</v>
      </c>
      <c r="S94" s="47">
        <f>VLOOKUP('AP01'!$R94,SEGUROS!$A:$B,2,TRUE)</f>
        <v>0.0002832</v>
      </c>
      <c r="T94" s="51">
        <f>('AP01'!$O94*'AP01'!$P94)*'AP01'!$S94</f>
        <v>71.35013273</v>
      </c>
      <c r="U94" s="51">
        <f>'AP01'!$Q94*0.00899%</f>
        <v>40.56477976</v>
      </c>
      <c r="V94" s="4"/>
      <c r="W94" s="4"/>
      <c r="X94" s="4"/>
      <c r="Y94" s="4"/>
      <c r="Z94" s="4"/>
    </row>
    <row r="95" ht="18.75" customHeight="1">
      <c r="A95" s="56">
        <f t="shared" si="4"/>
        <v>81</v>
      </c>
      <c r="B95" s="50">
        <f t="shared" si="8"/>
        <v>45709</v>
      </c>
      <c r="C95" s="58">
        <f t="shared" si="128"/>
        <v>0.1049</v>
      </c>
      <c r="D95" s="58">
        <f>((1+'AP01'!$C95)^(1/12))-1</f>
        <v>0.00834755088</v>
      </c>
      <c r="E95" s="51">
        <f t="shared" si="126"/>
        <v>2171.371183</v>
      </c>
      <c r="F95" s="51">
        <f>(O94*'AP01'!$P95)*'AP01'!$D95</f>
        <v>2105.019828</v>
      </c>
      <c r="G95" s="51">
        <f>(O94*'AP01'!$P95)/($I$5-A94)</f>
        <v>900.6148108</v>
      </c>
      <c r="H95" s="52">
        <v>64.48</v>
      </c>
      <c r="I95" s="52">
        <v>40.63</v>
      </c>
      <c r="J95" s="51">
        <f t="shared" si="136"/>
        <v>25</v>
      </c>
      <c r="K95" s="66">
        <v>65.21</v>
      </c>
      <c r="L95" s="66">
        <f t="shared" si="137"/>
        <v>733.09</v>
      </c>
      <c r="M95" s="51">
        <f>SUM('AP01'!$F95:$L95)</f>
        <v>3934.044638</v>
      </c>
      <c r="N95" s="51">
        <f>O94*('AP01'!$P95-1)</f>
        <v>430.9808764</v>
      </c>
      <c r="O95" s="51">
        <f>(O94*'AP01'!$P95)-'AP01'!$G95+0.01</f>
        <v>251271.5422</v>
      </c>
      <c r="P95" s="53">
        <v>1.001712</v>
      </c>
      <c r="Q95" s="51">
        <f>(Q94*'AP01'!$P95)</f>
        <v>451993.6225</v>
      </c>
      <c r="R95" s="46">
        <f>DATEDIF($S$7,'AP01'!$B95,"Y")</f>
        <v>39</v>
      </c>
      <c r="S95" s="47">
        <f>VLOOKUP('AP01'!$R95,SEGUROS!$A:$B,2,TRUE)</f>
        <v>0.0002832</v>
      </c>
      <c r="T95" s="51">
        <f>('AP01'!$O95*'AP01'!$P95)*'AP01'!$S95</f>
        <v>71.28192684</v>
      </c>
      <c r="U95" s="51">
        <f>'AP01'!$Q95*0.00899%</f>
        <v>40.63422667</v>
      </c>
      <c r="V95" s="4"/>
      <c r="W95" s="4"/>
      <c r="X95" s="4"/>
      <c r="Y95" s="4"/>
      <c r="Z95" s="4"/>
    </row>
    <row r="96" ht="18.75" customHeight="1">
      <c r="A96" s="56">
        <f t="shared" si="4"/>
        <v>82</v>
      </c>
      <c r="B96" s="67">
        <f t="shared" si="8"/>
        <v>45737</v>
      </c>
      <c r="C96" s="68">
        <f t="shared" si="128"/>
        <v>0.1049</v>
      </c>
      <c r="D96" s="68">
        <f>((1+'AP01'!$C96)^(1/12))-1</f>
        <v>0.00834755088</v>
      </c>
      <c r="E96" s="69">
        <f t="shared" si="126"/>
        <v>2171.371183</v>
      </c>
      <c r="F96" s="69">
        <f>(O95*'AP01'!$P96)*'AP01'!$D96</f>
        <v>2099.060427</v>
      </c>
      <c r="G96" s="69">
        <f>(O95*'AP01'!$P96)/($I$5-A95)</f>
        <v>901.2840034</v>
      </c>
      <c r="H96" s="57">
        <v>64.3</v>
      </c>
      <c r="I96" s="57">
        <v>40.66</v>
      </c>
      <c r="J96" s="69">
        <f t="shared" si="136"/>
        <v>25</v>
      </c>
      <c r="K96" s="70">
        <v>63.92</v>
      </c>
      <c r="L96" s="70">
        <f t="shared" si="137"/>
        <v>733.09</v>
      </c>
      <c r="M96" s="69">
        <f>SUM('AP01'!$F96:$L96)</f>
        <v>3927.314431</v>
      </c>
      <c r="N96" s="69">
        <f>O95*('AP01'!$P96-1)</f>
        <v>186.6947559</v>
      </c>
      <c r="O96" s="69">
        <f>(O95*'AP01'!$P96)-'AP01'!$G96</f>
        <v>250556.953</v>
      </c>
      <c r="P96" s="71">
        <v>1.000743</v>
      </c>
      <c r="Q96" s="51">
        <f>(Q95*'AP01'!$P96)</f>
        <v>452329.4538</v>
      </c>
      <c r="R96" s="46">
        <f>DATEDIF($S$7,'AP01'!$B96,"Y")</f>
        <v>39</v>
      </c>
      <c r="S96" s="47">
        <f>VLOOKUP('AP01'!$R96,SEGUROS!$A:$B,2,TRUE)</f>
        <v>0.0002832</v>
      </c>
      <c r="T96" s="51">
        <f>('AP01'!$O96*'AP01'!$P96)*'AP01'!$S96</f>
        <v>71.01045067</v>
      </c>
      <c r="U96" s="51">
        <f>'AP01'!$Q96*0.00899%</f>
        <v>40.6644179</v>
      </c>
      <c r="V96" s="4"/>
      <c r="W96" s="4"/>
      <c r="X96" s="4"/>
      <c r="Y96" s="4"/>
      <c r="Z96" s="4"/>
    </row>
    <row r="97" ht="18.75" customHeight="1">
      <c r="A97" s="72">
        <f t="shared" si="4"/>
        <v>83</v>
      </c>
      <c r="B97" s="73">
        <f t="shared" si="8"/>
        <v>45768</v>
      </c>
      <c r="C97" s="74">
        <f t="shared" si="128"/>
        <v>0.1049</v>
      </c>
      <c r="D97" s="74">
        <f>((1+'AP01'!$C97)^(1/12))-1</f>
        <v>0.00834755088</v>
      </c>
      <c r="E97" s="75">
        <f t="shared" si="126"/>
        <v>2171.371183</v>
      </c>
      <c r="F97" s="75">
        <f>(O96*'AP01'!$P97)*'AP01'!$D97</f>
        <v>2095.067427</v>
      </c>
      <c r="G97" s="75">
        <f>(O96*'AP01'!$P97)/($I$5-A96)</f>
        <v>902.8053708</v>
      </c>
      <c r="H97" s="76">
        <v>64.18</v>
      </c>
      <c r="I97" s="76">
        <v>40.73</v>
      </c>
      <c r="J97" s="75">
        <f t="shared" si="136"/>
        <v>25</v>
      </c>
      <c r="K97" s="75">
        <v>0.0</v>
      </c>
      <c r="L97" s="75">
        <v>0.0</v>
      </c>
      <c r="M97" s="75">
        <f>SUM('AP01'!$F97:$L97)</f>
        <v>3127.782798</v>
      </c>
      <c r="N97" s="75">
        <f>O96*('AP01'!$P97-1)</f>
        <v>422.9401366</v>
      </c>
      <c r="O97" s="77">
        <f>(O96*'AP01'!$P97)-'AP01'!$G97-0.01</f>
        <v>250077.0777</v>
      </c>
      <c r="P97" s="78">
        <v>1.001688</v>
      </c>
      <c r="Q97" s="51">
        <f>(Q96*'AP01'!$P97)</f>
        <v>453092.9859</v>
      </c>
      <c r="R97" s="46">
        <f>DATEDIF($S$7,'AP01'!$B97,"Y")</f>
        <v>39</v>
      </c>
      <c r="S97" s="47">
        <f>VLOOKUP('AP01'!$R97,SEGUROS!$A:$B,2,TRUE)</f>
        <v>0.0002832</v>
      </c>
      <c r="T97" s="51">
        <f>('AP01'!$O97*'AP01'!$P97)*'AP01'!$S97</f>
        <v>70.94137566</v>
      </c>
      <c r="U97" s="51">
        <f>'AP01'!$Q97*0.00899%</f>
        <v>40.73305943</v>
      </c>
      <c r="V97" s="4"/>
      <c r="W97" s="79">
        <f>'AP01'!$H97/(O96*'AP01'!$P97)</f>
        <v>0.000255717696</v>
      </c>
      <c r="X97" s="4"/>
      <c r="Y97" s="4"/>
      <c r="Z97" s="4"/>
    </row>
    <row r="98" ht="18.75" customHeight="1">
      <c r="A98" s="80">
        <f t="shared" si="4"/>
        <v>84</v>
      </c>
      <c r="B98" s="42">
        <f t="shared" si="8"/>
        <v>45798</v>
      </c>
      <c r="C98" s="81">
        <f t="shared" si="128"/>
        <v>0.1049</v>
      </c>
      <c r="D98" s="81">
        <f>((1+'AP01'!$C98)^(1/12))-1</f>
        <v>0.00834755088</v>
      </c>
      <c r="E98" s="45">
        <f t="shared" si="126"/>
        <v>2171.371183</v>
      </c>
      <c r="F98" s="45">
        <f>(O97*'AP01'!$P98)*'AP01'!$D98</f>
        <v>2087.53113</v>
      </c>
      <c r="G98" s="45">
        <f>(O97*'AP01'!$P98)/($I$5-A97)</f>
        <v>902.8053347</v>
      </c>
      <c r="H98" s="82">
        <f>(O97*'AP01'!$P98)*$W$97</f>
        <v>63.94913413</v>
      </c>
      <c r="I98" s="82">
        <f>'AP01'!$Q98*0.00899%</f>
        <v>40.73305943</v>
      </c>
      <c r="J98" s="45">
        <f t="shared" si="136"/>
        <v>25</v>
      </c>
      <c r="K98" s="45">
        <f t="shared" ref="K98:L98" si="138">K97</f>
        <v>0</v>
      </c>
      <c r="L98" s="45">
        <f t="shared" si="138"/>
        <v>0</v>
      </c>
      <c r="M98" s="45">
        <f>SUM('AP01'!$F98:$L98)</f>
        <v>3120.018658</v>
      </c>
      <c r="N98" s="45">
        <f>O97*('AP01'!$P98-1)</f>
        <v>0</v>
      </c>
      <c r="O98" s="45">
        <f>(O97*'AP01'!$P98)-'AP01'!$G98</f>
        <v>249174.2724</v>
      </c>
      <c r="P98" s="83">
        <v>1.0</v>
      </c>
      <c r="Q98" s="51">
        <f>(Q97*'AP01'!$P98)</f>
        <v>453092.9859</v>
      </c>
      <c r="R98" s="46">
        <f>DATEDIF($S$7,'AP01'!$B98,"Y")</f>
        <v>39</v>
      </c>
      <c r="S98" s="47">
        <f>VLOOKUP('AP01'!$R98,SEGUROS!$A:$B,2,TRUE)</f>
        <v>0.0002832</v>
      </c>
      <c r="T98" s="51">
        <f>('AP01'!$O98*'AP01'!$P98)*'AP01'!$S98</f>
        <v>70.56615394</v>
      </c>
      <c r="U98" s="51">
        <f>'AP01'!$Q98*0.00899%</f>
        <v>40.73305943</v>
      </c>
      <c r="V98" s="4"/>
      <c r="W98" s="4"/>
      <c r="X98" s="4"/>
      <c r="Y98" s="4"/>
      <c r="Z98" s="4"/>
    </row>
    <row r="99" ht="18.75" customHeight="1">
      <c r="A99" s="56">
        <f t="shared" si="4"/>
        <v>85</v>
      </c>
      <c r="B99" s="50">
        <f t="shared" si="8"/>
        <v>45829</v>
      </c>
      <c r="C99" s="58">
        <f t="shared" si="128"/>
        <v>0.1049</v>
      </c>
      <c r="D99" s="58">
        <f>((1+'AP01'!$C99)^(1/12))-1</f>
        <v>0.00834755088</v>
      </c>
      <c r="E99" s="51">
        <f t="shared" si="126"/>
        <v>2171.371183</v>
      </c>
      <c r="F99" s="51">
        <f>(O98*'AP01'!$P99)*'AP01'!$D99</f>
        <v>2079.994917</v>
      </c>
      <c r="G99" s="51">
        <f>(O98*'AP01'!$P99)/($I$5-A98)</f>
        <v>902.8053347</v>
      </c>
      <c r="H99" s="82">
        <f>(O98*'AP01'!$P99)*$W$97</f>
        <v>63.71827083</v>
      </c>
      <c r="I99" s="82">
        <f>'AP01'!$Q99*0.00899%</f>
        <v>40.73305943</v>
      </c>
      <c r="J99" s="51">
        <f t="shared" si="136"/>
        <v>25</v>
      </c>
      <c r="K99" s="51">
        <f t="shared" ref="K99:L99" si="139">K98</f>
        <v>0</v>
      </c>
      <c r="L99" s="51">
        <f t="shared" si="139"/>
        <v>0</v>
      </c>
      <c r="M99" s="51">
        <f>SUM('AP01'!$F99:$L99)</f>
        <v>3112.251582</v>
      </c>
      <c r="N99" s="51">
        <f>O98*('AP01'!$P99-1)</f>
        <v>0</v>
      </c>
      <c r="O99" s="51">
        <f>(O98*'AP01'!$P99)-'AP01'!$G99</f>
        <v>248271.4671</v>
      </c>
      <c r="P99" s="53">
        <f t="shared" ref="P99:P374" si="141">P98</f>
        <v>1</v>
      </c>
      <c r="Q99" s="51">
        <f>(Q98*'AP01'!$P99)</f>
        <v>453092.9859</v>
      </c>
      <c r="R99" s="46">
        <f>DATEDIF($S$7,'AP01'!$B99,"Y")</f>
        <v>39</v>
      </c>
      <c r="S99" s="47">
        <f>VLOOKUP('AP01'!$R99,SEGUROS!$A:$B,2,TRUE)</f>
        <v>0.0002832</v>
      </c>
      <c r="T99" s="51">
        <f>('AP01'!$O99*'AP01'!$P99)*'AP01'!$S99</f>
        <v>70.31047947</v>
      </c>
      <c r="U99" s="51">
        <f>'AP01'!$Q99*0.00899%</f>
        <v>40.73305943</v>
      </c>
      <c r="V99" s="4"/>
      <c r="W99" s="4"/>
      <c r="X99" s="4"/>
      <c r="Y99" s="4"/>
      <c r="Z99" s="4"/>
    </row>
    <row r="100" ht="18.75" customHeight="1">
      <c r="A100" s="56">
        <f t="shared" si="4"/>
        <v>86</v>
      </c>
      <c r="B100" s="50">
        <f t="shared" si="8"/>
        <v>45859</v>
      </c>
      <c r="C100" s="58">
        <f t="shared" si="128"/>
        <v>0.1049</v>
      </c>
      <c r="D100" s="58">
        <f>((1+'AP01'!$C100)^(1/12))-1</f>
        <v>0.00834755088</v>
      </c>
      <c r="E100" s="51">
        <f t="shared" si="126"/>
        <v>2171.371183</v>
      </c>
      <c r="F100" s="51">
        <f>(O99*'AP01'!$P100)*'AP01'!$D100</f>
        <v>2072.458703</v>
      </c>
      <c r="G100" s="51">
        <f>(O99*'AP01'!$P100)/($I$5-A99)</f>
        <v>902.8053347</v>
      </c>
      <c r="H100" s="82">
        <f>(O99*'AP01'!$P100)*$W$97</f>
        <v>63.48740753</v>
      </c>
      <c r="I100" s="82">
        <f>'AP01'!$Q100*0.00899%</f>
        <v>40.73305943</v>
      </c>
      <c r="J100" s="51">
        <f t="shared" si="136"/>
        <v>25</v>
      </c>
      <c r="K100" s="51">
        <f t="shared" ref="K100:L100" si="140">K99</f>
        <v>0</v>
      </c>
      <c r="L100" s="51">
        <f t="shared" si="140"/>
        <v>0</v>
      </c>
      <c r="M100" s="51">
        <f>SUM('AP01'!$F100:$L100)</f>
        <v>3104.484505</v>
      </c>
      <c r="N100" s="51">
        <f>O99*('AP01'!$P100-1)</f>
        <v>0</v>
      </c>
      <c r="O100" s="51">
        <f>(O99*'AP01'!$P100)-'AP01'!$G100</f>
        <v>247368.6617</v>
      </c>
      <c r="P100" s="53">
        <f t="shared" si="141"/>
        <v>1</v>
      </c>
      <c r="Q100" s="51">
        <f>(Q99*'AP01'!$P100)</f>
        <v>453092.9859</v>
      </c>
      <c r="R100" s="46">
        <f>DATEDIF($S$7,'AP01'!$B100,"Y")</f>
        <v>39</v>
      </c>
      <c r="S100" s="47">
        <f>VLOOKUP('AP01'!$R100,SEGUROS!$A:$B,2,TRUE)</f>
        <v>0.0002832</v>
      </c>
      <c r="T100" s="51">
        <f>('AP01'!$O100*'AP01'!$P100)*'AP01'!$S100</f>
        <v>70.054805</v>
      </c>
      <c r="U100" s="51">
        <f>'AP01'!$Q100*0.00899%</f>
        <v>40.73305943</v>
      </c>
      <c r="V100" s="4"/>
      <c r="W100" s="4"/>
      <c r="X100" s="4"/>
      <c r="Y100" s="4"/>
      <c r="Z100" s="4"/>
    </row>
    <row r="101" ht="18.75" customHeight="1">
      <c r="A101" s="56">
        <f t="shared" si="4"/>
        <v>87</v>
      </c>
      <c r="B101" s="50">
        <f t="shared" si="8"/>
        <v>45890</v>
      </c>
      <c r="C101" s="58">
        <f t="shared" si="128"/>
        <v>0.1049</v>
      </c>
      <c r="D101" s="58">
        <f>((1+'AP01'!$C101)^(1/12))-1</f>
        <v>0.00834755088</v>
      </c>
      <c r="E101" s="51">
        <f t="shared" si="126"/>
        <v>2171.371183</v>
      </c>
      <c r="F101" s="51">
        <f>(O100*'AP01'!$P101)*'AP01'!$D101</f>
        <v>2064.92249</v>
      </c>
      <c r="G101" s="51">
        <f>(O100*'AP01'!$P101)/($I$5-A100)</f>
        <v>902.8053347</v>
      </c>
      <c r="H101" s="82">
        <f>(O100*'AP01'!$P101)*$W$97</f>
        <v>63.25654423</v>
      </c>
      <c r="I101" s="82">
        <f>'AP01'!$Q101*0.00899%</f>
        <v>40.73305943</v>
      </c>
      <c r="J101" s="51">
        <f t="shared" si="136"/>
        <v>25</v>
      </c>
      <c r="K101" s="51">
        <f t="shared" ref="K101:L101" si="142">K100</f>
        <v>0</v>
      </c>
      <c r="L101" s="51">
        <f t="shared" si="142"/>
        <v>0</v>
      </c>
      <c r="M101" s="51">
        <f>SUM('AP01'!$F101:$L101)</f>
        <v>3096.717428</v>
      </c>
      <c r="N101" s="51">
        <f>O100*('AP01'!$P101-1)</f>
        <v>0</v>
      </c>
      <c r="O101" s="51">
        <f>(O100*'AP01'!$P101)-'AP01'!$G101</f>
        <v>246465.8564</v>
      </c>
      <c r="P101" s="53">
        <f t="shared" si="141"/>
        <v>1</v>
      </c>
      <c r="Q101" s="51">
        <f>(Q100*'AP01'!$P101)</f>
        <v>453092.9859</v>
      </c>
      <c r="R101" s="46">
        <f>DATEDIF($S$7,'AP01'!$B101,"Y")</f>
        <v>39</v>
      </c>
      <c r="S101" s="47">
        <f>VLOOKUP('AP01'!$R101,SEGUROS!$A:$B,2,TRUE)</f>
        <v>0.0002832</v>
      </c>
      <c r="T101" s="51">
        <f>('AP01'!$O101*'AP01'!$P101)*'AP01'!$S101</f>
        <v>69.79913053</v>
      </c>
      <c r="U101" s="51">
        <f>'AP01'!$Q101*0.00899%</f>
        <v>40.73305943</v>
      </c>
      <c r="V101" s="4"/>
      <c r="W101" s="4"/>
      <c r="X101" s="4">
        <v>51161.85</v>
      </c>
      <c r="Y101" s="4"/>
      <c r="Z101" s="4"/>
    </row>
    <row r="102" ht="18.75" customHeight="1">
      <c r="A102" s="56">
        <f t="shared" si="4"/>
        <v>88</v>
      </c>
      <c r="B102" s="50">
        <f t="shared" si="8"/>
        <v>45921</v>
      </c>
      <c r="C102" s="58">
        <f t="shared" si="128"/>
        <v>0.1049</v>
      </c>
      <c r="D102" s="58">
        <f>((1+'AP01'!$C102)^(1/12))-1</f>
        <v>0.00834755088</v>
      </c>
      <c r="E102" s="51">
        <f t="shared" si="126"/>
        <v>2171.371183</v>
      </c>
      <c r="F102" s="51">
        <f>(O101*'AP01'!$P102)*'AP01'!$D102</f>
        <v>2057.386276</v>
      </c>
      <c r="G102" s="51">
        <f>(O101*'AP01'!$P102)/($I$5-A101)</f>
        <v>902.8053347</v>
      </c>
      <c r="H102" s="82">
        <f>(O101*'AP01'!$P102)*$W$97</f>
        <v>63.02568093</v>
      </c>
      <c r="I102" s="82">
        <f>'AP01'!$Q102*0.00899%</f>
        <v>40.73305943</v>
      </c>
      <c r="J102" s="51">
        <f t="shared" si="136"/>
        <v>25</v>
      </c>
      <c r="K102" s="51">
        <f t="shared" ref="K102:L102" si="143">K101</f>
        <v>0</v>
      </c>
      <c r="L102" s="51">
        <f t="shared" si="143"/>
        <v>0</v>
      </c>
      <c r="M102" s="51">
        <f>SUM('AP01'!$F102:$L102)</f>
        <v>3088.950351</v>
      </c>
      <c r="N102" s="51">
        <f>O101*('AP01'!$P102-1)</f>
        <v>0</v>
      </c>
      <c r="O102" s="51">
        <f>(O101*'AP01'!$P102)-'AP01'!$G102</f>
        <v>245563.051</v>
      </c>
      <c r="P102" s="53">
        <f t="shared" si="141"/>
        <v>1</v>
      </c>
      <c r="Q102" s="51">
        <f>(Q101*'AP01'!$P102)</f>
        <v>453092.9859</v>
      </c>
      <c r="R102" s="46">
        <f>DATEDIF($S$7,'AP01'!$B102,"Y")</f>
        <v>39</v>
      </c>
      <c r="S102" s="47">
        <f>VLOOKUP('AP01'!$R102,SEGUROS!$A:$B,2,TRUE)</f>
        <v>0.0002832</v>
      </c>
      <c r="T102" s="51">
        <f>('AP01'!$O102*'AP01'!$P102)*'AP01'!$S102</f>
        <v>69.54345606</v>
      </c>
      <c r="U102" s="51">
        <f>'AP01'!$Q102*0.00899%</f>
        <v>40.73305943</v>
      </c>
      <c r="V102" s="4"/>
      <c r="W102" s="4"/>
      <c r="X102" s="84">
        <v>7.8E-5</v>
      </c>
      <c r="Y102" s="4"/>
      <c r="Z102" s="4"/>
    </row>
    <row r="103" ht="18.75" customHeight="1">
      <c r="A103" s="56">
        <f t="shared" si="4"/>
        <v>89</v>
      </c>
      <c r="B103" s="50">
        <f t="shared" si="8"/>
        <v>45951</v>
      </c>
      <c r="C103" s="58">
        <f t="shared" si="128"/>
        <v>0.1049</v>
      </c>
      <c r="D103" s="58">
        <f>((1+'AP01'!$C103)^(1/12))-1</f>
        <v>0.00834755088</v>
      </c>
      <c r="E103" s="51">
        <f t="shared" si="126"/>
        <v>2171.371183</v>
      </c>
      <c r="F103" s="51">
        <f>(O102*'AP01'!$P103)*'AP01'!$D103</f>
        <v>2049.850063</v>
      </c>
      <c r="G103" s="51">
        <f>(O102*'AP01'!$P103)/($I$5-A102)</f>
        <v>902.8053347</v>
      </c>
      <c r="H103" s="82">
        <f>(O102*'AP01'!$P103)*$W$97</f>
        <v>62.79481763</v>
      </c>
      <c r="I103" s="82">
        <f>'AP01'!$Q103*0.00899%</f>
        <v>40.73305943</v>
      </c>
      <c r="J103" s="51">
        <f t="shared" si="136"/>
        <v>25</v>
      </c>
      <c r="K103" s="51">
        <f t="shared" ref="K103:L103" si="144">K102</f>
        <v>0</v>
      </c>
      <c r="L103" s="51">
        <f t="shared" si="144"/>
        <v>0</v>
      </c>
      <c r="M103" s="51">
        <f>SUM('AP01'!$F103:$L103)</f>
        <v>3081.183275</v>
      </c>
      <c r="N103" s="51">
        <f>O102*('AP01'!$P103-1)</f>
        <v>0</v>
      </c>
      <c r="O103" s="51">
        <f>(O102*'AP01'!$P103)-'AP01'!$G103</f>
        <v>244660.2457</v>
      </c>
      <c r="P103" s="53">
        <f t="shared" si="141"/>
        <v>1</v>
      </c>
      <c r="Q103" s="51">
        <f>(Q102*'AP01'!$P103)</f>
        <v>453092.9859</v>
      </c>
      <c r="R103" s="46">
        <f>DATEDIF($S$7,'AP01'!$B103,"Y")</f>
        <v>39</v>
      </c>
      <c r="S103" s="47">
        <f>VLOOKUP('AP01'!$R103,SEGUROS!$A:$B,2,TRUE)</f>
        <v>0.0002832</v>
      </c>
      <c r="T103" s="51">
        <f>('AP01'!$O103*'AP01'!$P103)*'AP01'!$S103</f>
        <v>69.28778159</v>
      </c>
      <c r="U103" s="51">
        <f>'AP01'!$Q103*0.00899%</f>
        <v>40.73305943</v>
      </c>
      <c r="V103" s="4"/>
      <c r="W103" s="4"/>
      <c r="X103" s="65">
        <f>X101*X102</f>
        <v>3.9906243</v>
      </c>
      <c r="Y103" s="4"/>
      <c r="Z103" s="4"/>
    </row>
    <row r="104" ht="18.75" customHeight="1">
      <c r="A104" s="56">
        <f t="shared" si="4"/>
        <v>90</v>
      </c>
      <c r="B104" s="50">
        <f t="shared" si="8"/>
        <v>45982</v>
      </c>
      <c r="C104" s="58">
        <f t="shared" si="128"/>
        <v>0.1049</v>
      </c>
      <c r="D104" s="58">
        <f>((1+'AP01'!$C104)^(1/12))-1</f>
        <v>0.00834755088</v>
      </c>
      <c r="E104" s="51">
        <f t="shared" si="126"/>
        <v>2171.371183</v>
      </c>
      <c r="F104" s="51">
        <f>(O103*'AP01'!$P104)*'AP01'!$D104</f>
        <v>2042.313849</v>
      </c>
      <c r="G104" s="51">
        <f>(O103*'AP01'!$P104)/($I$5-A103)</f>
        <v>902.8053347</v>
      </c>
      <c r="H104" s="82">
        <f>(O103*'AP01'!$P104)*$W$97</f>
        <v>62.56395433</v>
      </c>
      <c r="I104" s="82">
        <f>'AP01'!$Q104*0.00899%</f>
        <v>40.73305943</v>
      </c>
      <c r="J104" s="51">
        <f t="shared" si="136"/>
        <v>25</v>
      </c>
      <c r="K104" s="51">
        <f t="shared" ref="K104:L104" si="145">K103</f>
        <v>0</v>
      </c>
      <c r="L104" s="51">
        <f t="shared" si="145"/>
        <v>0</v>
      </c>
      <c r="M104" s="51">
        <f>SUM('AP01'!$F104:$L104)</f>
        <v>3073.416198</v>
      </c>
      <c r="N104" s="51">
        <f>O103*('AP01'!$P104-1)</f>
        <v>0</v>
      </c>
      <c r="O104" s="51">
        <f>(O103*'AP01'!$P104)-'AP01'!$G104</f>
        <v>243757.4404</v>
      </c>
      <c r="P104" s="53">
        <f t="shared" si="141"/>
        <v>1</v>
      </c>
      <c r="Q104" s="51">
        <f>(Q103*'AP01'!$P104)</f>
        <v>453092.9859</v>
      </c>
      <c r="R104" s="46">
        <f>DATEDIF($S$7,'AP01'!$B104,"Y")</f>
        <v>39</v>
      </c>
      <c r="S104" s="47">
        <f>VLOOKUP('AP01'!$R104,SEGUROS!$A:$B,2,TRUE)</f>
        <v>0.0002832</v>
      </c>
      <c r="T104" s="51">
        <f>('AP01'!$O104*'AP01'!$P104)*'AP01'!$S104</f>
        <v>69.03210712</v>
      </c>
      <c r="U104" s="51">
        <f>'AP01'!$Q104*0.00899%</f>
        <v>40.73305943</v>
      </c>
      <c r="V104" s="4"/>
      <c r="W104" s="4"/>
      <c r="X104" s="4"/>
      <c r="Y104" s="4"/>
      <c r="Z104" s="4"/>
    </row>
    <row r="105" ht="18.75" customHeight="1">
      <c r="A105" s="56">
        <f t="shared" si="4"/>
        <v>91</v>
      </c>
      <c r="B105" s="50">
        <f t="shared" si="8"/>
        <v>46012</v>
      </c>
      <c r="C105" s="58">
        <f t="shared" si="128"/>
        <v>0.1049</v>
      </c>
      <c r="D105" s="58">
        <f>((1+'AP01'!$C105)^(1/12))-1</f>
        <v>0.00834755088</v>
      </c>
      <c r="E105" s="51">
        <f t="shared" si="126"/>
        <v>2171.371183</v>
      </c>
      <c r="F105" s="51">
        <f>(O104*'AP01'!$P105)*'AP01'!$D105</f>
        <v>2034.777636</v>
      </c>
      <c r="G105" s="51">
        <f>(O104*'AP01'!$P105)/($I$5-A104)</f>
        <v>902.8053347</v>
      </c>
      <c r="H105" s="82">
        <f>(O104*'AP01'!$P105)*'AP01'!$S105</f>
        <v>74.90666143</v>
      </c>
      <c r="I105" s="82">
        <f>'AP01'!$Q105*0.00899%</f>
        <v>40.73305943</v>
      </c>
      <c r="J105" s="51">
        <f t="shared" si="136"/>
        <v>25</v>
      </c>
      <c r="K105" s="51">
        <f t="shared" ref="K105:L105" si="146">K104</f>
        <v>0</v>
      </c>
      <c r="L105" s="51">
        <f t="shared" si="146"/>
        <v>0</v>
      </c>
      <c r="M105" s="51">
        <f>SUM('AP01'!$F105:$L105)</f>
        <v>3078.222692</v>
      </c>
      <c r="N105" s="51">
        <f>O104*('AP01'!$P105-1)</f>
        <v>0</v>
      </c>
      <c r="O105" s="51">
        <f>(O104*'AP01'!$P105)-'AP01'!$G105</f>
        <v>242854.635</v>
      </c>
      <c r="P105" s="53">
        <f t="shared" si="141"/>
        <v>1</v>
      </c>
      <c r="Q105" s="51">
        <f>(Q104*'AP01'!$P105)</f>
        <v>453092.9859</v>
      </c>
      <c r="R105" s="46">
        <f>DATEDIF($S$7,'AP01'!$B105,"Y")</f>
        <v>40</v>
      </c>
      <c r="S105" s="47">
        <f>VLOOKUP('AP01'!$R105,SEGUROS!$A:$B,2,TRUE)</f>
        <v>0.0003073</v>
      </c>
      <c r="T105" s="51">
        <f>('AP01'!$O105*'AP01'!$P105)*'AP01'!$S105</f>
        <v>74.62922935</v>
      </c>
      <c r="U105" s="51">
        <f>'AP01'!$Q105*0.00899%</f>
        <v>40.73305943</v>
      </c>
      <c r="V105" s="4"/>
      <c r="W105" s="4"/>
      <c r="X105" s="4"/>
      <c r="Y105" s="4"/>
      <c r="Z105" s="4"/>
    </row>
    <row r="106" ht="18.75" customHeight="1">
      <c r="A106" s="56">
        <f t="shared" si="4"/>
        <v>92</v>
      </c>
      <c r="B106" s="50">
        <f t="shared" si="8"/>
        <v>46043</v>
      </c>
      <c r="C106" s="58">
        <f t="shared" si="128"/>
        <v>0.1049</v>
      </c>
      <c r="D106" s="58">
        <f>((1+'AP01'!$C106)^(1/12))-1</f>
        <v>0.00834755088</v>
      </c>
      <c r="E106" s="51">
        <f t="shared" si="126"/>
        <v>2171.371183</v>
      </c>
      <c r="F106" s="51">
        <f>(O105*'AP01'!$P106)*'AP01'!$D106</f>
        <v>2027.241422</v>
      </c>
      <c r="G106" s="51">
        <f>(O105*'AP01'!$P106)/($I$5-A105)</f>
        <v>902.8053347</v>
      </c>
      <c r="H106" s="82">
        <f>(O105*'AP01'!$P106)*'AP01'!$S106</f>
        <v>74.62922935</v>
      </c>
      <c r="I106" s="82">
        <f>'AP01'!$Q106*0.00899%</f>
        <v>40.73305943</v>
      </c>
      <c r="J106" s="51">
        <f t="shared" si="136"/>
        <v>25</v>
      </c>
      <c r="K106" s="51">
        <f t="shared" ref="K106:L106" si="147">K105</f>
        <v>0</v>
      </c>
      <c r="L106" s="51">
        <f t="shared" si="147"/>
        <v>0</v>
      </c>
      <c r="M106" s="51">
        <f>SUM('AP01'!$F106:$L106)</f>
        <v>3070.409046</v>
      </c>
      <c r="N106" s="51">
        <f>O105*('AP01'!$P106-1)</f>
        <v>0</v>
      </c>
      <c r="O106" s="51">
        <f>(O105*'AP01'!$P106)-'AP01'!$G106</f>
        <v>241951.8297</v>
      </c>
      <c r="P106" s="53">
        <f t="shared" si="141"/>
        <v>1</v>
      </c>
      <c r="Q106" s="51">
        <f>(Q105*'AP01'!$P106)</f>
        <v>453092.9859</v>
      </c>
      <c r="R106" s="46">
        <f>DATEDIF($S$7,'AP01'!$B106,"Y")</f>
        <v>40</v>
      </c>
      <c r="S106" s="47">
        <f>VLOOKUP('AP01'!$R106,SEGUROS!$A:$B,2,TRUE)</f>
        <v>0.0003073</v>
      </c>
      <c r="T106" s="51">
        <f>('AP01'!$O106*'AP01'!$P106)*'AP01'!$S106</f>
        <v>74.35179727</v>
      </c>
      <c r="U106" s="51">
        <f>'AP01'!$Q106*0.00899%</f>
        <v>40.73305943</v>
      </c>
      <c r="V106" s="4"/>
      <c r="W106" s="4"/>
      <c r="X106" s="4"/>
      <c r="Y106" s="4"/>
      <c r="Z106" s="4"/>
    </row>
    <row r="107" ht="18.75" customHeight="1">
      <c r="A107" s="56">
        <f t="shared" si="4"/>
        <v>93</v>
      </c>
      <c r="B107" s="50">
        <f t="shared" si="8"/>
        <v>46074</v>
      </c>
      <c r="C107" s="58">
        <f t="shared" si="128"/>
        <v>0.1049</v>
      </c>
      <c r="D107" s="58">
        <f>((1+'AP01'!$C107)^(1/12))-1</f>
        <v>0.00834755088</v>
      </c>
      <c r="E107" s="51">
        <f t="shared" si="126"/>
        <v>2171.371183</v>
      </c>
      <c r="F107" s="51">
        <f>(O106*'AP01'!$P107)*'AP01'!$D107</f>
        <v>2019.705209</v>
      </c>
      <c r="G107" s="51">
        <f>(O106*'AP01'!$P107)/($I$5-A106)</f>
        <v>902.8053347</v>
      </c>
      <c r="H107" s="82">
        <f>(O106*'AP01'!$P107)*'AP01'!$S107</f>
        <v>74.35179727</v>
      </c>
      <c r="I107" s="82">
        <f>'AP01'!$Q107*0.00899%</f>
        <v>40.73305943</v>
      </c>
      <c r="J107" s="51">
        <f t="shared" si="136"/>
        <v>25</v>
      </c>
      <c r="K107" s="51">
        <f t="shared" ref="K107:L107" si="148">K106</f>
        <v>0</v>
      </c>
      <c r="L107" s="51">
        <f t="shared" si="148"/>
        <v>0</v>
      </c>
      <c r="M107" s="51">
        <f>SUM('AP01'!$F107:$L107)</f>
        <v>3062.5954</v>
      </c>
      <c r="N107" s="51">
        <f>O106*('AP01'!$P107-1)</f>
        <v>0</v>
      </c>
      <c r="O107" s="51">
        <f>(O106*'AP01'!$P107)-'AP01'!$G107</f>
        <v>241049.0244</v>
      </c>
      <c r="P107" s="53">
        <f t="shared" si="141"/>
        <v>1</v>
      </c>
      <c r="Q107" s="51">
        <f>(Q106*'AP01'!$P107)</f>
        <v>453092.9859</v>
      </c>
      <c r="R107" s="46">
        <f>DATEDIF($S$7,'AP01'!$B107,"Y")</f>
        <v>40</v>
      </c>
      <c r="S107" s="47">
        <f>VLOOKUP('AP01'!$R107,SEGUROS!$A:$B,2,TRUE)</f>
        <v>0.0003073</v>
      </c>
      <c r="T107" s="51">
        <f>('AP01'!$O107*'AP01'!$P107)*'AP01'!$S107</f>
        <v>74.07436519</v>
      </c>
      <c r="U107" s="51">
        <f>'AP01'!$Q107*0.00899%</f>
        <v>40.73305943</v>
      </c>
      <c r="V107" s="4"/>
      <c r="W107" s="4"/>
      <c r="X107" s="4"/>
      <c r="Y107" s="4"/>
      <c r="Z107" s="4"/>
    </row>
    <row r="108" ht="18.75" customHeight="1">
      <c r="A108" s="56">
        <f t="shared" si="4"/>
        <v>94</v>
      </c>
      <c r="B108" s="50">
        <f t="shared" si="8"/>
        <v>46102</v>
      </c>
      <c r="C108" s="58">
        <f t="shared" si="128"/>
        <v>0.1049</v>
      </c>
      <c r="D108" s="58">
        <f>((1+'AP01'!$C108)^(1/12))-1</f>
        <v>0.00834755088</v>
      </c>
      <c r="E108" s="51">
        <f t="shared" si="126"/>
        <v>2171.371183</v>
      </c>
      <c r="F108" s="51">
        <f>(O107*'AP01'!$P108)*'AP01'!$D108</f>
        <v>2012.168996</v>
      </c>
      <c r="G108" s="51">
        <f>(O107*'AP01'!$P108)/($I$5-A107)</f>
        <v>902.8053347</v>
      </c>
      <c r="H108" s="82">
        <f>(O107*'AP01'!$P108)*'AP01'!$S108</f>
        <v>74.07436519</v>
      </c>
      <c r="I108" s="82">
        <f>'AP01'!$Q108*0.00899%</f>
        <v>40.73305943</v>
      </c>
      <c r="J108" s="51">
        <f t="shared" si="136"/>
        <v>25</v>
      </c>
      <c r="K108" s="51">
        <f t="shared" ref="K108:L108" si="149">K107</f>
        <v>0</v>
      </c>
      <c r="L108" s="51">
        <f t="shared" si="149"/>
        <v>0</v>
      </c>
      <c r="M108" s="51">
        <f>SUM('AP01'!$F108:$L108)</f>
        <v>3054.781755</v>
      </c>
      <c r="N108" s="51">
        <f>O107*('AP01'!$P108-1)</f>
        <v>0</v>
      </c>
      <c r="O108" s="51">
        <f>(O107*'AP01'!$P108)-'AP01'!$G108</f>
        <v>240146.219</v>
      </c>
      <c r="P108" s="53">
        <f t="shared" si="141"/>
        <v>1</v>
      </c>
      <c r="Q108" s="51">
        <f>(Q107*'AP01'!$P108)</f>
        <v>453092.9859</v>
      </c>
      <c r="R108" s="46">
        <f>DATEDIF($S$7,'AP01'!$B108,"Y")</f>
        <v>40</v>
      </c>
      <c r="S108" s="47">
        <f>VLOOKUP('AP01'!$R108,SEGUROS!$A:$B,2,TRUE)</f>
        <v>0.0003073</v>
      </c>
      <c r="T108" s="51">
        <f>('AP01'!$O108*'AP01'!$P108)*'AP01'!$S108</f>
        <v>73.79693311</v>
      </c>
      <c r="U108" s="51">
        <f>'AP01'!$Q108*0.00899%</f>
        <v>40.73305943</v>
      </c>
      <c r="V108" s="4"/>
      <c r="W108" s="4"/>
      <c r="X108" s="4"/>
      <c r="Y108" s="4"/>
      <c r="Z108" s="4"/>
    </row>
    <row r="109" ht="18.75" customHeight="1">
      <c r="A109" s="56">
        <f t="shared" si="4"/>
        <v>95</v>
      </c>
      <c r="B109" s="50">
        <f t="shared" si="8"/>
        <v>46133</v>
      </c>
      <c r="C109" s="58">
        <f t="shared" si="128"/>
        <v>0.1049</v>
      </c>
      <c r="D109" s="58">
        <f>((1+'AP01'!$C109)^(1/12))-1</f>
        <v>0.00834755088</v>
      </c>
      <c r="E109" s="51">
        <f t="shared" si="126"/>
        <v>2171.371183</v>
      </c>
      <c r="F109" s="51">
        <f>(O108*'AP01'!$P109)*'AP01'!$D109</f>
        <v>2004.632782</v>
      </c>
      <c r="G109" s="51">
        <f>(O108*'AP01'!$P109)/($I$5-A108)</f>
        <v>902.8053347</v>
      </c>
      <c r="H109" s="82">
        <f>(O108*'AP01'!$P109)*'AP01'!$S109</f>
        <v>73.79693311</v>
      </c>
      <c r="I109" s="82">
        <f>'AP01'!$Q109*0.00899%</f>
        <v>40.73305943</v>
      </c>
      <c r="J109" s="51">
        <f t="shared" si="136"/>
        <v>25</v>
      </c>
      <c r="K109" s="51">
        <f t="shared" ref="K109:L109" si="150">K108</f>
        <v>0</v>
      </c>
      <c r="L109" s="51">
        <f t="shared" si="150"/>
        <v>0</v>
      </c>
      <c r="M109" s="51">
        <f>SUM('AP01'!$F109:$L109)</f>
        <v>3046.968109</v>
      </c>
      <c r="N109" s="51">
        <f>O108*('AP01'!$P109-1)</f>
        <v>0</v>
      </c>
      <c r="O109" s="51">
        <f>(O108*'AP01'!$P109)-'AP01'!$G109</f>
        <v>239243.4137</v>
      </c>
      <c r="P109" s="53">
        <f t="shared" si="141"/>
        <v>1</v>
      </c>
      <c r="Q109" s="51">
        <f>(Q108*'AP01'!$P109)</f>
        <v>453092.9859</v>
      </c>
      <c r="R109" s="46">
        <f>DATEDIF($S$7,'AP01'!$B109,"Y")</f>
        <v>40</v>
      </c>
      <c r="S109" s="47">
        <f>VLOOKUP('AP01'!$R109,SEGUROS!$A:$B,2,TRUE)</f>
        <v>0.0003073</v>
      </c>
      <c r="T109" s="51">
        <f>('AP01'!$O109*'AP01'!$P109)*'AP01'!$S109</f>
        <v>73.51950103</v>
      </c>
      <c r="U109" s="51">
        <f>'AP01'!$Q109*0.00899%</f>
        <v>40.73305943</v>
      </c>
      <c r="V109" s="4"/>
      <c r="W109" s="4"/>
      <c r="X109" s="4"/>
      <c r="Y109" s="4"/>
      <c r="Z109" s="4"/>
    </row>
    <row r="110" ht="18.75" customHeight="1">
      <c r="A110" s="56">
        <f t="shared" si="4"/>
        <v>96</v>
      </c>
      <c r="B110" s="50">
        <f t="shared" si="8"/>
        <v>46163</v>
      </c>
      <c r="C110" s="58">
        <f t="shared" si="128"/>
        <v>0.1049</v>
      </c>
      <c r="D110" s="58">
        <f>((1+'AP01'!$C110)^(1/12))-1</f>
        <v>0.00834755088</v>
      </c>
      <c r="E110" s="51">
        <f t="shared" si="126"/>
        <v>2171.371183</v>
      </c>
      <c r="F110" s="51">
        <f>(O109*'AP01'!$P110)*'AP01'!$D110</f>
        <v>1997.096569</v>
      </c>
      <c r="G110" s="51">
        <f>(O109*'AP01'!$P110)/($I$5-A109)</f>
        <v>902.8053347</v>
      </c>
      <c r="H110" s="82">
        <f>(O109*'AP01'!$P110)*'AP01'!$S110</f>
        <v>73.51950103</v>
      </c>
      <c r="I110" s="82">
        <f>'AP01'!$Q110*0.00899%</f>
        <v>40.73305943</v>
      </c>
      <c r="J110" s="51">
        <f t="shared" si="136"/>
        <v>25</v>
      </c>
      <c r="K110" s="51">
        <f t="shared" ref="K110:L110" si="151">K109</f>
        <v>0</v>
      </c>
      <c r="L110" s="51">
        <f t="shared" si="151"/>
        <v>0</v>
      </c>
      <c r="M110" s="51">
        <f>SUM('AP01'!$F110:$L110)</f>
        <v>3039.154464</v>
      </c>
      <c r="N110" s="51">
        <f>O109*('AP01'!$P110-1)</f>
        <v>0</v>
      </c>
      <c r="O110" s="51">
        <f>(O109*'AP01'!$P110)-'AP01'!$G110</f>
        <v>238340.6084</v>
      </c>
      <c r="P110" s="53">
        <f t="shared" si="141"/>
        <v>1</v>
      </c>
      <c r="Q110" s="51">
        <f>(Q109*'AP01'!$P110)</f>
        <v>453092.9859</v>
      </c>
      <c r="R110" s="46">
        <f>DATEDIF($S$7,'AP01'!$B110,"Y")</f>
        <v>40</v>
      </c>
      <c r="S110" s="47">
        <f>VLOOKUP('AP01'!$R110,SEGUROS!$A:$B,2,TRUE)</f>
        <v>0.0003073</v>
      </c>
      <c r="T110" s="51">
        <f>('AP01'!$O110*'AP01'!$P110)*'AP01'!$S110</f>
        <v>73.24206895</v>
      </c>
      <c r="U110" s="51">
        <f>'AP01'!$Q110*0.00899%</f>
        <v>40.73305943</v>
      </c>
      <c r="V110" s="4"/>
      <c r="W110" s="4"/>
      <c r="X110" s="4"/>
      <c r="Y110" s="4"/>
      <c r="Z110" s="4"/>
    </row>
    <row r="111" ht="18.75" customHeight="1">
      <c r="A111" s="56">
        <f t="shared" si="4"/>
        <v>97</v>
      </c>
      <c r="B111" s="50">
        <f t="shared" si="8"/>
        <v>46194</v>
      </c>
      <c r="C111" s="58">
        <f t="shared" si="128"/>
        <v>0.1049</v>
      </c>
      <c r="D111" s="58">
        <f>((1+'AP01'!$C111)^(1/12))-1</f>
        <v>0.00834755088</v>
      </c>
      <c r="E111" s="51">
        <f t="shared" si="126"/>
        <v>2171.371183</v>
      </c>
      <c r="F111" s="51">
        <f>(O110*'AP01'!$P111)*'AP01'!$D111</f>
        <v>1989.560355</v>
      </c>
      <c r="G111" s="51">
        <f>(O110*'AP01'!$P111)/($I$5-A110)</f>
        <v>902.8053347</v>
      </c>
      <c r="H111" s="82">
        <f>(O110*'AP01'!$P111)*'AP01'!$S111</f>
        <v>73.24206895</v>
      </c>
      <c r="I111" s="82">
        <f>'AP01'!$Q111*0.00899%</f>
        <v>40.73305943</v>
      </c>
      <c r="J111" s="51">
        <f t="shared" si="136"/>
        <v>25</v>
      </c>
      <c r="K111" s="51">
        <f t="shared" ref="K111:L111" si="152">K110</f>
        <v>0</v>
      </c>
      <c r="L111" s="51">
        <f t="shared" si="152"/>
        <v>0</v>
      </c>
      <c r="M111" s="51">
        <f>SUM('AP01'!$F111:$L111)</f>
        <v>3031.340818</v>
      </c>
      <c r="N111" s="51">
        <f>O110*('AP01'!$P111-1)</f>
        <v>0</v>
      </c>
      <c r="O111" s="51">
        <f>(O110*'AP01'!$P111)-'AP01'!$G111</f>
        <v>237437.803</v>
      </c>
      <c r="P111" s="53">
        <f t="shared" si="141"/>
        <v>1</v>
      </c>
      <c r="Q111" s="51">
        <f>(Q110*'AP01'!$P111)</f>
        <v>453092.9859</v>
      </c>
      <c r="R111" s="46">
        <f>DATEDIF($S$7,'AP01'!$B111,"Y")</f>
        <v>40</v>
      </c>
      <c r="S111" s="47">
        <f>VLOOKUP('AP01'!$R111,SEGUROS!$A:$B,2,TRUE)</f>
        <v>0.0003073</v>
      </c>
      <c r="T111" s="51">
        <f>('AP01'!$O111*'AP01'!$P111)*'AP01'!$S111</f>
        <v>72.96463687</v>
      </c>
      <c r="U111" s="51">
        <f>'AP01'!$Q111*0.00899%</f>
        <v>40.73305943</v>
      </c>
      <c r="V111" s="4"/>
      <c r="W111" s="4"/>
      <c r="X111" s="4"/>
      <c r="Y111" s="4"/>
      <c r="Z111" s="4"/>
    </row>
    <row r="112" ht="18.75" customHeight="1">
      <c r="A112" s="56">
        <f t="shared" si="4"/>
        <v>98</v>
      </c>
      <c r="B112" s="50">
        <f t="shared" si="8"/>
        <v>46224</v>
      </c>
      <c r="C112" s="58">
        <f t="shared" si="128"/>
        <v>0.1049</v>
      </c>
      <c r="D112" s="58">
        <f>((1+'AP01'!$C112)^(1/12))-1</f>
        <v>0.00834755088</v>
      </c>
      <c r="E112" s="51">
        <f t="shared" si="126"/>
        <v>2171.371183</v>
      </c>
      <c r="F112" s="51">
        <f>(O111*'AP01'!$P112)*'AP01'!$D112</f>
        <v>1982.024142</v>
      </c>
      <c r="G112" s="51">
        <f>(O111*'AP01'!$P112)/($I$5-A111)</f>
        <v>902.8053347</v>
      </c>
      <c r="H112" s="82">
        <f>(O111*'AP01'!$P112)*'AP01'!$S112</f>
        <v>72.96463687</v>
      </c>
      <c r="I112" s="82">
        <f>'AP01'!$Q112*0.00899%</f>
        <v>40.73305943</v>
      </c>
      <c r="J112" s="51">
        <f t="shared" si="136"/>
        <v>25</v>
      </c>
      <c r="K112" s="51">
        <f t="shared" ref="K112:L112" si="153">K111</f>
        <v>0</v>
      </c>
      <c r="L112" s="51">
        <f t="shared" si="153"/>
        <v>0</v>
      </c>
      <c r="M112" s="51">
        <f>SUM('AP01'!$F112:$L112)</f>
        <v>3023.527173</v>
      </c>
      <c r="N112" s="51">
        <f>O111*('AP01'!$P112-1)</f>
        <v>0</v>
      </c>
      <c r="O112" s="51">
        <f>(O111*'AP01'!$P112)-'AP01'!$G112</f>
        <v>236534.9977</v>
      </c>
      <c r="P112" s="53">
        <f t="shared" si="141"/>
        <v>1</v>
      </c>
      <c r="Q112" s="51">
        <f>(Q111*'AP01'!$P112)</f>
        <v>453092.9859</v>
      </c>
      <c r="R112" s="46">
        <f>DATEDIF($S$7,'AP01'!$B112,"Y")</f>
        <v>40</v>
      </c>
      <c r="S112" s="47">
        <f>VLOOKUP('AP01'!$R112,SEGUROS!$A:$B,2,TRUE)</f>
        <v>0.0003073</v>
      </c>
      <c r="T112" s="51">
        <f>('AP01'!$O112*'AP01'!$P112)*'AP01'!$S112</f>
        <v>72.68720479</v>
      </c>
      <c r="U112" s="51">
        <f>'AP01'!$Q112*0.00899%</f>
        <v>40.73305943</v>
      </c>
      <c r="V112" s="4"/>
      <c r="W112" s="4"/>
      <c r="X112" s="4"/>
      <c r="Y112" s="4"/>
      <c r="Z112" s="4"/>
    </row>
    <row r="113" ht="18.75" customHeight="1">
      <c r="A113" s="56">
        <f t="shared" si="4"/>
        <v>99</v>
      </c>
      <c r="B113" s="50">
        <f t="shared" si="8"/>
        <v>46255</v>
      </c>
      <c r="C113" s="58">
        <f t="shared" si="128"/>
        <v>0.1049</v>
      </c>
      <c r="D113" s="58">
        <f>((1+'AP01'!$C113)^(1/12))-1</f>
        <v>0.00834755088</v>
      </c>
      <c r="E113" s="51">
        <f t="shared" si="126"/>
        <v>2171.371183</v>
      </c>
      <c r="F113" s="51">
        <f>(O112*'AP01'!$P113)*'AP01'!$D113</f>
        <v>1974.487928</v>
      </c>
      <c r="G113" s="51">
        <f>(O112*'AP01'!$P113)/($I$5-A112)</f>
        <v>902.8053347</v>
      </c>
      <c r="H113" s="82">
        <f>(O112*'AP01'!$P113)*'AP01'!$S113</f>
        <v>72.68720479</v>
      </c>
      <c r="I113" s="82">
        <f>'AP01'!$Q113*0.00899%</f>
        <v>40.73305943</v>
      </c>
      <c r="J113" s="51">
        <f t="shared" si="136"/>
        <v>25</v>
      </c>
      <c r="K113" s="51">
        <f t="shared" ref="K113:L113" si="154">K112</f>
        <v>0</v>
      </c>
      <c r="L113" s="51">
        <f t="shared" si="154"/>
        <v>0</v>
      </c>
      <c r="M113" s="51">
        <f>SUM('AP01'!$F113:$L113)</f>
        <v>3015.713527</v>
      </c>
      <c r="N113" s="51">
        <f>O112*('AP01'!$P113-1)</f>
        <v>0</v>
      </c>
      <c r="O113" s="51">
        <f>(O112*'AP01'!$P113)-'AP01'!$G113</f>
        <v>235632.1924</v>
      </c>
      <c r="P113" s="53">
        <f t="shared" si="141"/>
        <v>1</v>
      </c>
      <c r="Q113" s="51">
        <f>(Q112*'AP01'!$P113)</f>
        <v>453092.9859</v>
      </c>
      <c r="R113" s="46">
        <f>DATEDIF($S$7,'AP01'!$B113,"Y")</f>
        <v>40</v>
      </c>
      <c r="S113" s="47">
        <f>VLOOKUP('AP01'!$R113,SEGUROS!$A:$B,2,TRUE)</f>
        <v>0.0003073</v>
      </c>
      <c r="T113" s="51">
        <f>('AP01'!$O113*'AP01'!$P113)*'AP01'!$S113</f>
        <v>72.40977271</v>
      </c>
      <c r="U113" s="51">
        <f>'AP01'!$Q113*0.00899%</f>
        <v>40.73305943</v>
      </c>
      <c r="V113" s="4"/>
      <c r="W113" s="4"/>
      <c r="X113" s="4"/>
      <c r="Y113" s="4"/>
      <c r="Z113" s="4"/>
    </row>
    <row r="114" ht="18.75" customHeight="1">
      <c r="A114" s="56">
        <f t="shared" si="4"/>
        <v>100</v>
      </c>
      <c r="B114" s="50">
        <f t="shared" si="8"/>
        <v>46286</v>
      </c>
      <c r="C114" s="58">
        <f t="shared" si="128"/>
        <v>0.1049</v>
      </c>
      <c r="D114" s="58">
        <f>((1+'AP01'!$C114)^(1/12))-1</f>
        <v>0.00834755088</v>
      </c>
      <c r="E114" s="51">
        <f t="shared" si="126"/>
        <v>2171.371183</v>
      </c>
      <c r="F114" s="51">
        <f>(O113*'AP01'!$P114)*'AP01'!$D114</f>
        <v>1966.951715</v>
      </c>
      <c r="G114" s="51">
        <f>(O113*'AP01'!$P114)/($I$5-A113)</f>
        <v>902.8053347</v>
      </c>
      <c r="H114" s="82">
        <f>(O113*'AP01'!$P114)*'AP01'!$S114</f>
        <v>72.40977271</v>
      </c>
      <c r="I114" s="82">
        <f>'AP01'!$Q114*0.00899%</f>
        <v>40.73305943</v>
      </c>
      <c r="J114" s="51">
        <f t="shared" si="136"/>
        <v>25</v>
      </c>
      <c r="K114" s="51">
        <f t="shared" ref="K114:L114" si="155">K113</f>
        <v>0</v>
      </c>
      <c r="L114" s="51">
        <f t="shared" si="155"/>
        <v>0</v>
      </c>
      <c r="M114" s="51">
        <f>SUM('AP01'!$F114:$L114)</f>
        <v>3007.899882</v>
      </c>
      <c r="N114" s="51">
        <f>O113*('AP01'!$P114-1)</f>
        <v>0</v>
      </c>
      <c r="O114" s="51">
        <f>(O113*'AP01'!$P114)-'AP01'!$G114</f>
        <v>234729.387</v>
      </c>
      <c r="P114" s="53">
        <f t="shared" si="141"/>
        <v>1</v>
      </c>
      <c r="Q114" s="51">
        <f>(Q113*'AP01'!$P114)</f>
        <v>453092.9859</v>
      </c>
      <c r="R114" s="46">
        <f>DATEDIF($S$7,'AP01'!$B114,"Y")</f>
        <v>40</v>
      </c>
      <c r="S114" s="47">
        <f>VLOOKUP('AP01'!$R114,SEGUROS!$A:$B,2,TRUE)</f>
        <v>0.0003073</v>
      </c>
      <c r="T114" s="51">
        <f>('AP01'!$O114*'AP01'!$P114)*'AP01'!$S114</f>
        <v>72.13234063</v>
      </c>
      <c r="U114" s="51">
        <f>'AP01'!$Q114*0.00899%</f>
        <v>40.73305943</v>
      </c>
      <c r="V114" s="4"/>
      <c r="W114" s="4"/>
      <c r="X114" s="4"/>
      <c r="Y114" s="4"/>
      <c r="Z114" s="4"/>
    </row>
    <row r="115" ht="18.75" customHeight="1">
      <c r="A115" s="56">
        <f t="shared" si="4"/>
        <v>101</v>
      </c>
      <c r="B115" s="50">
        <f t="shared" si="8"/>
        <v>46316</v>
      </c>
      <c r="C115" s="58">
        <f t="shared" si="128"/>
        <v>0.1049</v>
      </c>
      <c r="D115" s="58">
        <f>((1+'AP01'!$C115)^(1/12))-1</f>
        <v>0.00834755088</v>
      </c>
      <c r="E115" s="51">
        <f t="shared" si="126"/>
        <v>2171.371183</v>
      </c>
      <c r="F115" s="51">
        <f>(O114*'AP01'!$P115)*'AP01'!$D115</f>
        <v>1959.415501</v>
      </c>
      <c r="G115" s="51">
        <f>(O114*'AP01'!$P115)/($I$5-A114)</f>
        <v>902.8053347</v>
      </c>
      <c r="H115" s="82">
        <f>(O114*'AP01'!$P115)*'AP01'!$S115</f>
        <v>72.13234063</v>
      </c>
      <c r="I115" s="82">
        <f>'AP01'!$Q115*0.00899%</f>
        <v>40.73305943</v>
      </c>
      <c r="J115" s="51">
        <f t="shared" si="136"/>
        <v>25</v>
      </c>
      <c r="K115" s="51">
        <f t="shared" ref="K115:L115" si="156">K114</f>
        <v>0</v>
      </c>
      <c r="L115" s="51">
        <f t="shared" si="156"/>
        <v>0</v>
      </c>
      <c r="M115" s="51">
        <f>SUM('AP01'!$F115:$L115)</f>
        <v>3000.086236</v>
      </c>
      <c r="N115" s="51">
        <f>O114*('AP01'!$P115-1)</f>
        <v>0</v>
      </c>
      <c r="O115" s="51">
        <f>(O114*'AP01'!$P115)-'AP01'!$G115</f>
        <v>233826.5817</v>
      </c>
      <c r="P115" s="53">
        <f t="shared" si="141"/>
        <v>1</v>
      </c>
      <c r="Q115" s="51">
        <f>(Q114*'AP01'!$P115)</f>
        <v>453092.9859</v>
      </c>
      <c r="R115" s="46">
        <f>DATEDIF($S$7,'AP01'!$B115,"Y")</f>
        <v>40</v>
      </c>
      <c r="S115" s="47">
        <f>VLOOKUP('AP01'!$R115,SEGUROS!$A:$B,2,TRUE)</f>
        <v>0.0003073</v>
      </c>
      <c r="T115" s="51">
        <f>('AP01'!$O115*'AP01'!$P115)*'AP01'!$S115</f>
        <v>71.85490856</v>
      </c>
      <c r="U115" s="51">
        <f>'AP01'!$Q115*0.00899%</f>
        <v>40.73305943</v>
      </c>
      <c r="V115" s="4"/>
      <c r="W115" s="4"/>
      <c r="X115" s="4"/>
      <c r="Y115" s="4"/>
      <c r="Z115" s="4"/>
    </row>
    <row r="116" ht="18.75" customHeight="1">
      <c r="A116" s="56">
        <f t="shared" si="4"/>
        <v>102</v>
      </c>
      <c r="B116" s="50">
        <f t="shared" si="8"/>
        <v>46347</v>
      </c>
      <c r="C116" s="58">
        <f t="shared" si="128"/>
        <v>0.1049</v>
      </c>
      <c r="D116" s="58">
        <f>((1+'AP01'!$C116)^(1/12))-1</f>
        <v>0.00834755088</v>
      </c>
      <c r="E116" s="51">
        <f t="shared" si="126"/>
        <v>2171.371183</v>
      </c>
      <c r="F116" s="51">
        <f>(O115*'AP01'!$P116)*'AP01'!$D116</f>
        <v>1951.879288</v>
      </c>
      <c r="G116" s="51">
        <f>(O115*'AP01'!$P116)/($I$5-A115)</f>
        <v>902.8053347</v>
      </c>
      <c r="H116" s="82">
        <f>(O115*'AP01'!$P116)*'AP01'!$S116</f>
        <v>71.85490856</v>
      </c>
      <c r="I116" s="82">
        <f>'AP01'!$Q116*0.00899%</f>
        <v>40.73305943</v>
      </c>
      <c r="J116" s="51">
        <f t="shared" si="136"/>
        <v>25</v>
      </c>
      <c r="K116" s="51">
        <f t="shared" ref="K116:L116" si="157">K115</f>
        <v>0</v>
      </c>
      <c r="L116" s="51">
        <f t="shared" si="157"/>
        <v>0</v>
      </c>
      <c r="M116" s="51">
        <f>SUM('AP01'!$F116:$L116)</f>
        <v>2992.272591</v>
      </c>
      <c r="N116" s="51">
        <f>O115*('AP01'!$P116-1)</f>
        <v>0</v>
      </c>
      <c r="O116" s="51">
        <f>(O115*'AP01'!$P116)-'AP01'!$G116</f>
        <v>232923.7764</v>
      </c>
      <c r="P116" s="53">
        <f t="shared" si="141"/>
        <v>1</v>
      </c>
      <c r="Q116" s="51">
        <f>(Q115*'AP01'!$P116)</f>
        <v>453092.9859</v>
      </c>
      <c r="R116" s="46">
        <f>DATEDIF($S$7,'AP01'!$B116,"Y")</f>
        <v>40</v>
      </c>
      <c r="S116" s="47">
        <f>VLOOKUP('AP01'!$R116,SEGUROS!$A:$B,2,TRUE)</f>
        <v>0.0003073</v>
      </c>
      <c r="T116" s="51">
        <f>('AP01'!$O116*'AP01'!$P116)*'AP01'!$S116</f>
        <v>71.57747648</v>
      </c>
      <c r="U116" s="51">
        <f>'AP01'!$Q116*0.00899%</f>
        <v>40.73305943</v>
      </c>
      <c r="V116" s="4"/>
      <c r="W116" s="4"/>
      <c r="X116" s="4"/>
      <c r="Y116" s="4"/>
      <c r="Z116" s="4"/>
    </row>
    <row r="117" ht="18.75" customHeight="1">
      <c r="A117" s="56">
        <f t="shared" si="4"/>
        <v>103</v>
      </c>
      <c r="B117" s="50">
        <f t="shared" si="8"/>
        <v>46377</v>
      </c>
      <c r="C117" s="58">
        <f t="shared" si="128"/>
        <v>0.1049</v>
      </c>
      <c r="D117" s="58">
        <f>((1+'AP01'!$C117)^(1/12))-1</f>
        <v>0.00834755088</v>
      </c>
      <c r="E117" s="51">
        <f t="shared" si="126"/>
        <v>2171.371183</v>
      </c>
      <c r="F117" s="51">
        <f>(O116*'AP01'!$P117)*'AP01'!$D117</f>
        <v>1944.343074</v>
      </c>
      <c r="G117" s="51">
        <f>(O116*'AP01'!$P117)/($I$5-A116)</f>
        <v>902.8053347</v>
      </c>
      <c r="H117" s="82">
        <f>(O116*'AP01'!$P117)*'AP01'!$S117</f>
        <v>74.04646851</v>
      </c>
      <c r="I117" s="82">
        <f>'AP01'!$Q117*0.00899%</f>
        <v>40.73305943</v>
      </c>
      <c r="J117" s="51">
        <f t="shared" si="136"/>
        <v>25</v>
      </c>
      <c r="K117" s="51">
        <f t="shared" ref="K117:L117" si="158">K116</f>
        <v>0</v>
      </c>
      <c r="L117" s="51">
        <f t="shared" si="158"/>
        <v>0</v>
      </c>
      <c r="M117" s="51">
        <f>SUM('AP01'!$F117:$L117)</f>
        <v>2986.927937</v>
      </c>
      <c r="N117" s="51">
        <f>O116*('AP01'!$P117-1)</f>
        <v>0</v>
      </c>
      <c r="O117" s="51">
        <f>(O116*'AP01'!$P117)-'AP01'!$G117</f>
        <v>232020.971</v>
      </c>
      <c r="P117" s="53">
        <f t="shared" si="141"/>
        <v>1</v>
      </c>
      <c r="Q117" s="51">
        <f>(Q116*'AP01'!$P117)</f>
        <v>453092.9859</v>
      </c>
      <c r="R117" s="46">
        <f>DATEDIF($S$7,'AP01'!$B117,"Y")</f>
        <v>41</v>
      </c>
      <c r="S117" s="47">
        <f>VLOOKUP('AP01'!$R117,SEGUROS!$A:$B,2,TRUE)</f>
        <v>0.0003179</v>
      </c>
      <c r="T117" s="51">
        <f>('AP01'!$O117*'AP01'!$P117)*'AP01'!$S117</f>
        <v>73.75946669</v>
      </c>
      <c r="U117" s="51">
        <f>'AP01'!$Q117*0.00899%</f>
        <v>40.73305943</v>
      </c>
      <c r="V117" s="4"/>
      <c r="W117" s="4"/>
      <c r="X117" s="4"/>
      <c r="Y117" s="4"/>
      <c r="Z117" s="4"/>
    </row>
    <row r="118" ht="18.75" customHeight="1">
      <c r="A118" s="56">
        <f t="shared" si="4"/>
        <v>104</v>
      </c>
      <c r="B118" s="50">
        <f t="shared" si="8"/>
        <v>46408</v>
      </c>
      <c r="C118" s="58">
        <f t="shared" si="128"/>
        <v>0.1049</v>
      </c>
      <c r="D118" s="58">
        <f>((1+'AP01'!$C118)^(1/12))-1</f>
        <v>0.00834755088</v>
      </c>
      <c r="E118" s="51">
        <f t="shared" si="126"/>
        <v>2171.371183</v>
      </c>
      <c r="F118" s="51">
        <f>(O117*'AP01'!$P118)*'AP01'!$D118</f>
        <v>1936.806861</v>
      </c>
      <c r="G118" s="51">
        <f>(O117*'AP01'!$P118)/($I$5-A117)</f>
        <v>902.8053347</v>
      </c>
      <c r="H118" s="82">
        <f>(O117*'AP01'!$P118)*'AP01'!$S118</f>
        <v>73.75946669</v>
      </c>
      <c r="I118" s="82">
        <f>'AP01'!$Q118*0.00899%</f>
        <v>40.73305943</v>
      </c>
      <c r="J118" s="51">
        <f t="shared" si="136"/>
        <v>25</v>
      </c>
      <c r="K118" s="51">
        <f t="shared" ref="K118:L118" si="159">K117</f>
        <v>0</v>
      </c>
      <c r="L118" s="51">
        <f t="shared" si="159"/>
        <v>0</v>
      </c>
      <c r="M118" s="51">
        <f>SUM('AP01'!$F118:$L118)</f>
        <v>2979.104722</v>
      </c>
      <c r="N118" s="51">
        <f>O117*('AP01'!$P118-1)</f>
        <v>0</v>
      </c>
      <c r="O118" s="51">
        <f>(O117*'AP01'!$P118)-'AP01'!$G118</f>
        <v>231118.1657</v>
      </c>
      <c r="P118" s="53">
        <f t="shared" si="141"/>
        <v>1</v>
      </c>
      <c r="Q118" s="51">
        <f>(Q117*'AP01'!$P118)</f>
        <v>453092.9859</v>
      </c>
      <c r="R118" s="46">
        <f>DATEDIF($S$7,'AP01'!$B118,"Y")</f>
        <v>41</v>
      </c>
      <c r="S118" s="47">
        <f>VLOOKUP('AP01'!$R118,SEGUROS!$A:$B,2,TRUE)</f>
        <v>0.0003179</v>
      </c>
      <c r="T118" s="51">
        <f>('AP01'!$O118*'AP01'!$P118)*'AP01'!$S118</f>
        <v>73.47246487</v>
      </c>
      <c r="U118" s="51">
        <f>'AP01'!$Q118*0.00899%</f>
        <v>40.73305943</v>
      </c>
      <c r="V118" s="4"/>
      <c r="W118" s="4"/>
      <c r="X118" s="4"/>
      <c r="Y118" s="4"/>
      <c r="Z118" s="4"/>
    </row>
    <row r="119" ht="18.75" customHeight="1">
      <c r="A119" s="56">
        <f t="shared" si="4"/>
        <v>105</v>
      </c>
      <c r="B119" s="50">
        <f t="shared" si="8"/>
        <v>46439</v>
      </c>
      <c r="C119" s="58">
        <f t="shared" si="128"/>
        <v>0.1049</v>
      </c>
      <c r="D119" s="58">
        <f>((1+'AP01'!$C119)^(1/12))-1</f>
        <v>0.00834755088</v>
      </c>
      <c r="E119" s="51">
        <f t="shared" si="126"/>
        <v>2171.371183</v>
      </c>
      <c r="F119" s="51">
        <f>(O118*'AP01'!$P119)*'AP01'!$D119</f>
        <v>1929.270647</v>
      </c>
      <c r="G119" s="51">
        <f>(O118*'AP01'!$P119)/($I$5-A118)</f>
        <v>902.8053347</v>
      </c>
      <c r="H119" s="82">
        <f>(O118*'AP01'!$P119)*'AP01'!$S119</f>
        <v>73.47246487</v>
      </c>
      <c r="I119" s="82">
        <f>'AP01'!$Q119*0.00899%</f>
        <v>40.73305943</v>
      </c>
      <c r="J119" s="51">
        <f t="shared" si="136"/>
        <v>25</v>
      </c>
      <c r="K119" s="51">
        <f t="shared" ref="K119:L119" si="160">K118</f>
        <v>0</v>
      </c>
      <c r="L119" s="51">
        <f t="shared" si="160"/>
        <v>0</v>
      </c>
      <c r="M119" s="51">
        <f>SUM('AP01'!$F119:$L119)</f>
        <v>2971.281506</v>
      </c>
      <c r="N119" s="51">
        <f>O118*('AP01'!$P119-1)</f>
        <v>0</v>
      </c>
      <c r="O119" s="51">
        <f>(O118*'AP01'!$P119)-'AP01'!$G119</f>
        <v>230215.3604</v>
      </c>
      <c r="P119" s="53">
        <f t="shared" si="141"/>
        <v>1</v>
      </c>
      <c r="Q119" s="51">
        <f>(Q118*'AP01'!$P119)</f>
        <v>453092.9859</v>
      </c>
      <c r="R119" s="46">
        <f>DATEDIF($S$7,'AP01'!$B119,"Y")</f>
        <v>41</v>
      </c>
      <c r="S119" s="47">
        <f>VLOOKUP('AP01'!$R119,SEGUROS!$A:$B,2,TRUE)</f>
        <v>0.0003179</v>
      </c>
      <c r="T119" s="51">
        <f>('AP01'!$O119*'AP01'!$P119)*'AP01'!$S119</f>
        <v>73.18546306</v>
      </c>
      <c r="U119" s="51">
        <f>'AP01'!$Q119*0.00899%</f>
        <v>40.73305943</v>
      </c>
      <c r="V119" s="4"/>
      <c r="W119" s="4"/>
      <c r="X119" s="4"/>
      <c r="Y119" s="4"/>
      <c r="Z119" s="4"/>
    </row>
    <row r="120" ht="18.75" customHeight="1">
      <c r="A120" s="56">
        <f t="shared" si="4"/>
        <v>106</v>
      </c>
      <c r="B120" s="50">
        <f t="shared" si="8"/>
        <v>46467</v>
      </c>
      <c r="C120" s="58">
        <f t="shared" si="128"/>
        <v>0.1049</v>
      </c>
      <c r="D120" s="58">
        <f>((1+'AP01'!$C120)^(1/12))-1</f>
        <v>0.00834755088</v>
      </c>
      <c r="E120" s="51">
        <f t="shared" si="126"/>
        <v>2171.371183</v>
      </c>
      <c r="F120" s="51">
        <f>(O119*'AP01'!$P120)*'AP01'!$D120</f>
        <v>1921.734434</v>
      </c>
      <c r="G120" s="51">
        <f>(O119*'AP01'!$P120)/($I$5-A119)</f>
        <v>902.8053347</v>
      </c>
      <c r="H120" s="82">
        <f>(O119*'AP01'!$P120)*'AP01'!$S120</f>
        <v>73.18546306</v>
      </c>
      <c r="I120" s="82">
        <f>'AP01'!$Q120*0.00899%</f>
        <v>40.73305943</v>
      </c>
      <c r="J120" s="51">
        <f t="shared" si="136"/>
        <v>25</v>
      </c>
      <c r="K120" s="51">
        <f t="shared" ref="K120:L120" si="161">K119</f>
        <v>0</v>
      </c>
      <c r="L120" s="51">
        <f t="shared" si="161"/>
        <v>0</v>
      </c>
      <c r="M120" s="51">
        <f>SUM('AP01'!$F120:$L120)</f>
        <v>2963.458291</v>
      </c>
      <c r="N120" s="51">
        <f>O119*('AP01'!$P120-1)</f>
        <v>0</v>
      </c>
      <c r="O120" s="51">
        <f>(O119*'AP01'!$P120)-'AP01'!$G120</f>
        <v>229312.555</v>
      </c>
      <c r="P120" s="53">
        <f t="shared" si="141"/>
        <v>1</v>
      </c>
      <c r="Q120" s="51">
        <f>(Q119*'AP01'!$P120)</f>
        <v>453092.9859</v>
      </c>
      <c r="R120" s="46">
        <f>DATEDIF($S$7,'AP01'!$B120,"Y")</f>
        <v>41</v>
      </c>
      <c r="S120" s="47">
        <f>VLOOKUP('AP01'!$R120,SEGUROS!$A:$B,2,TRUE)</f>
        <v>0.0003179</v>
      </c>
      <c r="T120" s="51">
        <f>('AP01'!$O120*'AP01'!$P120)*'AP01'!$S120</f>
        <v>72.89846124</v>
      </c>
      <c r="U120" s="51">
        <f>'AP01'!$Q120*0.00899%</f>
        <v>40.73305943</v>
      </c>
      <c r="V120" s="4"/>
      <c r="W120" s="4"/>
      <c r="X120" s="4"/>
      <c r="Y120" s="4"/>
      <c r="Z120" s="4"/>
    </row>
    <row r="121" ht="18.75" customHeight="1">
      <c r="A121" s="56">
        <f t="shared" si="4"/>
        <v>107</v>
      </c>
      <c r="B121" s="50">
        <f t="shared" si="8"/>
        <v>46498</v>
      </c>
      <c r="C121" s="58">
        <f t="shared" si="128"/>
        <v>0.1049</v>
      </c>
      <c r="D121" s="58">
        <f>((1+'AP01'!$C121)^(1/12))-1</f>
        <v>0.00834755088</v>
      </c>
      <c r="E121" s="51">
        <f t="shared" si="126"/>
        <v>2171.371183</v>
      </c>
      <c r="F121" s="51">
        <f>(O120*'AP01'!$P121)*'AP01'!$D121</f>
        <v>1914.19822</v>
      </c>
      <c r="G121" s="51">
        <f>(O120*'AP01'!$P121)/($I$5-A120)</f>
        <v>902.8053347</v>
      </c>
      <c r="H121" s="82">
        <f>(O120*'AP01'!$P121)*'AP01'!$S121</f>
        <v>72.89846124</v>
      </c>
      <c r="I121" s="82">
        <f>'AP01'!$Q121*0.00899%</f>
        <v>40.73305943</v>
      </c>
      <c r="J121" s="51">
        <f t="shared" si="136"/>
        <v>25</v>
      </c>
      <c r="K121" s="51">
        <f t="shared" ref="K121:L121" si="162">K120</f>
        <v>0</v>
      </c>
      <c r="L121" s="51">
        <f t="shared" si="162"/>
        <v>0</v>
      </c>
      <c r="M121" s="51">
        <f>SUM('AP01'!$F121:$L121)</f>
        <v>2955.635076</v>
      </c>
      <c r="N121" s="51">
        <f>O120*('AP01'!$P121-1)</f>
        <v>0</v>
      </c>
      <c r="O121" s="51">
        <f>(O120*'AP01'!$P121)-'AP01'!$G121</f>
        <v>228409.7497</v>
      </c>
      <c r="P121" s="53">
        <f t="shared" si="141"/>
        <v>1</v>
      </c>
      <c r="Q121" s="51">
        <f>(Q120*'AP01'!$P121)</f>
        <v>453092.9859</v>
      </c>
      <c r="R121" s="46">
        <f>DATEDIF($S$7,'AP01'!$B121,"Y")</f>
        <v>41</v>
      </c>
      <c r="S121" s="47">
        <f>VLOOKUP('AP01'!$R121,SEGUROS!$A:$B,2,TRUE)</f>
        <v>0.0003179</v>
      </c>
      <c r="T121" s="51">
        <f>('AP01'!$O121*'AP01'!$P121)*'AP01'!$S121</f>
        <v>72.61145943</v>
      </c>
      <c r="U121" s="51">
        <f>'AP01'!$Q121*0.00899%</f>
        <v>40.73305943</v>
      </c>
      <c r="V121" s="4"/>
      <c r="W121" s="4"/>
      <c r="X121" s="4"/>
      <c r="Y121" s="4"/>
      <c r="Z121" s="4"/>
    </row>
    <row r="122" ht="18.75" customHeight="1">
      <c r="A122" s="56">
        <f t="shared" si="4"/>
        <v>108</v>
      </c>
      <c r="B122" s="50">
        <f t="shared" si="8"/>
        <v>46528</v>
      </c>
      <c r="C122" s="58">
        <f t="shared" si="128"/>
        <v>0.1049</v>
      </c>
      <c r="D122" s="58">
        <f>((1+'AP01'!$C122)^(1/12))-1</f>
        <v>0.00834755088</v>
      </c>
      <c r="E122" s="51">
        <f t="shared" si="126"/>
        <v>2171.371183</v>
      </c>
      <c r="F122" s="51">
        <f>(O121*'AP01'!$P122)*'AP01'!$D122</f>
        <v>1906.662007</v>
      </c>
      <c r="G122" s="51">
        <f>(O121*'AP01'!$P122)/($I$5-A121)</f>
        <v>902.8053347</v>
      </c>
      <c r="H122" s="82">
        <f>(O121*'AP01'!$P122)*'AP01'!$S122</f>
        <v>72.61145943</v>
      </c>
      <c r="I122" s="82">
        <f>'AP01'!$Q122*0.00899%</f>
        <v>40.73305943</v>
      </c>
      <c r="J122" s="51">
        <f t="shared" si="136"/>
        <v>25</v>
      </c>
      <c r="K122" s="51">
        <f t="shared" ref="K122:L122" si="163">K121</f>
        <v>0</v>
      </c>
      <c r="L122" s="51">
        <f t="shared" si="163"/>
        <v>0</v>
      </c>
      <c r="M122" s="51">
        <f>SUM('AP01'!$F122:$L122)</f>
        <v>2947.811861</v>
      </c>
      <c r="N122" s="51">
        <f>O121*('AP01'!$P122-1)</f>
        <v>0</v>
      </c>
      <c r="O122" s="51">
        <f>(O121*'AP01'!$P122)-'AP01'!$G122</f>
        <v>227506.9444</v>
      </c>
      <c r="P122" s="53">
        <f t="shared" si="141"/>
        <v>1</v>
      </c>
      <c r="Q122" s="51">
        <f>(Q121*'AP01'!$P122)</f>
        <v>453092.9859</v>
      </c>
      <c r="R122" s="46">
        <f>DATEDIF($S$7,'AP01'!$B122,"Y")</f>
        <v>41</v>
      </c>
      <c r="S122" s="47">
        <f>VLOOKUP('AP01'!$R122,SEGUROS!$A:$B,2,TRUE)</f>
        <v>0.0003179</v>
      </c>
      <c r="T122" s="51">
        <f>('AP01'!$O122*'AP01'!$P122)*'AP01'!$S122</f>
        <v>72.32445761</v>
      </c>
      <c r="U122" s="51">
        <f>'AP01'!$Q122*0.00899%</f>
        <v>40.73305943</v>
      </c>
      <c r="V122" s="4"/>
      <c r="W122" s="4"/>
      <c r="X122" s="4"/>
      <c r="Y122" s="4"/>
      <c r="Z122" s="4"/>
    </row>
    <row r="123" ht="18.75" customHeight="1">
      <c r="A123" s="56">
        <f t="shared" si="4"/>
        <v>109</v>
      </c>
      <c r="B123" s="50">
        <f t="shared" si="8"/>
        <v>46559</v>
      </c>
      <c r="C123" s="58">
        <f t="shared" si="128"/>
        <v>0.1049</v>
      </c>
      <c r="D123" s="58">
        <f>((1+'AP01'!$C123)^(1/12))-1</f>
        <v>0.00834755088</v>
      </c>
      <c r="E123" s="51">
        <f t="shared" si="126"/>
        <v>2171.371183</v>
      </c>
      <c r="F123" s="51">
        <f>(O122*'AP01'!$P123)*'AP01'!$D123</f>
        <v>1899.125794</v>
      </c>
      <c r="G123" s="51">
        <f>(O122*'AP01'!$P123)/($I$5-A122)</f>
        <v>902.8053347</v>
      </c>
      <c r="H123" s="82">
        <f>(O122*'AP01'!$P123)*'AP01'!$S123</f>
        <v>72.32445761</v>
      </c>
      <c r="I123" s="82">
        <f>'AP01'!$Q123*0.00899%</f>
        <v>40.73305943</v>
      </c>
      <c r="J123" s="51">
        <f t="shared" si="136"/>
        <v>25</v>
      </c>
      <c r="K123" s="51">
        <f t="shared" ref="K123:L123" si="164">K122</f>
        <v>0</v>
      </c>
      <c r="L123" s="51">
        <f t="shared" si="164"/>
        <v>0</v>
      </c>
      <c r="M123" s="51">
        <f>SUM('AP01'!$F123:$L123)</f>
        <v>2939.988645</v>
      </c>
      <c r="N123" s="51">
        <f>O122*('AP01'!$P123-1)</f>
        <v>0</v>
      </c>
      <c r="O123" s="51">
        <f>(O122*'AP01'!$P123)-'AP01'!$G123</f>
        <v>226604.139</v>
      </c>
      <c r="P123" s="53">
        <f t="shared" si="141"/>
        <v>1</v>
      </c>
      <c r="Q123" s="51">
        <f>(Q122*'AP01'!$P123)</f>
        <v>453092.9859</v>
      </c>
      <c r="R123" s="46">
        <f>DATEDIF($S$7,'AP01'!$B123,"Y")</f>
        <v>41</v>
      </c>
      <c r="S123" s="47">
        <f>VLOOKUP('AP01'!$R123,SEGUROS!$A:$B,2,TRUE)</f>
        <v>0.0003179</v>
      </c>
      <c r="T123" s="51">
        <f>('AP01'!$O123*'AP01'!$P123)*'AP01'!$S123</f>
        <v>72.03745579</v>
      </c>
      <c r="U123" s="51">
        <f>'AP01'!$Q123*0.00899%</f>
        <v>40.73305943</v>
      </c>
      <c r="V123" s="4"/>
      <c r="W123" s="4"/>
      <c r="X123" s="4"/>
      <c r="Y123" s="4"/>
      <c r="Z123" s="4"/>
    </row>
    <row r="124" ht="18.75" customHeight="1">
      <c r="A124" s="56">
        <f t="shared" si="4"/>
        <v>110</v>
      </c>
      <c r="B124" s="50">
        <f t="shared" si="8"/>
        <v>46589</v>
      </c>
      <c r="C124" s="58">
        <f t="shared" si="128"/>
        <v>0.1049</v>
      </c>
      <c r="D124" s="58">
        <f>((1+'AP01'!$C124)^(1/12))-1</f>
        <v>0.00834755088</v>
      </c>
      <c r="E124" s="51">
        <f t="shared" si="126"/>
        <v>2171.371183</v>
      </c>
      <c r="F124" s="51">
        <f>(O123*'AP01'!$P124)*'AP01'!$D124</f>
        <v>1891.58958</v>
      </c>
      <c r="G124" s="51">
        <f>(O123*'AP01'!$P124)/($I$5-A123)</f>
        <v>902.8053347</v>
      </c>
      <c r="H124" s="82">
        <f>(O123*'AP01'!$P124)*'AP01'!$S124</f>
        <v>72.03745579</v>
      </c>
      <c r="I124" s="82">
        <f>'AP01'!$Q124*0.00899%</f>
        <v>40.73305943</v>
      </c>
      <c r="J124" s="51">
        <f t="shared" si="136"/>
        <v>25</v>
      </c>
      <c r="K124" s="51">
        <f t="shared" ref="K124:L124" si="165">K123</f>
        <v>0</v>
      </c>
      <c r="L124" s="51">
        <f t="shared" si="165"/>
        <v>0</v>
      </c>
      <c r="M124" s="51">
        <f>SUM('AP01'!$F124:$L124)</f>
        <v>2932.16543</v>
      </c>
      <c r="N124" s="51">
        <f>O123*('AP01'!$P124-1)</f>
        <v>0</v>
      </c>
      <c r="O124" s="51">
        <f>(O123*'AP01'!$P124)-'AP01'!$G124</f>
        <v>225701.3337</v>
      </c>
      <c r="P124" s="53">
        <f t="shared" si="141"/>
        <v>1</v>
      </c>
      <c r="Q124" s="51">
        <f>(Q123*'AP01'!$P124)</f>
        <v>453092.9859</v>
      </c>
      <c r="R124" s="46">
        <f>DATEDIF($S$7,'AP01'!$B124,"Y")</f>
        <v>41</v>
      </c>
      <c r="S124" s="47">
        <f>VLOOKUP('AP01'!$R124,SEGUROS!$A:$B,2,TRUE)</f>
        <v>0.0003179</v>
      </c>
      <c r="T124" s="51">
        <f>('AP01'!$O124*'AP01'!$P124)*'AP01'!$S124</f>
        <v>71.75045398</v>
      </c>
      <c r="U124" s="51">
        <f>'AP01'!$Q124*0.00899%</f>
        <v>40.73305943</v>
      </c>
      <c r="V124" s="4"/>
      <c r="W124" s="4"/>
      <c r="X124" s="4"/>
      <c r="Y124" s="4"/>
      <c r="Z124" s="4"/>
    </row>
    <row r="125" ht="18.75" customHeight="1">
      <c r="A125" s="56">
        <f t="shared" si="4"/>
        <v>111</v>
      </c>
      <c r="B125" s="50">
        <f t="shared" si="8"/>
        <v>46620</v>
      </c>
      <c r="C125" s="58">
        <f t="shared" si="128"/>
        <v>0.1049</v>
      </c>
      <c r="D125" s="58">
        <f>((1+'AP01'!$C125)^(1/12))-1</f>
        <v>0.00834755088</v>
      </c>
      <c r="E125" s="51">
        <f t="shared" si="126"/>
        <v>2171.371183</v>
      </c>
      <c r="F125" s="51">
        <f>(O124*'AP01'!$P125)*'AP01'!$D125</f>
        <v>1884.053367</v>
      </c>
      <c r="G125" s="51">
        <f>(O124*'AP01'!$P125)/($I$5-A124)</f>
        <v>902.8053347</v>
      </c>
      <c r="H125" s="82">
        <f>(O124*'AP01'!$P125)*'AP01'!$S125</f>
        <v>71.75045398</v>
      </c>
      <c r="I125" s="82">
        <f>'AP01'!$Q125*0.00899%</f>
        <v>40.73305943</v>
      </c>
      <c r="J125" s="51">
        <f t="shared" si="136"/>
        <v>25</v>
      </c>
      <c r="K125" s="51">
        <f t="shared" ref="K125:L125" si="166">K124</f>
        <v>0</v>
      </c>
      <c r="L125" s="51">
        <f t="shared" si="166"/>
        <v>0</v>
      </c>
      <c r="M125" s="51">
        <f>SUM('AP01'!$F125:$L125)</f>
        <v>2924.342215</v>
      </c>
      <c r="N125" s="51">
        <f>O124*('AP01'!$P125-1)</f>
        <v>0</v>
      </c>
      <c r="O125" s="51">
        <f>(O124*'AP01'!$P125)-'AP01'!$G125</f>
        <v>224798.5283</v>
      </c>
      <c r="P125" s="53">
        <f t="shared" si="141"/>
        <v>1</v>
      </c>
      <c r="Q125" s="51">
        <f>(Q124*'AP01'!$P125)</f>
        <v>453092.9859</v>
      </c>
      <c r="R125" s="46">
        <f>DATEDIF($S$7,'AP01'!$B125,"Y")</f>
        <v>41</v>
      </c>
      <c r="S125" s="47">
        <f>VLOOKUP('AP01'!$R125,SEGUROS!$A:$B,2,TRUE)</f>
        <v>0.0003179</v>
      </c>
      <c r="T125" s="51">
        <f>('AP01'!$O125*'AP01'!$P125)*'AP01'!$S125</f>
        <v>71.46345216</v>
      </c>
      <c r="U125" s="51">
        <f>'AP01'!$Q125*0.00899%</f>
        <v>40.73305943</v>
      </c>
      <c r="V125" s="4"/>
      <c r="W125" s="4"/>
      <c r="X125" s="4"/>
      <c r="Y125" s="4"/>
      <c r="Z125" s="4"/>
    </row>
    <row r="126" ht="18.75" customHeight="1">
      <c r="A126" s="56">
        <f t="shared" si="4"/>
        <v>112</v>
      </c>
      <c r="B126" s="50">
        <f t="shared" si="8"/>
        <v>46651</v>
      </c>
      <c r="C126" s="58">
        <f t="shared" si="128"/>
        <v>0.1049</v>
      </c>
      <c r="D126" s="58">
        <f>((1+'AP01'!$C126)^(1/12))-1</f>
        <v>0.00834755088</v>
      </c>
      <c r="E126" s="51">
        <f t="shared" si="126"/>
        <v>2171.371183</v>
      </c>
      <c r="F126" s="51">
        <f>(O125*'AP01'!$P126)*'AP01'!$D126</f>
        <v>1876.517153</v>
      </c>
      <c r="G126" s="51">
        <f>(O125*'AP01'!$P126)/($I$5-A125)</f>
        <v>902.8053347</v>
      </c>
      <c r="H126" s="82">
        <f>(O125*'AP01'!$P126)*'AP01'!$S126</f>
        <v>71.46345216</v>
      </c>
      <c r="I126" s="82">
        <f>'AP01'!$Q126*0.00899%</f>
        <v>40.73305943</v>
      </c>
      <c r="J126" s="51">
        <f t="shared" si="136"/>
        <v>25</v>
      </c>
      <c r="K126" s="51">
        <f t="shared" ref="K126:L126" si="167">K125</f>
        <v>0</v>
      </c>
      <c r="L126" s="51">
        <f t="shared" si="167"/>
        <v>0</v>
      </c>
      <c r="M126" s="51">
        <f>SUM('AP01'!$F126:$L126)</f>
        <v>2916.518999</v>
      </c>
      <c r="N126" s="51">
        <f>O125*('AP01'!$P126-1)</f>
        <v>0</v>
      </c>
      <c r="O126" s="51">
        <f>(O125*'AP01'!$P126)-'AP01'!$G126</f>
        <v>223895.723</v>
      </c>
      <c r="P126" s="53">
        <f t="shared" si="141"/>
        <v>1</v>
      </c>
      <c r="Q126" s="51">
        <f>(Q125*'AP01'!$P126)</f>
        <v>453092.9859</v>
      </c>
      <c r="R126" s="46">
        <f>DATEDIF($S$7,'AP01'!$B126,"Y")</f>
        <v>41</v>
      </c>
      <c r="S126" s="47">
        <f>VLOOKUP('AP01'!$R126,SEGUROS!$A:$B,2,TRUE)</f>
        <v>0.0003179</v>
      </c>
      <c r="T126" s="51">
        <f>('AP01'!$O126*'AP01'!$P126)*'AP01'!$S126</f>
        <v>71.17645035</v>
      </c>
      <c r="U126" s="51">
        <f>'AP01'!$Q126*0.00899%</f>
        <v>40.73305943</v>
      </c>
      <c r="V126" s="4"/>
      <c r="W126" s="4"/>
      <c r="X126" s="4"/>
      <c r="Y126" s="4"/>
      <c r="Z126" s="4"/>
    </row>
    <row r="127" ht="18.75" customHeight="1">
      <c r="A127" s="56">
        <f t="shared" si="4"/>
        <v>113</v>
      </c>
      <c r="B127" s="50">
        <f t="shared" si="8"/>
        <v>46681</v>
      </c>
      <c r="C127" s="58">
        <f t="shared" si="128"/>
        <v>0.1049</v>
      </c>
      <c r="D127" s="58">
        <f>((1+'AP01'!$C127)^(1/12))-1</f>
        <v>0.00834755088</v>
      </c>
      <c r="E127" s="51">
        <f t="shared" si="126"/>
        <v>2171.371183</v>
      </c>
      <c r="F127" s="51">
        <f>(O126*'AP01'!$P127)*'AP01'!$D127</f>
        <v>1868.98094</v>
      </c>
      <c r="G127" s="51">
        <f>(O126*'AP01'!$P127)/($I$5-A126)</f>
        <v>902.8053347</v>
      </c>
      <c r="H127" s="82">
        <f>(O126*'AP01'!$P127)*'AP01'!$S127</f>
        <v>71.17645035</v>
      </c>
      <c r="I127" s="82">
        <f>'AP01'!$Q127*0.00899%</f>
        <v>40.73305943</v>
      </c>
      <c r="J127" s="51">
        <f t="shared" si="136"/>
        <v>25</v>
      </c>
      <c r="K127" s="51">
        <f t="shared" ref="K127:L127" si="168">K126</f>
        <v>0</v>
      </c>
      <c r="L127" s="51">
        <f t="shared" si="168"/>
        <v>0</v>
      </c>
      <c r="M127" s="51">
        <f>SUM('AP01'!$F127:$L127)</f>
        <v>2908.695784</v>
      </c>
      <c r="N127" s="51">
        <f>O126*('AP01'!$P127-1)</f>
        <v>0</v>
      </c>
      <c r="O127" s="51">
        <f>(O126*'AP01'!$P127)-'AP01'!$G127</f>
        <v>222992.9177</v>
      </c>
      <c r="P127" s="53">
        <f t="shared" si="141"/>
        <v>1</v>
      </c>
      <c r="Q127" s="51">
        <f>(Q126*'AP01'!$P127)</f>
        <v>453092.9859</v>
      </c>
      <c r="R127" s="46">
        <f>DATEDIF($S$7,'AP01'!$B127,"Y")</f>
        <v>41</v>
      </c>
      <c r="S127" s="47">
        <f>VLOOKUP('AP01'!$R127,SEGUROS!$A:$B,2,TRUE)</f>
        <v>0.0003179</v>
      </c>
      <c r="T127" s="51">
        <f>('AP01'!$O127*'AP01'!$P127)*'AP01'!$S127</f>
        <v>70.88944853</v>
      </c>
      <c r="U127" s="51">
        <f>'AP01'!$Q127*0.00899%</f>
        <v>40.73305943</v>
      </c>
      <c r="V127" s="4"/>
      <c r="W127" s="4"/>
      <c r="X127" s="4"/>
      <c r="Y127" s="4"/>
      <c r="Z127" s="4"/>
    </row>
    <row r="128" ht="18.75" customHeight="1">
      <c r="A128" s="56">
        <f t="shared" si="4"/>
        <v>114</v>
      </c>
      <c r="B128" s="50">
        <f t="shared" si="8"/>
        <v>46712</v>
      </c>
      <c r="C128" s="58">
        <f t="shared" si="128"/>
        <v>0.1049</v>
      </c>
      <c r="D128" s="58">
        <f>((1+'AP01'!$C128)^(1/12))-1</f>
        <v>0.00834755088</v>
      </c>
      <c r="E128" s="51">
        <f t="shared" si="126"/>
        <v>2171.371183</v>
      </c>
      <c r="F128" s="51">
        <f>(O127*'AP01'!$P128)*'AP01'!$D128</f>
        <v>1861.444726</v>
      </c>
      <c r="G128" s="51">
        <f>(O127*'AP01'!$P128)/($I$5-A127)</f>
        <v>902.8053347</v>
      </c>
      <c r="H128" s="82">
        <f>(O127*'AP01'!$P128)*'AP01'!$S128</f>
        <v>70.88944853</v>
      </c>
      <c r="I128" s="82">
        <f>'AP01'!$Q128*0.00899%</f>
        <v>40.73305943</v>
      </c>
      <c r="J128" s="51">
        <f t="shared" si="136"/>
        <v>25</v>
      </c>
      <c r="K128" s="51">
        <f t="shared" ref="K128:L128" si="169">K127</f>
        <v>0</v>
      </c>
      <c r="L128" s="51">
        <f t="shared" si="169"/>
        <v>0</v>
      </c>
      <c r="M128" s="51">
        <f>SUM('AP01'!$F128:$L128)</f>
        <v>2900.872569</v>
      </c>
      <c r="N128" s="51">
        <f>O127*('AP01'!$P128-1)</f>
        <v>0</v>
      </c>
      <c r="O128" s="51">
        <f>(O127*'AP01'!$P128)-'AP01'!$G128</f>
        <v>222090.1123</v>
      </c>
      <c r="P128" s="53">
        <f t="shared" si="141"/>
        <v>1</v>
      </c>
      <c r="Q128" s="51">
        <f>(Q127*'AP01'!$P128)</f>
        <v>453092.9859</v>
      </c>
      <c r="R128" s="46">
        <f>DATEDIF($S$7,'AP01'!$B128,"Y")</f>
        <v>41</v>
      </c>
      <c r="S128" s="47">
        <f>VLOOKUP('AP01'!$R128,SEGUROS!$A:$B,2,TRUE)</f>
        <v>0.0003179</v>
      </c>
      <c r="T128" s="51">
        <f>('AP01'!$O128*'AP01'!$P128)*'AP01'!$S128</f>
        <v>70.60244671</v>
      </c>
      <c r="U128" s="51">
        <f>'AP01'!$Q128*0.00899%</f>
        <v>40.73305943</v>
      </c>
      <c r="V128" s="4"/>
      <c r="W128" s="4"/>
      <c r="X128" s="4"/>
      <c r="Y128" s="4"/>
      <c r="Z128" s="4"/>
    </row>
    <row r="129" ht="18.75" customHeight="1">
      <c r="A129" s="56">
        <f t="shared" si="4"/>
        <v>115</v>
      </c>
      <c r="B129" s="50">
        <f t="shared" si="8"/>
        <v>46742</v>
      </c>
      <c r="C129" s="58">
        <f t="shared" si="128"/>
        <v>0.1049</v>
      </c>
      <c r="D129" s="58">
        <f>((1+'AP01'!$C129)^(1/12))-1</f>
        <v>0.00834755088</v>
      </c>
      <c r="E129" s="51">
        <f t="shared" si="126"/>
        <v>2171.371183</v>
      </c>
      <c r="F129" s="51">
        <f>(O128*'AP01'!$P129)*'AP01'!$D129</f>
        <v>1853.908513</v>
      </c>
      <c r="G129" s="51">
        <f>(O128*'AP01'!$P129)/($I$5-A128)</f>
        <v>902.8053347</v>
      </c>
      <c r="H129" s="82">
        <f>(O128*'AP01'!$P129)*'AP01'!$S129</f>
        <v>70.64686474</v>
      </c>
      <c r="I129" s="82">
        <f>'AP01'!$Q129*0.00899%</f>
        <v>40.73305943</v>
      </c>
      <c r="J129" s="51">
        <f t="shared" si="136"/>
        <v>25</v>
      </c>
      <c r="K129" s="51">
        <f t="shared" ref="K129:L129" si="170">K128</f>
        <v>0</v>
      </c>
      <c r="L129" s="51">
        <f t="shared" si="170"/>
        <v>0</v>
      </c>
      <c r="M129" s="51">
        <f>SUM('AP01'!$F129:$L129)</f>
        <v>2893.093772</v>
      </c>
      <c r="N129" s="51">
        <f>O128*('AP01'!$P129-1)</f>
        <v>0</v>
      </c>
      <c r="O129" s="51">
        <f>(O128*'AP01'!$P129)-'AP01'!$G129</f>
        <v>221187.307</v>
      </c>
      <c r="P129" s="53">
        <f t="shared" si="141"/>
        <v>1</v>
      </c>
      <c r="Q129" s="51">
        <f>(Q128*'AP01'!$P129)</f>
        <v>453092.9859</v>
      </c>
      <c r="R129" s="46">
        <f>DATEDIF($S$7,'AP01'!$B129,"Y")</f>
        <v>42</v>
      </c>
      <c r="S129" s="47">
        <f>VLOOKUP('AP01'!$R129,SEGUROS!$A:$B,2,TRUE)</f>
        <v>0.0003181</v>
      </c>
      <c r="T129" s="51">
        <f>('AP01'!$O129*'AP01'!$P129)*'AP01'!$S129</f>
        <v>70.35968236</v>
      </c>
      <c r="U129" s="51">
        <f>'AP01'!$Q129*0.00899%</f>
        <v>40.73305943</v>
      </c>
      <c r="V129" s="4"/>
      <c r="W129" s="4"/>
      <c r="X129" s="4"/>
      <c r="Y129" s="4"/>
      <c r="Z129" s="4"/>
    </row>
    <row r="130" ht="18.75" customHeight="1">
      <c r="A130" s="56">
        <f t="shared" si="4"/>
        <v>116</v>
      </c>
      <c r="B130" s="50">
        <f t="shared" si="8"/>
        <v>46773</v>
      </c>
      <c r="C130" s="58">
        <f t="shared" si="128"/>
        <v>0.1049</v>
      </c>
      <c r="D130" s="58">
        <f>((1+'AP01'!$C130)^(1/12))-1</f>
        <v>0.00834755088</v>
      </c>
      <c r="E130" s="51">
        <f t="shared" si="126"/>
        <v>2171.371183</v>
      </c>
      <c r="F130" s="51">
        <f>(O129*'AP01'!$P130)*'AP01'!$D130</f>
        <v>1846.372299</v>
      </c>
      <c r="G130" s="51">
        <f>(O129*'AP01'!$P130)/($I$5-A129)</f>
        <v>902.8053347</v>
      </c>
      <c r="H130" s="82">
        <f>(O129*'AP01'!$P130)*'AP01'!$S130</f>
        <v>70.35968236</v>
      </c>
      <c r="I130" s="82">
        <f>'AP01'!$Q130*0.00899%</f>
        <v>40.73305943</v>
      </c>
      <c r="J130" s="51">
        <f t="shared" si="136"/>
        <v>25</v>
      </c>
      <c r="K130" s="51">
        <f t="shared" ref="K130:L130" si="171">K129</f>
        <v>0</v>
      </c>
      <c r="L130" s="51">
        <f t="shared" si="171"/>
        <v>0</v>
      </c>
      <c r="M130" s="51">
        <f>SUM('AP01'!$F130:$L130)</f>
        <v>2885.270376</v>
      </c>
      <c r="N130" s="51">
        <f>O129*('AP01'!$P130-1)</f>
        <v>0</v>
      </c>
      <c r="O130" s="51">
        <f>(O129*'AP01'!$P130)-'AP01'!$G130</f>
        <v>220284.5017</v>
      </c>
      <c r="P130" s="53">
        <f t="shared" si="141"/>
        <v>1</v>
      </c>
      <c r="Q130" s="51">
        <f>(Q129*'AP01'!$P130)</f>
        <v>453092.9859</v>
      </c>
      <c r="R130" s="46">
        <f>DATEDIF($S$7,'AP01'!$B130,"Y")</f>
        <v>42</v>
      </c>
      <c r="S130" s="47">
        <f>VLOOKUP('AP01'!$R130,SEGUROS!$A:$B,2,TRUE)</f>
        <v>0.0003181</v>
      </c>
      <c r="T130" s="51">
        <f>('AP01'!$O130*'AP01'!$P130)*'AP01'!$S130</f>
        <v>70.07249998</v>
      </c>
      <c r="U130" s="51">
        <f>'AP01'!$Q130*0.00899%</f>
        <v>40.73305943</v>
      </c>
      <c r="V130" s="4"/>
      <c r="W130" s="4"/>
      <c r="X130" s="4"/>
      <c r="Y130" s="4"/>
      <c r="Z130" s="4"/>
    </row>
    <row r="131" ht="18.75" customHeight="1">
      <c r="A131" s="56">
        <f t="shared" si="4"/>
        <v>117</v>
      </c>
      <c r="B131" s="50">
        <f t="shared" si="8"/>
        <v>46804</v>
      </c>
      <c r="C131" s="58">
        <f t="shared" si="128"/>
        <v>0.1049</v>
      </c>
      <c r="D131" s="58">
        <f>((1+'AP01'!$C131)^(1/12))-1</f>
        <v>0.00834755088</v>
      </c>
      <c r="E131" s="51">
        <f t="shared" si="126"/>
        <v>2171.371183</v>
      </c>
      <c r="F131" s="51">
        <f>(O130*'AP01'!$P131)*'AP01'!$D131</f>
        <v>1838.836086</v>
      </c>
      <c r="G131" s="51">
        <f>(O130*'AP01'!$P131)/($I$5-A130)</f>
        <v>902.8053347</v>
      </c>
      <c r="H131" s="82">
        <f>(O130*'AP01'!$P131)*'AP01'!$S131</f>
        <v>70.07249998</v>
      </c>
      <c r="I131" s="82">
        <f>'AP01'!$Q131*0.00899%</f>
        <v>40.73305943</v>
      </c>
      <c r="J131" s="51">
        <f t="shared" si="136"/>
        <v>25</v>
      </c>
      <c r="K131" s="51">
        <f t="shared" ref="K131:L131" si="172">K130</f>
        <v>0</v>
      </c>
      <c r="L131" s="51">
        <f t="shared" si="172"/>
        <v>0</v>
      </c>
      <c r="M131" s="51">
        <f>SUM('AP01'!$F131:$L131)</f>
        <v>2877.44698</v>
      </c>
      <c r="N131" s="51">
        <f>O130*('AP01'!$P131-1)</f>
        <v>0</v>
      </c>
      <c r="O131" s="51">
        <f>(O130*'AP01'!$P131)-'AP01'!$G131</f>
        <v>219381.6963</v>
      </c>
      <c r="P131" s="53">
        <f t="shared" si="141"/>
        <v>1</v>
      </c>
      <c r="Q131" s="51">
        <f>(Q130*'AP01'!$P131)</f>
        <v>453092.9859</v>
      </c>
      <c r="R131" s="46">
        <f>DATEDIF($S$7,'AP01'!$B131,"Y")</f>
        <v>42</v>
      </c>
      <c r="S131" s="47">
        <f>VLOOKUP('AP01'!$R131,SEGUROS!$A:$B,2,TRUE)</f>
        <v>0.0003181</v>
      </c>
      <c r="T131" s="51">
        <f>('AP01'!$O131*'AP01'!$P131)*'AP01'!$S131</f>
        <v>69.78531761</v>
      </c>
      <c r="U131" s="51">
        <f>'AP01'!$Q131*0.00899%</f>
        <v>40.73305943</v>
      </c>
      <c r="V131" s="4"/>
      <c r="W131" s="4"/>
      <c r="X131" s="4"/>
      <c r="Y131" s="4"/>
      <c r="Z131" s="4"/>
    </row>
    <row r="132" ht="18.75" customHeight="1">
      <c r="A132" s="56">
        <f t="shared" si="4"/>
        <v>118</v>
      </c>
      <c r="B132" s="50">
        <f t="shared" si="8"/>
        <v>46833</v>
      </c>
      <c r="C132" s="58">
        <f t="shared" si="128"/>
        <v>0.1049</v>
      </c>
      <c r="D132" s="58">
        <f>((1+'AP01'!$C132)^(1/12))-1</f>
        <v>0.00834755088</v>
      </c>
      <c r="E132" s="51">
        <f t="shared" si="126"/>
        <v>2171.371183</v>
      </c>
      <c r="F132" s="51">
        <f>(O131*'AP01'!$P132)*'AP01'!$D132</f>
        <v>1831.299872</v>
      </c>
      <c r="G132" s="51">
        <f>(O131*'AP01'!$P132)/($I$5-A131)</f>
        <v>902.8053347</v>
      </c>
      <c r="H132" s="82">
        <f>(O131*'AP01'!$P132)*'AP01'!$S132</f>
        <v>69.78531761</v>
      </c>
      <c r="I132" s="82">
        <f>'AP01'!$Q132*0.00899%</f>
        <v>40.73305943</v>
      </c>
      <c r="J132" s="51">
        <f t="shared" si="136"/>
        <v>25</v>
      </c>
      <c r="K132" s="51">
        <f t="shared" ref="K132:L132" si="173">K131</f>
        <v>0</v>
      </c>
      <c r="L132" s="51">
        <f t="shared" si="173"/>
        <v>0</v>
      </c>
      <c r="M132" s="51">
        <f>SUM('AP01'!$F132:$L132)</f>
        <v>2869.623584</v>
      </c>
      <c r="N132" s="51">
        <f>O131*('AP01'!$P132-1)</f>
        <v>0</v>
      </c>
      <c r="O132" s="51">
        <f>(O131*'AP01'!$P132)-'AP01'!$G132</f>
        <v>218478.891</v>
      </c>
      <c r="P132" s="53">
        <f t="shared" si="141"/>
        <v>1</v>
      </c>
      <c r="Q132" s="51">
        <f>(Q131*'AP01'!$P132)</f>
        <v>453092.9859</v>
      </c>
      <c r="R132" s="46">
        <f>DATEDIF($S$7,'AP01'!$B132,"Y")</f>
        <v>42</v>
      </c>
      <c r="S132" s="47">
        <f>VLOOKUP('AP01'!$R132,SEGUROS!$A:$B,2,TRUE)</f>
        <v>0.0003181</v>
      </c>
      <c r="T132" s="51">
        <f>('AP01'!$O132*'AP01'!$P132)*'AP01'!$S132</f>
        <v>69.49813523</v>
      </c>
      <c r="U132" s="51">
        <f>'AP01'!$Q132*0.00899%</f>
        <v>40.73305943</v>
      </c>
      <c r="V132" s="4"/>
      <c r="W132" s="4"/>
      <c r="X132" s="4"/>
      <c r="Y132" s="4"/>
      <c r="Z132" s="4"/>
    </row>
    <row r="133" ht="18.75" customHeight="1">
      <c r="A133" s="56">
        <f t="shared" si="4"/>
        <v>119</v>
      </c>
      <c r="B133" s="50">
        <f t="shared" si="8"/>
        <v>46864</v>
      </c>
      <c r="C133" s="58">
        <f t="shared" si="128"/>
        <v>0.1049</v>
      </c>
      <c r="D133" s="58">
        <f>((1+'AP01'!$C133)^(1/12))-1</f>
        <v>0.00834755088</v>
      </c>
      <c r="E133" s="51">
        <f t="shared" si="126"/>
        <v>2171.371183</v>
      </c>
      <c r="F133" s="51">
        <f>(O132*'AP01'!$P133)*'AP01'!$D133</f>
        <v>1823.763659</v>
      </c>
      <c r="G133" s="51">
        <f>(O132*'AP01'!$P133)/($I$5-A132)</f>
        <v>902.8053347</v>
      </c>
      <c r="H133" s="82">
        <f>(O132*'AP01'!$P133)*'AP01'!$S133</f>
        <v>69.49813523</v>
      </c>
      <c r="I133" s="82">
        <f>'AP01'!$Q133*0.00899%</f>
        <v>40.73305943</v>
      </c>
      <c r="J133" s="51">
        <f t="shared" si="136"/>
        <v>25</v>
      </c>
      <c r="K133" s="51">
        <f t="shared" ref="K133:L133" si="174">K132</f>
        <v>0</v>
      </c>
      <c r="L133" s="51">
        <f t="shared" si="174"/>
        <v>0</v>
      </c>
      <c r="M133" s="51">
        <f>SUM('AP01'!$F133:$L133)</f>
        <v>2861.800188</v>
      </c>
      <c r="N133" s="51">
        <f>O132*('AP01'!$P133-1)</f>
        <v>0</v>
      </c>
      <c r="O133" s="51">
        <f>(O132*'AP01'!$P133)-'AP01'!$G133</f>
        <v>217576.0857</v>
      </c>
      <c r="P133" s="53">
        <f t="shared" si="141"/>
        <v>1</v>
      </c>
      <c r="Q133" s="51">
        <f>(Q132*'AP01'!$P133)</f>
        <v>453092.9859</v>
      </c>
      <c r="R133" s="46">
        <f>DATEDIF($S$7,'AP01'!$B133,"Y")</f>
        <v>42</v>
      </c>
      <c r="S133" s="47">
        <f>VLOOKUP('AP01'!$R133,SEGUROS!$A:$B,2,TRUE)</f>
        <v>0.0003181</v>
      </c>
      <c r="T133" s="51">
        <f>('AP01'!$O133*'AP01'!$P133)*'AP01'!$S133</f>
        <v>69.21095285</v>
      </c>
      <c r="U133" s="51">
        <f>'AP01'!$Q133*0.00899%</f>
        <v>40.73305943</v>
      </c>
      <c r="V133" s="4"/>
      <c r="W133" s="4"/>
      <c r="X133" s="4"/>
      <c r="Y133" s="4"/>
      <c r="Z133" s="4"/>
    </row>
    <row r="134" ht="18.75" customHeight="1">
      <c r="A134" s="56">
        <f t="shared" si="4"/>
        <v>120</v>
      </c>
      <c r="B134" s="50">
        <f t="shared" si="8"/>
        <v>46894</v>
      </c>
      <c r="C134" s="58">
        <f t="shared" si="128"/>
        <v>0.1049</v>
      </c>
      <c r="D134" s="58">
        <f>((1+'AP01'!$C134)^(1/12))-1</f>
        <v>0.00834755088</v>
      </c>
      <c r="E134" s="51">
        <f t="shared" si="126"/>
        <v>2171.371183</v>
      </c>
      <c r="F134" s="51">
        <f>(O133*'AP01'!$P134)*'AP01'!$D134</f>
        <v>1816.227445</v>
      </c>
      <c r="G134" s="51">
        <f>(O133*'AP01'!$P134)/($I$5-A133)</f>
        <v>902.8053347</v>
      </c>
      <c r="H134" s="82">
        <f>(O133*'AP01'!$P134)*'AP01'!$S134</f>
        <v>69.21095285</v>
      </c>
      <c r="I134" s="82">
        <f>'AP01'!$Q134*0.00899%</f>
        <v>40.73305943</v>
      </c>
      <c r="J134" s="51">
        <f t="shared" si="136"/>
        <v>25</v>
      </c>
      <c r="K134" s="51">
        <f t="shared" ref="K134:L134" si="175">K133</f>
        <v>0</v>
      </c>
      <c r="L134" s="51">
        <f t="shared" si="175"/>
        <v>0</v>
      </c>
      <c r="M134" s="51">
        <f>SUM('AP01'!$F134:$L134)</f>
        <v>2853.976792</v>
      </c>
      <c r="N134" s="51">
        <f>O133*('AP01'!$P134-1)</f>
        <v>0</v>
      </c>
      <c r="O134" s="51">
        <f>(O133*'AP01'!$P134)-'AP01'!$G134</f>
        <v>216673.2803</v>
      </c>
      <c r="P134" s="53">
        <f t="shared" si="141"/>
        <v>1</v>
      </c>
      <c r="Q134" s="51">
        <f>(Q133*'AP01'!$P134)</f>
        <v>453092.9859</v>
      </c>
      <c r="R134" s="46">
        <f>DATEDIF($S$7,'AP01'!$B134,"Y")</f>
        <v>42</v>
      </c>
      <c r="S134" s="47">
        <f>VLOOKUP('AP01'!$R134,SEGUROS!$A:$B,2,TRUE)</f>
        <v>0.0003181</v>
      </c>
      <c r="T134" s="51">
        <f>('AP01'!$O134*'AP01'!$P134)*'AP01'!$S134</f>
        <v>68.92377048</v>
      </c>
      <c r="U134" s="51">
        <f>'AP01'!$Q134*0.00899%</f>
        <v>40.73305943</v>
      </c>
      <c r="V134" s="4"/>
      <c r="W134" s="4"/>
      <c r="X134" s="4"/>
      <c r="Y134" s="4"/>
      <c r="Z134" s="4"/>
    </row>
    <row r="135" ht="18.75" customHeight="1">
      <c r="A135" s="56">
        <f t="shared" si="4"/>
        <v>121</v>
      </c>
      <c r="B135" s="50">
        <f t="shared" si="8"/>
        <v>46925</v>
      </c>
      <c r="C135" s="58">
        <f t="shared" si="128"/>
        <v>0.1049</v>
      </c>
      <c r="D135" s="58">
        <f>((1+'AP01'!$C135)^(1/12))-1</f>
        <v>0.00834755088</v>
      </c>
      <c r="E135" s="51">
        <f t="shared" si="126"/>
        <v>2171.371183</v>
      </c>
      <c r="F135" s="51">
        <f>(O134*'AP01'!$P135)*'AP01'!$D135</f>
        <v>1808.691232</v>
      </c>
      <c r="G135" s="51">
        <f>(O134*'AP01'!$P135)/($I$5-A134)</f>
        <v>902.8053347</v>
      </c>
      <c r="H135" s="82">
        <f>(O134*'AP01'!$P135)*'AP01'!$S135</f>
        <v>68.92377048</v>
      </c>
      <c r="I135" s="82">
        <f>'AP01'!$Q135*0.00899%</f>
        <v>40.73305943</v>
      </c>
      <c r="J135" s="51">
        <f t="shared" si="136"/>
        <v>25</v>
      </c>
      <c r="K135" s="51">
        <f t="shared" ref="K135:L135" si="176">K134</f>
        <v>0</v>
      </c>
      <c r="L135" s="51">
        <f t="shared" si="176"/>
        <v>0</v>
      </c>
      <c r="M135" s="51">
        <f>SUM('AP01'!$F135:$L135)</f>
        <v>2846.153397</v>
      </c>
      <c r="N135" s="51">
        <f>O134*('AP01'!$P135-1)</f>
        <v>0</v>
      </c>
      <c r="O135" s="51">
        <f>(O134*'AP01'!$P135)-'AP01'!$G135</f>
        <v>215770.475</v>
      </c>
      <c r="P135" s="53">
        <f t="shared" si="141"/>
        <v>1</v>
      </c>
      <c r="Q135" s="51">
        <f>(Q134*'AP01'!$P135)</f>
        <v>453092.9859</v>
      </c>
      <c r="R135" s="46">
        <f>DATEDIF($S$7,'AP01'!$B135,"Y")</f>
        <v>42</v>
      </c>
      <c r="S135" s="47">
        <f>VLOOKUP('AP01'!$R135,SEGUROS!$A:$B,2,TRUE)</f>
        <v>0.0003181</v>
      </c>
      <c r="T135" s="51">
        <f>('AP01'!$O135*'AP01'!$P135)*'AP01'!$S135</f>
        <v>68.6365881</v>
      </c>
      <c r="U135" s="51">
        <f>'AP01'!$Q135*0.00899%</f>
        <v>40.73305943</v>
      </c>
      <c r="V135" s="4"/>
      <c r="W135" s="4"/>
      <c r="X135" s="4"/>
      <c r="Y135" s="4"/>
      <c r="Z135" s="4"/>
    </row>
    <row r="136" ht="18.75" customHeight="1">
      <c r="A136" s="56">
        <f t="shared" si="4"/>
        <v>122</v>
      </c>
      <c r="B136" s="50">
        <f t="shared" si="8"/>
        <v>46955</v>
      </c>
      <c r="C136" s="58">
        <f t="shared" si="128"/>
        <v>0.1049</v>
      </c>
      <c r="D136" s="58">
        <f>((1+'AP01'!$C136)^(1/12))-1</f>
        <v>0.00834755088</v>
      </c>
      <c r="E136" s="51">
        <f t="shared" si="126"/>
        <v>2171.371183</v>
      </c>
      <c r="F136" s="51">
        <f>(O135*'AP01'!$P136)*'AP01'!$D136</f>
        <v>1801.155018</v>
      </c>
      <c r="G136" s="51">
        <f>(O135*'AP01'!$P136)/($I$5-A135)</f>
        <v>902.8053347</v>
      </c>
      <c r="H136" s="82">
        <f>(O135*'AP01'!$P136)*'AP01'!$S136</f>
        <v>68.6365881</v>
      </c>
      <c r="I136" s="82">
        <f>'AP01'!$Q136*0.00899%</f>
        <v>40.73305943</v>
      </c>
      <c r="J136" s="51">
        <f t="shared" si="136"/>
        <v>25</v>
      </c>
      <c r="K136" s="51">
        <f t="shared" ref="K136:L136" si="177">K135</f>
        <v>0</v>
      </c>
      <c r="L136" s="51">
        <f t="shared" si="177"/>
        <v>0</v>
      </c>
      <c r="M136" s="51">
        <f>SUM('AP01'!$F136:$L136)</f>
        <v>2838.330001</v>
      </c>
      <c r="N136" s="51">
        <f>O135*('AP01'!$P136-1)</f>
        <v>0</v>
      </c>
      <c r="O136" s="51">
        <f>(O135*'AP01'!$P136)-'AP01'!$G136</f>
        <v>214867.6697</v>
      </c>
      <c r="P136" s="53">
        <f t="shared" si="141"/>
        <v>1</v>
      </c>
      <c r="Q136" s="51">
        <f>(Q135*'AP01'!$P136)</f>
        <v>453092.9859</v>
      </c>
      <c r="R136" s="46">
        <f>DATEDIF($S$7,'AP01'!$B136,"Y")</f>
        <v>42</v>
      </c>
      <c r="S136" s="47">
        <f>VLOOKUP('AP01'!$R136,SEGUROS!$A:$B,2,TRUE)</f>
        <v>0.0003181</v>
      </c>
      <c r="T136" s="51">
        <f>('AP01'!$O136*'AP01'!$P136)*'AP01'!$S136</f>
        <v>68.34940572</v>
      </c>
      <c r="U136" s="51">
        <f>'AP01'!$Q136*0.00899%</f>
        <v>40.73305943</v>
      </c>
      <c r="V136" s="4"/>
      <c r="W136" s="4"/>
      <c r="X136" s="4"/>
      <c r="Y136" s="4"/>
      <c r="Z136" s="4"/>
    </row>
    <row r="137" ht="18.75" customHeight="1">
      <c r="A137" s="56">
        <f t="shared" si="4"/>
        <v>123</v>
      </c>
      <c r="B137" s="50">
        <f t="shared" si="8"/>
        <v>46986</v>
      </c>
      <c r="C137" s="58">
        <f t="shared" si="128"/>
        <v>0.1049</v>
      </c>
      <c r="D137" s="58">
        <f>((1+'AP01'!$C137)^(1/12))-1</f>
        <v>0.00834755088</v>
      </c>
      <c r="E137" s="51">
        <f t="shared" si="126"/>
        <v>2171.371183</v>
      </c>
      <c r="F137" s="51">
        <f>(O136*'AP01'!$P137)*'AP01'!$D137</f>
        <v>1793.618805</v>
      </c>
      <c r="G137" s="51">
        <f>(O136*'AP01'!$P137)/($I$5-A136)</f>
        <v>902.8053347</v>
      </c>
      <c r="H137" s="82">
        <f>(O136*'AP01'!$P137)*'AP01'!$S137</f>
        <v>68.34940572</v>
      </c>
      <c r="I137" s="82">
        <f>'AP01'!$Q137*0.00899%</f>
        <v>40.73305943</v>
      </c>
      <c r="J137" s="51">
        <f t="shared" si="136"/>
        <v>25</v>
      </c>
      <c r="K137" s="51">
        <f t="shared" ref="K137:L137" si="178">K136</f>
        <v>0</v>
      </c>
      <c r="L137" s="51">
        <f t="shared" si="178"/>
        <v>0</v>
      </c>
      <c r="M137" s="51">
        <f>SUM('AP01'!$F137:$L137)</f>
        <v>2830.506605</v>
      </c>
      <c r="N137" s="51">
        <f>O136*('AP01'!$P137-1)</f>
        <v>0</v>
      </c>
      <c r="O137" s="51">
        <f>(O136*'AP01'!$P137)-'AP01'!$G137</f>
        <v>213964.8643</v>
      </c>
      <c r="P137" s="53">
        <f t="shared" si="141"/>
        <v>1</v>
      </c>
      <c r="Q137" s="51">
        <f>(Q136*'AP01'!$P137)</f>
        <v>453092.9859</v>
      </c>
      <c r="R137" s="46">
        <f>DATEDIF($S$7,'AP01'!$B137,"Y")</f>
        <v>42</v>
      </c>
      <c r="S137" s="47">
        <f>VLOOKUP('AP01'!$R137,SEGUROS!$A:$B,2,TRUE)</f>
        <v>0.0003181</v>
      </c>
      <c r="T137" s="51">
        <f>('AP01'!$O137*'AP01'!$P137)*'AP01'!$S137</f>
        <v>68.06222334</v>
      </c>
      <c r="U137" s="51">
        <f>'AP01'!$Q137*0.00899%</f>
        <v>40.73305943</v>
      </c>
      <c r="V137" s="4"/>
      <c r="W137" s="4"/>
      <c r="X137" s="4"/>
      <c r="Y137" s="4"/>
      <c r="Z137" s="4"/>
    </row>
    <row r="138" ht="18.75" customHeight="1">
      <c r="A138" s="56">
        <f t="shared" si="4"/>
        <v>124</v>
      </c>
      <c r="B138" s="50">
        <f t="shared" si="8"/>
        <v>47017</v>
      </c>
      <c r="C138" s="58">
        <f t="shared" si="128"/>
        <v>0.1049</v>
      </c>
      <c r="D138" s="58">
        <f>((1+'AP01'!$C138)^(1/12))-1</f>
        <v>0.00834755088</v>
      </c>
      <c r="E138" s="51">
        <f t="shared" si="126"/>
        <v>2171.371183</v>
      </c>
      <c r="F138" s="51">
        <f>(O137*'AP01'!$P138)*'AP01'!$D138</f>
        <v>1786.082592</v>
      </c>
      <c r="G138" s="51">
        <f>(O137*'AP01'!$P138)/($I$5-A137)</f>
        <v>902.8053347</v>
      </c>
      <c r="H138" s="82">
        <f>(O137*'AP01'!$P138)*'AP01'!$S138</f>
        <v>68.06222334</v>
      </c>
      <c r="I138" s="82">
        <f>'AP01'!$Q138*0.00899%</f>
        <v>40.73305943</v>
      </c>
      <c r="J138" s="51">
        <f t="shared" si="136"/>
        <v>25</v>
      </c>
      <c r="K138" s="51">
        <f t="shared" ref="K138:L138" si="179">K137</f>
        <v>0</v>
      </c>
      <c r="L138" s="51">
        <f t="shared" si="179"/>
        <v>0</v>
      </c>
      <c r="M138" s="51">
        <f>SUM('AP01'!$F138:$L138)</f>
        <v>2822.683209</v>
      </c>
      <c r="N138" s="51">
        <f>O137*('AP01'!$P138-1)</f>
        <v>0</v>
      </c>
      <c r="O138" s="51">
        <f>(O137*'AP01'!$P138)-'AP01'!$G138</f>
        <v>213062.059</v>
      </c>
      <c r="P138" s="53">
        <f t="shared" si="141"/>
        <v>1</v>
      </c>
      <c r="Q138" s="51">
        <f>(Q137*'AP01'!$P138)</f>
        <v>453092.9859</v>
      </c>
      <c r="R138" s="46">
        <f>DATEDIF($S$7,'AP01'!$B138,"Y")</f>
        <v>42</v>
      </c>
      <c r="S138" s="47">
        <f>VLOOKUP('AP01'!$R138,SEGUROS!$A:$B,2,TRUE)</f>
        <v>0.0003181</v>
      </c>
      <c r="T138" s="51">
        <f>('AP01'!$O138*'AP01'!$P138)*'AP01'!$S138</f>
        <v>67.77504097</v>
      </c>
      <c r="U138" s="51">
        <f>'AP01'!$Q138*0.00899%</f>
        <v>40.73305943</v>
      </c>
      <c r="V138" s="4"/>
      <c r="W138" s="4"/>
      <c r="X138" s="4"/>
      <c r="Y138" s="4"/>
      <c r="Z138" s="4"/>
    </row>
    <row r="139" ht="18.75" customHeight="1">
      <c r="A139" s="56">
        <f t="shared" si="4"/>
        <v>125</v>
      </c>
      <c r="B139" s="50">
        <f t="shared" si="8"/>
        <v>47047</v>
      </c>
      <c r="C139" s="58">
        <f t="shared" si="128"/>
        <v>0.1049</v>
      </c>
      <c r="D139" s="58">
        <f>((1+'AP01'!$C139)^(1/12))-1</f>
        <v>0.00834755088</v>
      </c>
      <c r="E139" s="51">
        <f t="shared" si="126"/>
        <v>2171.371183</v>
      </c>
      <c r="F139" s="51">
        <f>(O138*'AP01'!$P139)*'AP01'!$D139</f>
        <v>1778.546378</v>
      </c>
      <c r="G139" s="51">
        <f>(O138*'AP01'!$P139)/($I$5-A138)</f>
        <v>902.8053347</v>
      </c>
      <c r="H139" s="82">
        <f>(O138*'AP01'!$P139)*'AP01'!$S139</f>
        <v>67.77504097</v>
      </c>
      <c r="I139" s="82">
        <f>'AP01'!$Q139*0.00899%</f>
        <v>40.73305943</v>
      </c>
      <c r="J139" s="51">
        <f t="shared" si="136"/>
        <v>25</v>
      </c>
      <c r="K139" s="51">
        <f t="shared" ref="K139:L139" si="180">K138</f>
        <v>0</v>
      </c>
      <c r="L139" s="51">
        <f t="shared" si="180"/>
        <v>0</v>
      </c>
      <c r="M139" s="51">
        <f>SUM('AP01'!$F139:$L139)</f>
        <v>2814.859813</v>
      </c>
      <c r="N139" s="51">
        <f>O138*('AP01'!$P139-1)</f>
        <v>0</v>
      </c>
      <c r="O139" s="51">
        <f>(O138*'AP01'!$P139)-'AP01'!$G139</f>
        <v>212159.2537</v>
      </c>
      <c r="P139" s="53">
        <f t="shared" si="141"/>
        <v>1</v>
      </c>
      <c r="Q139" s="51">
        <f>(Q138*'AP01'!$P139)</f>
        <v>453092.9859</v>
      </c>
      <c r="R139" s="46">
        <f>DATEDIF($S$7,'AP01'!$B139,"Y")</f>
        <v>42</v>
      </c>
      <c r="S139" s="47">
        <f>VLOOKUP('AP01'!$R139,SEGUROS!$A:$B,2,TRUE)</f>
        <v>0.0003181</v>
      </c>
      <c r="T139" s="51">
        <f>('AP01'!$O139*'AP01'!$P139)*'AP01'!$S139</f>
        <v>67.48785859</v>
      </c>
      <c r="U139" s="51">
        <f>'AP01'!$Q139*0.00899%</f>
        <v>40.73305943</v>
      </c>
      <c r="V139" s="4"/>
      <c r="W139" s="4"/>
      <c r="X139" s="4"/>
      <c r="Y139" s="4"/>
      <c r="Z139" s="4"/>
    </row>
    <row r="140" ht="18.75" customHeight="1">
      <c r="A140" s="56">
        <f t="shared" si="4"/>
        <v>126</v>
      </c>
      <c r="B140" s="50">
        <f t="shared" si="8"/>
        <v>47078</v>
      </c>
      <c r="C140" s="58">
        <f t="shared" si="128"/>
        <v>0.1049</v>
      </c>
      <c r="D140" s="58">
        <f>((1+'AP01'!$C140)^(1/12))-1</f>
        <v>0.00834755088</v>
      </c>
      <c r="E140" s="51">
        <f t="shared" si="126"/>
        <v>2171.371183</v>
      </c>
      <c r="F140" s="51">
        <f>(O139*'AP01'!$P140)*'AP01'!$D140</f>
        <v>1771.010165</v>
      </c>
      <c r="G140" s="51">
        <f>(O139*'AP01'!$P140)/($I$5-A139)</f>
        <v>902.8053347</v>
      </c>
      <c r="H140" s="82">
        <f>(O139*'AP01'!$P140)*'AP01'!$S140</f>
        <v>67.48785859</v>
      </c>
      <c r="I140" s="82">
        <f>'AP01'!$Q140*0.00899%</f>
        <v>40.73305943</v>
      </c>
      <c r="J140" s="51">
        <f t="shared" si="136"/>
        <v>25</v>
      </c>
      <c r="K140" s="51">
        <f t="shared" ref="K140:L140" si="181">K139</f>
        <v>0</v>
      </c>
      <c r="L140" s="51">
        <f t="shared" si="181"/>
        <v>0</v>
      </c>
      <c r="M140" s="51">
        <f>SUM('AP01'!$F140:$L140)</f>
        <v>2807.036417</v>
      </c>
      <c r="N140" s="51">
        <f>O139*('AP01'!$P140-1)</f>
        <v>0</v>
      </c>
      <c r="O140" s="51">
        <f>(O139*'AP01'!$P140)-'AP01'!$G140</f>
        <v>211256.4483</v>
      </c>
      <c r="P140" s="53">
        <f t="shared" si="141"/>
        <v>1</v>
      </c>
      <c r="Q140" s="51">
        <f>(Q139*'AP01'!$P140)</f>
        <v>453092.9859</v>
      </c>
      <c r="R140" s="46">
        <f>DATEDIF($S$7,'AP01'!$B140,"Y")</f>
        <v>42</v>
      </c>
      <c r="S140" s="47">
        <f>VLOOKUP('AP01'!$R140,SEGUROS!$A:$B,2,TRUE)</f>
        <v>0.0003181</v>
      </c>
      <c r="T140" s="51">
        <f>('AP01'!$O140*'AP01'!$P140)*'AP01'!$S140</f>
        <v>67.20067621</v>
      </c>
      <c r="U140" s="51">
        <f>'AP01'!$Q140*0.00899%</f>
        <v>40.73305943</v>
      </c>
      <c r="V140" s="4"/>
      <c r="W140" s="4"/>
      <c r="X140" s="4"/>
      <c r="Y140" s="4"/>
      <c r="Z140" s="4"/>
    </row>
    <row r="141" ht="18.75" customHeight="1">
      <c r="A141" s="56">
        <f t="shared" si="4"/>
        <v>127</v>
      </c>
      <c r="B141" s="50">
        <f t="shared" si="8"/>
        <v>47108</v>
      </c>
      <c r="C141" s="58">
        <f t="shared" si="128"/>
        <v>0.1049</v>
      </c>
      <c r="D141" s="58">
        <f>((1+'AP01'!$C141)^(1/12))-1</f>
        <v>0.00834755088</v>
      </c>
      <c r="E141" s="51">
        <f t="shared" si="126"/>
        <v>2171.371183</v>
      </c>
      <c r="F141" s="51">
        <f>(O140*'AP01'!$P141)*'AP01'!$D141</f>
        <v>1763.473951</v>
      </c>
      <c r="G141" s="51">
        <f>(O140*'AP01'!$P141)/($I$5-A140)</f>
        <v>902.8053347</v>
      </c>
      <c r="H141" s="82">
        <f>(O140*'AP01'!$P141)*'AP01'!$S141</f>
        <v>74.46789804</v>
      </c>
      <c r="I141" s="82">
        <f>'AP01'!$Q141*0.00899%</f>
        <v>40.73305943</v>
      </c>
      <c r="J141" s="51">
        <f t="shared" si="136"/>
        <v>25</v>
      </c>
      <c r="K141" s="51">
        <f t="shared" ref="K141:L141" si="182">K140</f>
        <v>0</v>
      </c>
      <c r="L141" s="51">
        <f t="shared" si="182"/>
        <v>0</v>
      </c>
      <c r="M141" s="51">
        <f>SUM('AP01'!$F141:$L141)</f>
        <v>2806.480243</v>
      </c>
      <c r="N141" s="51">
        <f>O140*('AP01'!$P141-1)</f>
        <v>0</v>
      </c>
      <c r="O141" s="51">
        <f>(O140*'AP01'!$P141)-'AP01'!$G141</f>
        <v>210353.643</v>
      </c>
      <c r="P141" s="53">
        <f t="shared" si="141"/>
        <v>1</v>
      </c>
      <c r="Q141" s="51">
        <f>(Q140*'AP01'!$P141)</f>
        <v>453092.9859</v>
      </c>
      <c r="R141" s="46">
        <f>DATEDIF($S$7,'AP01'!$B141,"Y")</f>
        <v>43</v>
      </c>
      <c r="S141" s="47">
        <f>VLOOKUP('AP01'!$R141,SEGUROS!$A:$B,2,TRUE)</f>
        <v>0.0003525</v>
      </c>
      <c r="T141" s="51">
        <f>('AP01'!$O141*'AP01'!$P141)*'AP01'!$S141</f>
        <v>74.14965916</v>
      </c>
      <c r="U141" s="51">
        <f>'AP01'!$Q141*0.00899%</f>
        <v>40.73305943</v>
      </c>
      <c r="V141" s="4"/>
      <c r="W141" s="4"/>
      <c r="X141" s="4"/>
      <c r="Y141" s="4"/>
      <c r="Z141" s="4"/>
    </row>
    <row r="142" ht="18.75" customHeight="1">
      <c r="A142" s="56">
        <f t="shared" si="4"/>
        <v>128</v>
      </c>
      <c r="B142" s="50">
        <f t="shared" si="8"/>
        <v>47139</v>
      </c>
      <c r="C142" s="58">
        <f t="shared" si="128"/>
        <v>0.1049</v>
      </c>
      <c r="D142" s="58">
        <f>((1+'AP01'!$C142)^(1/12))-1</f>
        <v>0.00834755088</v>
      </c>
      <c r="E142" s="51">
        <f t="shared" si="126"/>
        <v>2171.371183</v>
      </c>
      <c r="F142" s="51">
        <f>(O141*'AP01'!$P142)*'AP01'!$D142</f>
        <v>1755.937738</v>
      </c>
      <c r="G142" s="51">
        <f>(O141*'AP01'!$P142)/($I$5-A141)</f>
        <v>902.8053347</v>
      </c>
      <c r="H142" s="82">
        <f>(O141*'AP01'!$P142)*'AP01'!$S142</f>
        <v>74.14965916</v>
      </c>
      <c r="I142" s="82">
        <f>'AP01'!$Q142*0.00899%</f>
        <v>40.73305943</v>
      </c>
      <c r="J142" s="51">
        <f t="shared" si="136"/>
        <v>25</v>
      </c>
      <c r="K142" s="51">
        <f t="shared" ref="K142:L142" si="183">K141</f>
        <v>0</v>
      </c>
      <c r="L142" s="51">
        <f t="shared" si="183"/>
        <v>0</v>
      </c>
      <c r="M142" s="51">
        <f>SUM('AP01'!$F142:$L142)</f>
        <v>2798.625791</v>
      </c>
      <c r="N142" s="51">
        <f>O141*('AP01'!$P142-1)</f>
        <v>0</v>
      </c>
      <c r="O142" s="51">
        <f>(O141*'AP01'!$P142)-'AP01'!$G142</f>
        <v>209450.8377</v>
      </c>
      <c r="P142" s="53">
        <f t="shared" si="141"/>
        <v>1</v>
      </c>
      <c r="Q142" s="51">
        <f>(Q141*'AP01'!$P142)</f>
        <v>453092.9859</v>
      </c>
      <c r="R142" s="46">
        <f>DATEDIF($S$7,'AP01'!$B142,"Y")</f>
        <v>43</v>
      </c>
      <c r="S142" s="47">
        <f>VLOOKUP('AP01'!$R142,SEGUROS!$A:$B,2,TRUE)</f>
        <v>0.0003525</v>
      </c>
      <c r="T142" s="51">
        <f>('AP01'!$O142*'AP01'!$P142)*'AP01'!$S142</f>
        <v>73.83142027</v>
      </c>
      <c r="U142" s="51">
        <f>'AP01'!$Q142*0.00899%</f>
        <v>40.73305943</v>
      </c>
      <c r="V142" s="4"/>
      <c r="W142" s="4"/>
      <c r="X142" s="4"/>
      <c r="Y142" s="4"/>
      <c r="Z142" s="4"/>
    </row>
    <row r="143" ht="18.75" customHeight="1">
      <c r="A143" s="56">
        <f t="shared" si="4"/>
        <v>129</v>
      </c>
      <c r="B143" s="50">
        <f t="shared" si="8"/>
        <v>47170</v>
      </c>
      <c r="C143" s="58">
        <f t="shared" si="128"/>
        <v>0.1049</v>
      </c>
      <c r="D143" s="58">
        <f>((1+'AP01'!$C143)^(1/12))-1</f>
        <v>0.00834755088</v>
      </c>
      <c r="E143" s="51">
        <f t="shared" si="126"/>
        <v>2171.371183</v>
      </c>
      <c r="F143" s="51">
        <f>(O142*'AP01'!$P143)*'AP01'!$D143</f>
        <v>1748.401524</v>
      </c>
      <c r="G143" s="51">
        <f>(O142*'AP01'!$P143)/($I$5-A142)</f>
        <v>902.8053347</v>
      </c>
      <c r="H143" s="82">
        <f>(O142*'AP01'!$P143)*'AP01'!$S143</f>
        <v>73.83142027</v>
      </c>
      <c r="I143" s="82">
        <f>'AP01'!$Q143*0.00899%</f>
        <v>40.73305943</v>
      </c>
      <c r="J143" s="51">
        <f t="shared" si="136"/>
        <v>25</v>
      </c>
      <c r="K143" s="51">
        <f t="shared" ref="K143:L143" si="184">K142</f>
        <v>0</v>
      </c>
      <c r="L143" s="51">
        <f t="shared" si="184"/>
        <v>0</v>
      </c>
      <c r="M143" s="51">
        <f>SUM('AP01'!$F143:$L143)</f>
        <v>2790.771339</v>
      </c>
      <c r="N143" s="51">
        <f>O142*('AP01'!$P143-1)</f>
        <v>0</v>
      </c>
      <c r="O143" s="51">
        <f>(O142*'AP01'!$P143)-'AP01'!$G143</f>
        <v>208548.0323</v>
      </c>
      <c r="P143" s="53">
        <f t="shared" si="141"/>
        <v>1</v>
      </c>
      <c r="Q143" s="51">
        <f>(Q142*'AP01'!$P143)</f>
        <v>453092.9859</v>
      </c>
      <c r="R143" s="46">
        <f>DATEDIF($S$7,'AP01'!$B143,"Y")</f>
        <v>43</v>
      </c>
      <c r="S143" s="47">
        <f>VLOOKUP('AP01'!$R143,SEGUROS!$A:$B,2,TRUE)</f>
        <v>0.0003525</v>
      </c>
      <c r="T143" s="51">
        <f>('AP01'!$O143*'AP01'!$P143)*'AP01'!$S143</f>
        <v>73.51318139</v>
      </c>
      <c r="U143" s="51">
        <f>'AP01'!$Q143*0.00899%</f>
        <v>40.73305943</v>
      </c>
      <c r="V143" s="4"/>
      <c r="W143" s="4"/>
      <c r="X143" s="4"/>
      <c r="Y143" s="4"/>
      <c r="Z143" s="4"/>
    </row>
    <row r="144" ht="18.75" customHeight="1">
      <c r="A144" s="56">
        <f t="shared" si="4"/>
        <v>130</v>
      </c>
      <c r="B144" s="50">
        <f t="shared" si="8"/>
        <v>47198</v>
      </c>
      <c r="C144" s="58">
        <f t="shared" si="128"/>
        <v>0.1049</v>
      </c>
      <c r="D144" s="58">
        <f>((1+'AP01'!$C144)^(1/12))-1</f>
        <v>0.00834755088</v>
      </c>
      <c r="E144" s="51">
        <f t="shared" si="126"/>
        <v>2171.371183</v>
      </c>
      <c r="F144" s="51">
        <f>(O143*'AP01'!$P144)*'AP01'!$D144</f>
        <v>1740.865311</v>
      </c>
      <c r="G144" s="51">
        <f>(O143*'AP01'!$P144)/($I$5-A143)</f>
        <v>902.8053347</v>
      </c>
      <c r="H144" s="82">
        <f>(O143*'AP01'!$P144)*'AP01'!$S144</f>
        <v>73.51318139</v>
      </c>
      <c r="I144" s="82">
        <f>'AP01'!$Q144*0.00899%</f>
        <v>40.73305943</v>
      </c>
      <c r="J144" s="51">
        <f t="shared" si="136"/>
        <v>25</v>
      </c>
      <c r="K144" s="51">
        <f t="shared" ref="K144:L144" si="185">K143</f>
        <v>0</v>
      </c>
      <c r="L144" s="51">
        <f t="shared" si="185"/>
        <v>0</v>
      </c>
      <c r="M144" s="51">
        <f>SUM('AP01'!$F144:$L144)</f>
        <v>2782.916886</v>
      </c>
      <c r="N144" s="51">
        <f>O143*('AP01'!$P144-1)</f>
        <v>0</v>
      </c>
      <c r="O144" s="51">
        <f>(O143*'AP01'!$P144)-'AP01'!$G144</f>
        <v>207645.227</v>
      </c>
      <c r="P144" s="53">
        <f t="shared" si="141"/>
        <v>1</v>
      </c>
      <c r="Q144" s="51">
        <f>(Q143*'AP01'!$P144)</f>
        <v>453092.9859</v>
      </c>
      <c r="R144" s="46">
        <f>DATEDIF($S$7,'AP01'!$B144,"Y")</f>
        <v>43</v>
      </c>
      <c r="S144" s="47">
        <f>VLOOKUP('AP01'!$R144,SEGUROS!$A:$B,2,TRUE)</f>
        <v>0.0003525</v>
      </c>
      <c r="T144" s="51">
        <f>('AP01'!$O144*'AP01'!$P144)*'AP01'!$S144</f>
        <v>73.19494251</v>
      </c>
      <c r="U144" s="51">
        <f>'AP01'!$Q144*0.00899%</f>
        <v>40.73305943</v>
      </c>
      <c r="V144" s="4"/>
      <c r="W144" s="4"/>
      <c r="X144" s="4"/>
      <c r="Y144" s="4"/>
      <c r="Z144" s="4"/>
    </row>
    <row r="145" ht="18.75" customHeight="1">
      <c r="A145" s="56">
        <f t="shared" si="4"/>
        <v>131</v>
      </c>
      <c r="B145" s="50">
        <f t="shared" si="8"/>
        <v>47229</v>
      </c>
      <c r="C145" s="58">
        <f t="shared" si="128"/>
        <v>0.1049</v>
      </c>
      <c r="D145" s="58">
        <f>((1+'AP01'!$C145)^(1/12))-1</f>
        <v>0.00834755088</v>
      </c>
      <c r="E145" s="51">
        <f t="shared" si="126"/>
        <v>2171.371183</v>
      </c>
      <c r="F145" s="51">
        <f>(O144*'AP01'!$P145)*'AP01'!$D145</f>
        <v>1733.329097</v>
      </c>
      <c r="G145" s="51">
        <f>(O144*'AP01'!$P145)/($I$5-A144)</f>
        <v>902.8053347</v>
      </c>
      <c r="H145" s="82">
        <f>(O144*'AP01'!$P145)*'AP01'!$S145</f>
        <v>73.19494251</v>
      </c>
      <c r="I145" s="82">
        <f>'AP01'!$Q145*0.00899%</f>
        <v>40.73305943</v>
      </c>
      <c r="J145" s="51">
        <f t="shared" si="136"/>
        <v>25</v>
      </c>
      <c r="K145" s="51">
        <f t="shared" ref="K145:L145" si="186">K144</f>
        <v>0</v>
      </c>
      <c r="L145" s="51">
        <f t="shared" si="186"/>
        <v>0</v>
      </c>
      <c r="M145" s="51">
        <f>SUM('AP01'!$F145:$L145)</f>
        <v>2775.062434</v>
      </c>
      <c r="N145" s="51">
        <f>O144*('AP01'!$P145-1)</f>
        <v>0</v>
      </c>
      <c r="O145" s="51">
        <f>(O144*'AP01'!$P145)-'AP01'!$G145</f>
        <v>206742.4217</v>
      </c>
      <c r="P145" s="53">
        <f t="shared" si="141"/>
        <v>1</v>
      </c>
      <c r="Q145" s="51">
        <f>(Q144*'AP01'!$P145)</f>
        <v>453092.9859</v>
      </c>
      <c r="R145" s="46">
        <f>DATEDIF($S$7,'AP01'!$B145,"Y")</f>
        <v>43</v>
      </c>
      <c r="S145" s="47">
        <f>VLOOKUP('AP01'!$R145,SEGUROS!$A:$B,2,TRUE)</f>
        <v>0.0003525</v>
      </c>
      <c r="T145" s="51">
        <f>('AP01'!$O145*'AP01'!$P145)*'AP01'!$S145</f>
        <v>72.87670363</v>
      </c>
      <c r="U145" s="51">
        <f>'AP01'!$Q145*0.00899%</f>
        <v>40.73305943</v>
      </c>
      <c r="V145" s="4"/>
      <c r="W145" s="4"/>
      <c r="X145" s="4"/>
      <c r="Y145" s="4"/>
      <c r="Z145" s="4"/>
    </row>
    <row r="146" ht="18.75" customHeight="1">
      <c r="A146" s="56">
        <f t="shared" si="4"/>
        <v>132</v>
      </c>
      <c r="B146" s="50">
        <f t="shared" si="8"/>
        <v>47259</v>
      </c>
      <c r="C146" s="58">
        <f t="shared" si="128"/>
        <v>0.1049</v>
      </c>
      <c r="D146" s="58">
        <f>((1+'AP01'!$C146)^(1/12))-1</f>
        <v>0.00834755088</v>
      </c>
      <c r="E146" s="51">
        <f t="shared" si="126"/>
        <v>2171.371183</v>
      </c>
      <c r="F146" s="51">
        <f>(O145*'AP01'!$P146)*'AP01'!$D146</f>
        <v>1725.792884</v>
      </c>
      <c r="G146" s="51">
        <f>(O145*'AP01'!$P146)/($I$5-A145)</f>
        <v>902.8053347</v>
      </c>
      <c r="H146" s="82">
        <f>(O145*'AP01'!$P146)*'AP01'!$S146</f>
        <v>72.87670363</v>
      </c>
      <c r="I146" s="82">
        <f>'AP01'!$Q146*0.00899%</f>
        <v>40.73305943</v>
      </c>
      <c r="J146" s="51">
        <f t="shared" si="136"/>
        <v>25</v>
      </c>
      <c r="K146" s="51">
        <f t="shared" ref="K146:L146" si="187">K145</f>
        <v>0</v>
      </c>
      <c r="L146" s="51">
        <f t="shared" si="187"/>
        <v>0</v>
      </c>
      <c r="M146" s="51">
        <f>SUM('AP01'!$F146:$L146)</f>
        <v>2767.207982</v>
      </c>
      <c r="N146" s="51">
        <f>O145*('AP01'!$P146-1)</f>
        <v>0</v>
      </c>
      <c r="O146" s="51">
        <f>(O145*'AP01'!$P146)-'AP01'!$G146</f>
        <v>205839.6163</v>
      </c>
      <c r="P146" s="53">
        <f t="shared" si="141"/>
        <v>1</v>
      </c>
      <c r="Q146" s="51">
        <f>(Q145*'AP01'!$P146)</f>
        <v>453092.9859</v>
      </c>
      <c r="R146" s="46">
        <f>DATEDIF($S$7,'AP01'!$B146,"Y")</f>
        <v>43</v>
      </c>
      <c r="S146" s="47">
        <f>VLOOKUP('AP01'!$R146,SEGUROS!$A:$B,2,TRUE)</f>
        <v>0.0003525</v>
      </c>
      <c r="T146" s="51">
        <f>('AP01'!$O146*'AP01'!$P146)*'AP01'!$S146</f>
        <v>72.55846475</v>
      </c>
      <c r="U146" s="51">
        <f>'AP01'!$Q146*0.00899%</f>
        <v>40.73305943</v>
      </c>
      <c r="V146" s="4"/>
      <c r="W146" s="4"/>
      <c r="X146" s="4"/>
      <c r="Y146" s="4"/>
      <c r="Z146" s="4"/>
    </row>
    <row r="147" ht="18.75" customHeight="1">
      <c r="A147" s="56">
        <f t="shared" si="4"/>
        <v>133</v>
      </c>
      <c r="B147" s="50">
        <f t="shared" si="8"/>
        <v>47290</v>
      </c>
      <c r="C147" s="58">
        <f t="shared" si="128"/>
        <v>0.1049</v>
      </c>
      <c r="D147" s="58">
        <f>((1+'AP01'!$C147)^(1/12))-1</f>
        <v>0.00834755088</v>
      </c>
      <c r="E147" s="51">
        <f t="shared" si="126"/>
        <v>2171.371183</v>
      </c>
      <c r="F147" s="51">
        <f>(O146*'AP01'!$P147)*'AP01'!$D147</f>
        <v>1718.25667</v>
      </c>
      <c r="G147" s="51">
        <f>(O146*'AP01'!$P147)/($I$5-A146)</f>
        <v>902.8053347</v>
      </c>
      <c r="H147" s="82">
        <f>(O146*'AP01'!$P147)*'AP01'!$S147</f>
        <v>72.55846475</v>
      </c>
      <c r="I147" s="82">
        <f>'AP01'!$Q147*0.00899%</f>
        <v>40.73305943</v>
      </c>
      <c r="J147" s="51">
        <f t="shared" si="136"/>
        <v>25</v>
      </c>
      <c r="K147" s="51">
        <f t="shared" ref="K147:L147" si="188">K146</f>
        <v>0</v>
      </c>
      <c r="L147" s="51">
        <f t="shared" si="188"/>
        <v>0</v>
      </c>
      <c r="M147" s="51">
        <f>SUM('AP01'!$F147:$L147)</f>
        <v>2759.353529</v>
      </c>
      <c r="N147" s="51">
        <f>O146*('AP01'!$P147-1)</f>
        <v>0</v>
      </c>
      <c r="O147" s="51">
        <f>(O146*'AP01'!$P147)-'AP01'!$G147</f>
        <v>204936.811</v>
      </c>
      <c r="P147" s="53">
        <f t="shared" si="141"/>
        <v>1</v>
      </c>
      <c r="Q147" s="51">
        <f>(Q146*'AP01'!$P147)</f>
        <v>453092.9859</v>
      </c>
      <c r="R147" s="46">
        <f>DATEDIF($S$7,'AP01'!$B147,"Y")</f>
        <v>43</v>
      </c>
      <c r="S147" s="47">
        <f>VLOOKUP('AP01'!$R147,SEGUROS!$A:$B,2,TRUE)</f>
        <v>0.0003525</v>
      </c>
      <c r="T147" s="51">
        <f>('AP01'!$O147*'AP01'!$P147)*'AP01'!$S147</f>
        <v>72.24022587</v>
      </c>
      <c r="U147" s="51">
        <f>'AP01'!$Q147*0.00899%</f>
        <v>40.73305943</v>
      </c>
      <c r="V147" s="4"/>
      <c r="W147" s="4"/>
      <c r="X147" s="4"/>
      <c r="Y147" s="4"/>
      <c r="Z147" s="4"/>
    </row>
    <row r="148" ht="18.75" customHeight="1">
      <c r="A148" s="56">
        <f t="shared" si="4"/>
        <v>134</v>
      </c>
      <c r="B148" s="50">
        <f t="shared" si="8"/>
        <v>47320</v>
      </c>
      <c r="C148" s="58">
        <f t="shared" si="128"/>
        <v>0.1049</v>
      </c>
      <c r="D148" s="58">
        <f>((1+'AP01'!$C148)^(1/12))-1</f>
        <v>0.00834755088</v>
      </c>
      <c r="E148" s="51">
        <f t="shared" si="126"/>
        <v>2171.371183</v>
      </c>
      <c r="F148" s="51">
        <f>(O147*'AP01'!$P148)*'AP01'!$D148</f>
        <v>1710.720457</v>
      </c>
      <c r="G148" s="51">
        <f>(O147*'AP01'!$P148)/($I$5-A147)</f>
        <v>902.8053347</v>
      </c>
      <c r="H148" s="82">
        <f>(O147*'AP01'!$P148)*'AP01'!$S148</f>
        <v>72.24022587</v>
      </c>
      <c r="I148" s="82">
        <f>'AP01'!$Q148*0.00899%</f>
        <v>40.73305943</v>
      </c>
      <c r="J148" s="51">
        <f t="shared" si="136"/>
        <v>25</v>
      </c>
      <c r="K148" s="51">
        <f t="shared" ref="K148:L148" si="189">K147</f>
        <v>0</v>
      </c>
      <c r="L148" s="51">
        <f t="shared" si="189"/>
        <v>0</v>
      </c>
      <c r="M148" s="51">
        <f>SUM('AP01'!$F148:$L148)</f>
        <v>2751.499077</v>
      </c>
      <c r="N148" s="51">
        <f>O147*('AP01'!$P148-1)</f>
        <v>0</v>
      </c>
      <c r="O148" s="51">
        <f>(O147*'AP01'!$P148)-'AP01'!$G148</f>
        <v>204034.0057</v>
      </c>
      <c r="P148" s="53">
        <f t="shared" si="141"/>
        <v>1</v>
      </c>
      <c r="Q148" s="51">
        <f>(Q147*'AP01'!$P148)</f>
        <v>453092.9859</v>
      </c>
      <c r="R148" s="46">
        <f>DATEDIF($S$7,'AP01'!$B148,"Y")</f>
        <v>43</v>
      </c>
      <c r="S148" s="47">
        <f>VLOOKUP('AP01'!$R148,SEGUROS!$A:$B,2,TRUE)</f>
        <v>0.0003525</v>
      </c>
      <c r="T148" s="51">
        <f>('AP01'!$O148*'AP01'!$P148)*'AP01'!$S148</f>
        <v>71.92198699</v>
      </c>
      <c r="U148" s="51">
        <f>'AP01'!$Q148*0.00899%</f>
        <v>40.73305943</v>
      </c>
      <c r="V148" s="4"/>
      <c r="W148" s="4"/>
      <c r="X148" s="4"/>
      <c r="Y148" s="4"/>
      <c r="Z148" s="4"/>
    </row>
    <row r="149" ht="18.75" customHeight="1">
      <c r="A149" s="56">
        <f t="shared" si="4"/>
        <v>135</v>
      </c>
      <c r="B149" s="50">
        <f t="shared" si="8"/>
        <v>47351</v>
      </c>
      <c r="C149" s="58">
        <f t="shared" si="128"/>
        <v>0.1049</v>
      </c>
      <c r="D149" s="58">
        <f>((1+'AP01'!$C149)^(1/12))-1</f>
        <v>0.00834755088</v>
      </c>
      <c r="E149" s="51">
        <f t="shared" si="126"/>
        <v>2171.371183</v>
      </c>
      <c r="F149" s="51">
        <f>(O148*'AP01'!$P149)*'AP01'!$D149</f>
        <v>1703.184243</v>
      </c>
      <c r="G149" s="51">
        <f>(O148*'AP01'!$P149)/($I$5-A148)</f>
        <v>902.8053347</v>
      </c>
      <c r="H149" s="82">
        <f>(O148*'AP01'!$P149)*'AP01'!$S149</f>
        <v>71.92198699</v>
      </c>
      <c r="I149" s="82">
        <f>'AP01'!$Q149*0.00899%</f>
        <v>40.73305943</v>
      </c>
      <c r="J149" s="51">
        <f t="shared" si="136"/>
        <v>25</v>
      </c>
      <c r="K149" s="51">
        <f t="shared" ref="K149:L149" si="190">K148</f>
        <v>0</v>
      </c>
      <c r="L149" s="51">
        <f t="shared" si="190"/>
        <v>0</v>
      </c>
      <c r="M149" s="51">
        <f>SUM('AP01'!$F149:$L149)</f>
        <v>2743.644625</v>
      </c>
      <c r="N149" s="51">
        <f>O148*('AP01'!$P149-1)</f>
        <v>0</v>
      </c>
      <c r="O149" s="51">
        <f>(O148*'AP01'!$P149)-'AP01'!$G149</f>
        <v>203131.2003</v>
      </c>
      <c r="P149" s="53">
        <f t="shared" si="141"/>
        <v>1</v>
      </c>
      <c r="Q149" s="51">
        <f>(Q148*'AP01'!$P149)</f>
        <v>453092.9859</v>
      </c>
      <c r="R149" s="46">
        <f>DATEDIF($S$7,'AP01'!$B149,"Y")</f>
        <v>43</v>
      </c>
      <c r="S149" s="47">
        <f>VLOOKUP('AP01'!$R149,SEGUROS!$A:$B,2,TRUE)</f>
        <v>0.0003525</v>
      </c>
      <c r="T149" s="51">
        <f>('AP01'!$O149*'AP01'!$P149)*'AP01'!$S149</f>
        <v>71.60374811</v>
      </c>
      <c r="U149" s="51">
        <f>'AP01'!$Q149*0.00899%</f>
        <v>40.73305943</v>
      </c>
      <c r="V149" s="4"/>
      <c r="W149" s="4"/>
      <c r="X149" s="4"/>
      <c r="Y149" s="4"/>
      <c r="Z149" s="4"/>
    </row>
    <row r="150" ht="18.75" customHeight="1">
      <c r="A150" s="56">
        <f t="shared" si="4"/>
        <v>136</v>
      </c>
      <c r="B150" s="50">
        <f t="shared" si="8"/>
        <v>47382</v>
      </c>
      <c r="C150" s="58">
        <f t="shared" si="128"/>
        <v>0.1049</v>
      </c>
      <c r="D150" s="58">
        <f>((1+'AP01'!$C150)^(1/12))-1</f>
        <v>0.00834755088</v>
      </c>
      <c r="E150" s="51">
        <f t="shared" si="126"/>
        <v>2171.371183</v>
      </c>
      <c r="F150" s="51">
        <f>(O149*'AP01'!$P150)*'AP01'!$D150</f>
        <v>1695.64803</v>
      </c>
      <c r="G150" s="51">
        <f>(O149*'AP01'!$P150)/($I$5-A149)</f>
        <v>902.8053347</v>
      </c>
      <c r="H150" s="82">
        <f>(O149*'AP01'!$P150)*'AP01'!$S150</f>
        <v>71.60374811</v>
      </c>
      <c r="I150" s="82">
        <f>'AP01'!$Q150*0.00899%</f>
        <v>40.73305943</v>
      </c>
      <c r="J150" s="51">
        <f t="shared" si="136"/>
        <v>25</v>
      </c>
      <c r="K150" s="51">
        <f t="shared" ref="K150:L150" si="191">K149</f>
        <v>0</v>
      </c>
      <c r="L150" s="51">
        <f t="shared" si="191"/>
        <v>0</v>
      </c>
      <c r="M150" s="51">
        <f>SUM('AP01'!$F150:$L150)</f>
        <v>2735.790172</v>
      </c>
      <c r="N150" s="51">
        <f>O149*('AP01'!$P150-1)</f>
        <v>0</v>
      </c>
      <c r="O150" s="51">
        <f>(O149*'AP01'!$P150)-'AP01'!$G150</f>
        <v>202228.395</v>
      </c>
      <c r="P150" s="53">
        <f t="shared" si="141"/>
        <v>1</v>
      </c>
      <c r="Q150" s="51">
        <f>(Q149*'AP01'!$P150)</f>
        <v>453092.9859</v>
      </c>
      <c r="R150" s="46">
        <f>DATEDIF($S$7,'AP01'!$B150,"Y")</f>
        <v>43</v>
      </c>
      <c r="S150" s="47">
        <f>VLOOKUP('AP01'!$R150,SEGUROS!$A:$B,2,TRUE)</f>
        <v>0.0003525</v>
      </c>
      <c r="T150" s="51">
        <f>('AP01'!$O150*'AP01'!$P150)*'AP01'!$S150</f>
        <v>71.28550923</v>
      </c>
      <c r="U150" s="51">
        <f>'AP01'!$Q150*0.00899%</f>
        <v>40.73305943</v>
      </c>
      <c r="V150" s="4"/>
      <c r="W150" s="4"/>
      <c r="X150" s="4"/>
      <c r="Y150" s="4"/>
      <c r="Z150" s="4"/>
    </row>
    <row r="151" ht="18.75" customHeight="1">
      <c r="A151" s="56">
        <f t="shared" si="4"/>
        <v>137</v>
      </c>
      <c r="B151" s="50">
        <f t="shared" si="8"/>
        <v>47412</v>
      </c>
      <c r="C151" s="58">
        <f t="shared" si="128"/>
        <v>0.1049</v>
      </c>
      <c r="D151" s="58">
        <f>((1+'AP01'!$C151)^(1/12))-1</f>
        <v>0.00834755088</v>
      </c>
      <c r="E151" s="51">
        <f t="shared" si="126"/>
        <v>2171.371183</v>
      </c>
      <c r="F151" s="51">
        <f>(O150*'AP01'!$P151)*'AP01'!$D151</f>
        <v>1688.111816</v>
      </c>
      <c r="G151" s="51">
        <f>(O150*'AP01'!$P151)/($I$5-A150)</f>
        <v>902.8053347</v>
      </c>
      <c r="H151" s="82">
        <f>(O150*'AP01'!$P151)*'AP01'!$S151</f>
        <v>71.28550923</v>
      </c>
      <c r="I151" s="82">
        <f>'AP01'!$Q151*0.00899%</f>
        <v>40.73305943</v>
      </c>
      <c r="J151" s="51">
        <f t="shared" si="136"/>
        <v>25</v>
      </c>
      <c r="K151" s="51">
        <f t="shared" ref="K151:L151" si="192">K150</f>
        <v>0</v>
      </c>
      <c r="L151" s="51">
        <f t="shared" si="192"/>
        <v>0</v>
      </c>
      <c r="M151" s="51">
        <f>SUM('AP01'!$F151:$L151)</f>
        <v>2727.93572</v>
      </c>
      <c r="N151" s="51">
        <f>O150*('AP01'!$P151-1)</f>
        <v>0</v>
      </c>
      <c r="O151" s="51">
        <f>(O150*'AP01'!$P151)-'AP01'!$G151</f>
        <v>201325.5896</v>
      </c>
      <c r="P151" s="53">
        <f t="shared" si="141"/>
        <v>1</v>
      </c>
      <c r="Q151" s="51">
        <f>(Q150*'AP01'!$P151)</f>
        <v>453092.9859</v>
      </c>
      <c r="R151" s="46">
        <f>DATEDIF($S$7,'AP01'!$B151,"Y")</f>
        <v>43</v>
      </c>
      <c r="S151" s="47">
        <f>VLOOKUP('AP01'!$R151,SEGUROS!$A:$B,2,TRUE)</f>
        <v>0.0003525</v>
      </c>
      <c r="T151" s="51">
        <f>('AP01'!$O151*'AP01'!$P151)*'AP01'!$S151</f>
        <v>70.96727035</v>
      </c>
      <c r="U151" s="51">
        <f>'AP01'!$Q151*0.00899%</f>
        <v>40.73305943</v>
      </c>
      <c r="V151" s="4"/>
      <c r="W151" s="4"/>
      <c r="X151" s="4"/>
      <c r="Y151" s="4"/>
      <c r="Z151" s="4"/>
    </row>
    <row r="152" ht="18.75" customHeight="1">
      <c r="A152" s="56">
        <f t="shared" si="4"/>
        <v>138</v>
      </c>
      <c r="B152" s="50">
        <f t="shared" si="8"/>
        <v>47443</v>
      </c>
      <c r="C152" s="58">
        <f t="shared" si="128"/>
        <v>0.1049</v>
      </c>
      <c r="D152" s="58">
        <f>((1+'AP01'!$C152)^(1/12))-1</f>
        <v>0.00834755088</v>
      </c>
      <c r="E152" s="51">
        <f t="shared" si="126"/>
        <v>2171.371183</v>
      </c>
      <c r="F152" s="51">
        <f>(O151*'AP01'!$P152)*'AP01'!$D152</f>
        <v>1680.575603</v>
      </c>
      <c r="G152" s="51">
        <f>(O151*'AP01'!$P152)/($I$5-A151)</f>
        <v>902.8053347</v>
      </c>
      <c r="H152" s="82">
        <f>(O151*'AP01'!$P152)*'AP01'!$S152</f>
        <v>70.96727035</v>
      </c>
      <c r="I152" s="82">
        <f>'AP01'!$Q152*0.00899%</f>
        <v>40.73305943</v>
      </c>
      <c r="J152" s="51">
        <f t="shared" si="136"/>
        <v>25</v>
      </c>
      <c r="K152" s="51">
        <f t="shared" ref="K152:L152" si="193">K151</f>
        <v>0</v>
      </c>
      <c r="L152" s="51">
        <f t="shared" si="193"/>
        <v>0</v>
      </c>
      <c r="M152" s="51">
        <f>SUM('AP01'!$F152:$L152)</f>
        <v>2720.081268</v>
      </c>
      <c r="N152" s="51">
        <f>O151*('AP01'!$P152-1)</f>
        <v>0</v>
      </c>
      <c r="O152" s="51">
        <f>(O151*'AP01'!$P152)-'AP01'!$G152</f>
        <v>200422.7843</v>
      </c>
      <c r="P152" s="53">
        <f t="shared" si="141"/>
        <v>1</v>
      </c>
      <c r="Q152" s="51">
        <f>(Q151*'AP01'!$P152)</f>
        <v>453092.9859</v>
      </c>
      <c r="R152" s="46">
        <f>DATEDIF($S$7,'AP01'!$B152,"Y")</f>
        <v>43</v>
      </c>
      <c r="S152" s="47">
        <f>VLOOKUP('AP01'!$R152,SEGUROS!$A:$B,2,TRUE)</f>
        <v>0.0003525</v>
      </c>
      <c r="T152" s="51">
        <f>('AP01'!$O152*'AP01'!$P152)*'AP01'!$S152</f>
        <v>70.64903147</v>
      </c>
      <c r="U152" s="51">
        <f>'AP01'!$Q152*0.00899%</f>
        <v>40.73305943</v>
      </c>
      <c r="V152" s="4"/>
      <c r="W152" s="4"/>
      <c r="X152" s="4"/>
      <c r="Y152" s="4"/>
      <c r="Z152" s="4"/>
    </row>
    <row r="153" ht="18.75" customHeight="1">
      <c r="A153" s="56">
        <f t="shared" si="4"/>
        <v>139</v>
      </c>
      <c r="B153" s="50">
        <f t="shared" si="8"/>
        <v>47473</v>
      </c>
      <c r="C153" s="58">
        <f t="shared" si="128"/>
        <v>0.1049</v>
      </c>
      <c r="D153" s="58">
        <f>((1+'AP01'!$C153)^(1/12))-1</f>
        <v>0.00834755088</v>
      </c>
      <c r="E153" s="51">
        <f t="shared" si="126"/>
        <v>2171.371183</v>
      </c>
      <c r="F153" s="51">
        <f>(O152*'AP01'!$P153)*'AP01'!$D153</f>
        <v>1673.03939</v>
      </c>
      <c r="G153" s="51">
        <f>(O152*'AP01'!$P153)/($I$5-A152)</f>
        <v>902.8053347</v>
      </c>
      <c r="H153" s="82">
        <f>(O152*'AP01'!$P153)*'AP01'!$S153</f>
        <v>78.52564689</v>
      </c>
      <c r="I153" s="82">
        <f>'AP01'!$Q153*0.00899%</f>
        <v>40.73305943</v>
      </c>
      <c r="J153" s="51">
        <f t="shared" si="136"/>
        <v>25</v>
      </c>
      <c r="K153" s="51">
        <f t="shared" ref="K153:L153" si="194">K152</f>
        <v>0</v>
      </c>
      <c r="L153" s="51">
        <f t="shared" si="194"/>
        <v>0</v>
      </c>
      <c r="M153" s="51">
        <f>SUM('AP01'!$F153:$L153)</f>
        <v>2720.103431</v>
      </c>
      <c r="N153" s="51">
        <f>O152*('AP01'!$P153-1)</f>
        <v>0</v>
      </c>
      <c r="O153" s="51">
        <f>(O152*'AP01'!$P153)-'AP01'!$G153</f>
        <v>199519.979</v>
      </c>
      <c r="P153" s="53">
        <f t="shared" si="141"/>
        <v>1</v>
      </c>
      <c r="Q153" s="51">
        <f>(Q152*'AP01'!$P153)</f>
        <v>453092.9859</v>
      </c>
      <c r="R153" s="46">
        <f>DATEDIF($S$7,'AP01'!$B153,"Y")</f>
        <v>44</v>
      </c>
      <c r="S153" s="47">
        <f>VLOOKUP('AP01'!$R153,SEGUROS!$A:$B,2,TRUE)</f>
        <v>0.0003918</v>
      </c>
      <c r="T153" s="51">
        <f>('AP01'!$O153*'AP01'!$P153)*'AP01'!$S153</f>
        <v>78.17192776</v>
      </c>
      <c r="U153" s="51">
        <f>'AP01'!$Q153*0.00899%</f>
        <v>40.73305943</v>
      </c>
      <c r="V153" s="4"/>
      <c r="W153" s="4"/>
      <c r="X153" s="4"/>
      <c r="Y153" s="4"/>
      <c r="Z153" s="4"/>
    </row>
    <row r="154" ht="18.75" customHeight="1">
      <c r="A154" s="56">
        <f t="shared" si="4"/>
        <v>140</v>
      </c>
      <c r="B154" s="50">
        <f t="shared" si="8"/>
        <v>47504</v>
      </c>
      <c r="C154" s="58">
        <f t="shared" si="128"/>
        <v>0.1049</v>
      </c>
      <c r="D154" s="58">
        <f>((1+'AP01'!$C154)^(1/12))-1</f>
        <v>0.00834755088</v>
      </c>
      <c r="E154" s="51">
        <f t="shared" si="126"/>
        <v>2171.371183</v>
      </c>
      <c r="F154" s="51">
        <f>(O153*'AP01'!$P154)*'AP01'!$D154</f>
        <v>1665.503176</v>
      </c>
      <c r="G154" s="51">
        <f>(O153*'AP01'!$P154)/($I$5-A153)</f>
        <v>902.8053347</v>
      </c>
      <c r="H154" s="82">
        <f>(O153*'AP01'!$P154)*'AP01'!$S154</f>
        <v>78.17192776</v>
      </c>
      <c r="I154" s="82">
        <f>'AP01'!$Q154*0.00899%</f>
        <v>40.73305943</v>
      </c>
      <c r="J154" s="51">
        <f t="shared" si="136"/>
        <v>25</v>
      </c>
      <c r="K154" s="51">
        <f t="shared" ref="K154:L154" si="195">K153</f>
        <v>0</v>
      </c>
      <c r="L154" s="51">
        <f t="shared" si="195"/>
        <v>0</v>
      </c>
      <c r="M154" s="51">
        <f>SUM('AP01'!$F154:$L154)</f>
        <v>2712.213498</v>
      </c>
      <c r="N154" s="51">
        <f>O153*('AP01'!$P154-1)</f>
        <v>0</v>
      </c>
      <c r="O154" s="51">
        <f>(O153*'AP01'!$P154)-'AP01'!$G154</f>
        <v>198617.1736</v>
      </c>
      <c r="P154" s="53">
        <f t="shared" si="141"/>
        <v>1</v>
      </c>
      <c r="Q154" s="51">
        <f>(Q153*'AP01'!$P154)</f>
        <v>453092.9859</v>
      </c>
      <c r="R154" s="46">
        <f>DATEDIF($S$7,'AP01'!$B154,"Y")</f>
        <v>44</v>
      </c>
      <c r="S154" s="47">
        <f>VLOOKUP('AP01'!$R154,SEGUROS!$A:$B,2,TRUE)</f>
        <v>0.0003918</v>
      </c>
      <c r="T154" s="51">
        <f>('AP01'!$O154*'AP01'!$P154)*'AP01'!$S154</f>
        <v>77.81820863</v>
      </c>
      <c r="U154" s="51">
        <f>'AP01'!$Q154*0.00899%</f>
        <v>40.73305943</v>
      </c>
      <c r="V154" s="4"/>
      <c r="W154" s="4"/>
      <c r="X154" s="4"/>
      <c r="Y154" s="4"/>
      <c r="Z154" s="4"/>
    </row>
    <row r="155" ht="18.75" customHeight="1">
      <c r="A155" s="56">
        <f t="shared" si="4"/>
        <v>141</v>
      </c>
      <c r="B155" s="50">
        <f t="shared" si="8"/>
        <v>47535</v>
      </c>
      <c r="C155" s="58">
        <f t="shared" si="128"/>
        <v>0.1049</v>
      </c>
      <c r="D155" s="58">
        <f>((1+'AP01'!$C155)^(1/12))-1</f>
        <v>0.00834755088</v>
      </c>
      <c r="E155" s="51">
        <f t="shared" si="126"/>
        <v>2171.371183</v>
      </c>
      <c r="F155" s="51">
        <f>(O154*'AP01'!$P155)*'AP01'!$D155</f>
        <v>1657.966963</v>
      </c>
      <c r="G155" s="51">
        <f>(O154*'AP01'!$P155)/($I$5-A154)</f>
        <v>902.8053347</v>
      </c>
      <c r="H155" s="82">
        <f>(O154*'AP01'!$P155)*'AP01'!$S155</f>
        <v>77.81820863</v>
      </c>
      <c r="I155" s="82">
        <f>'AP01'!$Q155*0.00899%</f>
        <v>40.73305943</v>
      </c>
      <c r="J155" s="51">
        <f t="shared" si="136"/>
        <v>25</v>
      </c>
      <c r="K155" s="51">
        <f t="shared" ref="K155:L155" si="196">K154</f>
        <v>0</v>
      </c>
      <c r="L155" s="51">
        <f t="shared" si="196"/>
        <v>0</v>
      </c>
      <c r="M155" s="51">
        <f>SUM('AP01'!$F155:$L155)</f>
        <v>2704.323565</v>
      </c>
      <c r="N155" s="51">
        <f>O154*('AP01'!$P155-1)</f>
        <v>0</v>
      </c>
      <c r="O155" s="51">
        <f>(O154*'AP01'!$P155)-'AP01'!$G155</f>
        <v>197714.3683</v>
      </c>
      <c r="P155" s="53">
        <f t="shared" si="141"/>
        <v>1</v>
      </c>
      <c r="Q155" s="51">
        <f>(Q154*'AP01'!$P155)</f>
        <v>453092.9859</v>
      </c>
      <c r="R155" s="46">
        <f>DATEDIF($S$7,'AP01'!$B155,"Y")</f>
        <v>44</v>
      </c>
      <c r="S155" s="47">
        <f>VLOOKUP('AP01'!$R155,SEGUROS!$A:$B,2,TRUE)</f>
        <v>0.0003918</v>
      </c>
      <c r="T155" s="51">
        <f>('AP01'!$O155*'AP01'!$P155)*'AP01'!$S155</f>
        <v>77.4644895</v>
      </c>
      <c r="U155" s="51">
        <f>'AP01'!$Q155*0.00899%</f>
        <v>40.73305943</v>
      </c>
      <c r="V155" s="4"/>
      <c r="W155" s="4"/>
      <c r="X155" s="4"/>
      <c r="Y155" s="4"/>
      <c r="Z155" s="4"/>
    </row>
    <row r="156" ht="18.75" customHeight="1">
      <c r="A156" s="56">
        <f t="shared" si="4"/>
        <v>142</v>
      </c>
      <c r="B156" s="50">
        <f t="shared" si="8"/>
        <v>47563</v>
      </c>
      <c r="C156" s="58">
        <f t="shared" si="128"/>
        <v>0.1049</v>
      </c>
      <c r="D156" s="58">
        <f>((1+'AP01'!$C156)^(1/12))-1</f>
        <v>0.00834755088</v>
      </c>
      <c r="E156" s="51">
        <f t="shared" si="126"/>
        <v>2171.371183</v>
      </c>
      <c r="F156" s="51">
        <f>(O155*'AP01'!$P156)*'AP01'!$D156</f>
        <v>1650.430749</v>
      </c>
      <c r="G156" s="51">
        <f>(O155*'AP01'!$P156)/($I$5-A155)</f>
        <v>902.8053347</v>
      </c>
      <c r="H156" s="82">
        <f>(O155*'AP01'!$P156)*'AP01'!$S156</f>
        <v>77.4644895</v>
      </c>
      <c r="I156" s="82">
        <f>'AP01'!$Q156*0.00899%</f>
        <v>40.73305943</v>
      </c>
      <c r="J156" s="51">
        <f t="shared" si="136"/>
        <v>25</v>
      </c>
      <c r="K156" s="51">
        <f t="shared" ref="K156:L156" si="197">K155</f>
        <v>0</v>
      </c>
      <c r="L156" s="51">
        <f t="shared" si="197"/>
        <v>0</v>
      </c>
      <c r="M156" s="51">
        <f>SUM('AP01'!$F156:$L156)</f>
        <v>2696.433633</v>
      </c>
      <c r="N156" s="51">
        <f>O155*('AP01'!$P156-1)</f>
        <v>0</v>
      </c>
      <c r="O156" s="51">
        <f>(O155*'AP01'!$P156)-'AP01'!$G156</f>
        <v>196811.563</v>
      </c>
      <c r="P156" s="53">
        <f t="shared" si="141"/>
        <v>1</v>
      </c>
      <c r="Q156" s="51">
        <f>(Q155*'AP01'!$P156)</f>
        <v>453092.9859</v>
      </c>
      <c r="R156" s="46">
        <f>DATEDIF($S$7,'AP01'!$B156,"Y")</f>
        <v>44</v>
      </c>
      <c r="S156" s="47">
        <f>VLOOKUP('AP01'!$R156,SEGUROS!$A:$B,2,TRUE)</f>
        <v>0.0003918</v>
      </c>
      <c r="T156" s="51">
        <f>('AP01'!$O156*'AP01'!$P156)*'AP01'!$S156</f>
        <v>77.11077037</v>
      </c>
      <c r="U156" s="51">
        <f>'AP01'!$Q156*0.00899%</f>
        <v>40.73305943</v>
      </c>
      <c r="V156" s="4"/>
      <c r="W156" s="4"/>
      <c r="X156" s="4"/>
      <c r="Y156" s="4"/>
      <c r="Z156" s="4"/>
    </row>
    <row r="157" ht="18.75" customHeight="1">
      <c r="A157" s="56">
        <f t="shared" si="4"/>
        <v>143</v>
      </c>
      <c r="B157" s="50">
        <f t="shared" si="8"/>
        <v>47594</v>
      </c>
      <c r="C157" s="58">
        <f t="shared" si="128"/>
        <v>0.1049</v>
      </c>
      <c r="D157" s="58">
        <f>((1+'AP01'!$C157)^(1/12))-1</f>
        <v>0.00834755088</v>
      </c>
      <c r="E157" s="51">
        <f t="shared" si="126"/>
        <v>2171.371183</v>
      </c>
      <c r="F157" s="51">
        <f>(O156*'AP01'!$P157)*'AP01'!$D157</f>
        <v>1642.894536</v>
      </c>
      <c r="G157" s="51">
        <f>(O156*'AP01'!$P157)/($I$5-A156)</f>
        <v>902.8053347</v>
      </c>
      <c r="H157" s="82">
        <f>(O156*'AP01'!$P157)*'AP01'!$S157</f>
        <v>77.11077037</v>
      </c>
      <c r="I157" s="82">
        <f>'AP01'!$Q157*0.00899%</f>
        <v>40.73305943</v>
      </c>
      <c r="J157" s="51">
        <f t="shared" si="136"/>
        <v>25</v>
      </c>
      <c r="K157" s="51">
        <f t="shared" ref="K157:L157" si="198">K156</f>
        <v>0</v>
      </c>
      <c r="L157" s="51">
        <f t="shared" si="198"/>
        <v>0</v>
      </c>
      <c r="M157" s="51">
        <f>SUM('AP01'!$F157:$L157)</f>
        <v>2688.5437</v>
      </c>
      <c r="N157" s="51">
        <f>O156*('AP01'!$P157-1)</f>
        <v>0</v>
      </c>
      <c r="O157" s="51">
        <f>(O156*'AP01'!$P157)-'AP01'!$G157</f>
        <v>195908.7576</v>
      </c>
      <c r="P157" s="53">
        <f t="shared" si="141"/>
        <v>1</v>
      </c>
      <c r="Q157" s="51">
        <f>(Q156*'AP01'!$P157)</f>
        <v>453092.9859</v>
      </c>
      <c r="R157" s="46">
        <f>DATEDIF($S$7,'AP01'!$B157,"Y")</f>
        <v>44</v>
      </c>
      <c r="S157" s="47">
        <f>VLOOKUP('AP01'!$R157,SEGUROS!$A:$B,2,TRUE)</f>
        <v>0.0003918</v>
      </c>
      <c r="T157" s="51">
        <f>('AP01'!$O157*'AP01'!$P157)*'AP01'!$S157</f>
        <v>76.75705124</v>
      </c>
      <c r="U157" s="51">
        <f>'AP01'!$Q157*0.00899%</f>
        <v>40.73305943</v>
      </c>
      <c r="V157" s="4"/>
      <c r="W157" s="4"/>
      <c r="X157" s="4"/>
      <c r="Y157" s="4"/>
      <c r="Z157" s="4"/>
    </row>
    <row r="158" ht="18.75" customHeight="1">
      <c r="A158" s="56">
        <f t="shared" si="4"/>
        <v>144</v>
      </c>
      <c r="B158" s="50">
        <f t="shared" si="8"/>
        <v>47624</v>
      </c>
      <c r="C158" s="58">
        <f t="shared" si="128"/>
        <v>0.1049</v>
      </c>
      <c r="D158" s="58">
        <f>((1+'AP01'!$C158)^(1/12))-1</f>
        <v>0.00834755088</v>
      </c>
      <c r="E158" s="51">
        <f t="shared" si="126"/>
        <v>2171.371183</v>
      </c>
      <c r="F158" s="51">
        <f>(O157*'AP01'!$P158)*'AP01'!$D158</f>
        <v>1635.358322</v>
      </c>
      <c r="G158" s="51">
        <f>(O157*'AP01'!$P158)/($I$5-A157)</f>
        <v>902.8053347</v>
      </c>
      <c r="H158" s="82">
        <f>(O157*'AP01'!$P158)*'AP01'!$S158</f>
        <v>76.75705124</v>
      </c>
      <c r="I158" s="82">
        <f>'AP01'!$Q158*0.00899%</f>
        <v>40.73305943</v>
      </c>
      <c r="J158" s="51">
        <f t="shared" si="136"/>
        <v>25</v>
      </c>
      <c r="K158" s="51">
        <f t="shared" ref="K158:L158" si="199">K157</f>
        <v>0</v>
      </c>
      <c r="L158" s="51">
        <f t="shared" si="199"/>
        <v>0</v>
      </c>
      <c r="M158" s="51">
        <f>SUM('AP01'!$F158:$L158)</f>
        <v>2680.653768</v>
      </c>
      <c r="N158" s="51">
        <f>O157*('AP01'!$P158-1)</f>
        <v>0</v>
      </c>
      <c r="O158" s="51">
        <f>(O157*'AP01'!$P158)-'AP01'!$G158</f>
        <v>195005.9523</v>
      </c>
      <c r="P158" s="53">
        <f t="shared" si="141"/>
        <v>1</v>
      </c>
      <c r="Q158" s="51">
        <f>(Q157*'AP01'!$P158)</f>
        <v>453092.9859</v>
      </c>
      <c r="R158" s="46">
        <f>DATEDIF($S$7,'AP01'!$B158,"Y")</f>
        <v>44</v>
      </c>
      <c r="S158" s="47">
        <f>VLOOKUP('AP01'!$R158,SEGUROS!$A:$B,2,TRUE)</f>
        <v>0.0003918</v>
      </c>
      <c r="T158" s="51">
        <f>('AP01'!$O158*'AP01'!$P158)*'AP01'!$S158</f>
        <v>76.40333211</v>
      </c>
      <c r="U158" s="51">
        <f>'AP01'!$Q158*0.00899%</f>
        <v>40.73305943</v>
      </c>
      <c r="V158" s="4"/>
      <c r="W158" s="4"/>
      <c r="X158" s="4"/>
      <c r="Y158" s="4"/>
      <c r="Z158" s="4"/>
    </row>
    <row r="159" ht="18.75" customHeight="1">
      <c r="A159" s="56">
        <f t="shared" si="4"/>
        <v>145</v>
      </c>
      <c r="B159" s="50">
        <f t="shared" si="8"/>
        <v>47655</v>
      </c>
      <c r="C159" s="58">
        <f t="shared" si="128"/>
        <v>0.1049</v>
      </c>
      <c r="D159" s="58">
        <f>((1+'AP01'!$C159)^(1/12))-1</f>
        <v>0.00834755088</v>
      </c>
      <c r="E159" s="51">
        <f t="shared" si="126"/>
        <v>2171.371183</v>
      </c>
      <c r="F159" s="51">
        <f>(O158*'AP01'!$P159)*'AP01'!$D159</f>
        <v>1627.822109</v>
      </c>
      <c r="G159" s="51">
        <f>(O158*'AP01'!$P159)/($I$5-A158)</f>
        <v>902.8053347</v>
      </c>
      <c r="H159" s="82">
        <f>(O158*'AP01'!$P159)*'AP01'!$S159</f>
        <v>76.40333211</v>
      </c>
      <c r="I159" s="82">
        <f>'AP01'!$Q159*0.00899%</f>
        <v>40.73305943</v>
      </c>
      <c r="J159" s="51">
        <f t="shared" si="136"/>
        <v>25</v>
      </c>
      <c r="K159" s="51">
        <f t="shared" ref="K159:L159" si="200">K158</f>
        <v>0</v>
      </c>
      <c r="L159" s="51">
        <f t="shared" si="200"/>
        <v>0</v>
      </c>
      <c r="M159" s="51">
        <f>SUM('AP01'!$F159:$L159)</f>
        <v>2672.763835</v>
      </c>
      <c r="N159" s="51">
        <f>O158*('AP01'!$P159-1)</f>
        <v>0</v>
      </c>
      <c r="O159" s="51">
        <f>(O158*'AP01'!$P159)-'AP01'!$G159</f>
        <v>194103.147</v>
      </c>
      <c r="P159" s="53">
        <f t="shared" si="141"/>
        <v>1</v>
      </c>
      <c r="Q159" s="51">
        <f>(Q158*'AP01'!$P159)</f>
        <v>453092.9859</v>
      </c>
      <c r="R159" s="46">
        <f>DATEDIF($S$7,'AP01'!$B159,"Y")</f>
        <v>44</v>
      </c>
      <c r="S159" s="47">
        <f>VLOOKUP('AP01'!$R159,SEGUROS!$A:$B,2,TRUE)</f>
        <v>0.0003918</v>
      </c>
      <c r="T159" s="51">
        <f>('AP01'!$O159*'AP01'!$P159)*'AP01'!$S159</f>
        <v>76.04961298</v>
      </c>
      <c r="U159" s="51">
        <f>'AP01'!$Q159*0.00899%</f>
        <v>40.73305943</v>
      </c>
      <c r="V159" s="4"/>
      <c r="W159" s="4"/>
      <c r="X159" s="4"/>
      <c r="Y159" s="4"/>
      <c r="Z159" s="4"/>
    </row>
    <row r="160" ht="18.75" customHeight="1">
      <c r="A160" s="56">
        <f t="shared" si="4"/>
        <v>146</v>
      </c>
      <c r="B160" s="50">
        <f t="shared" si="8"/>
        <v>47685</v>
      </c>
      <c r="C160" s="58">
        <f t="shared" si="128"/>
        <v>0.1049</v>
      </c>
      <c r="D160" s="58">
        <f>((1+'AP01'!$C160)^(1/12))-1</f>
        <v>0.00834755088</v>
      </c>
      <c r="E160" s="51">
        <f t="shared" si="126"/>
        <v>2171.371183</v>
      </c>
      <c r="F160" s="51">
        <f>(O159*'AP01'!$P160)*'AP01'!$D160</f>
        <v>1620.285895</v>
      </c>
      <c r="G160" s="51">
        <f>(O159*'AP01'!$P160)/($I$5-A159)</f>
        <v>902.8053347</v>
      </c>
      <c r="H160" s="82">
        <f>(O159*'AP01'!$P160)*'AP01'!$S160</f>
        <v>76.04961298</v>
      </c>
      <c r="I160" s="82">
        <f>'AP01'!$Q160*0.00899%</f>
        <v>40.73305943</v>
      </c>
      <c r="J160" s="51">
        <f t="shared" si="136"/>
        <v>25</v>
      </c>
      <c r="K160" s="51">
        <f t="shared" ref="K160:L160" si="201">K159</f>
        <v>0</v>
      </c>
      <c r="L160" s="51">
        <f t="shared" si="201"/>
        <v>0</v>
      </c>
      <c r="M160" s="51">
        <f>SUM('AP01'!$F160:$L160)</f>
        <v>2664.873902</v>
      </c>
      <c r="N160" s="51">
        <f>O159*('AP01'!$P160-1)</f>
        <v>0</v>
      </c>
      <c r="O160" s="51">
        <f>(O159*'AP01'!$P160)-'AP01'!$G160</f>
        <v>193200.3416</v>
      </c>
      <c r="P160" s="53">
        <f t="shared" si="141"/>
        <v>1</v>
      </c>
      <c r="Q160" s="51">
        <f>(Q159*'AP01'!$P160)</f>
        <v>453092.9859</v>
      </c>
      <c r="R160" s="46">
        <f>DATEDIF($S$7,'AP01'!$B160,"Y")</f>
        <v>44</v>
      </c>
      <c r="S160" s="47">
        <f>VLOOKUP('AP01'!$R160,SEGUROS!$A:$B,2,TRUE)</f>
        <v>0.0003918</v>
      </c>
      <c r="T160" s="51">
        <f>('AP01'!$O160*'AP01'!$P160)*'AP01'!$S160</f>
        <v>75.69589385</v>
      </c>
      <c r="U160" s="51">
        <f>'AP01'!$Q160*0.00899%</f>
        <v>40.73305943</v>
      </c>
      <c r="V160" s="4"/>
      <c r="W160" s="4"/>
      <c r="X160" s="4"/>
      <c r="Y160" s="4"/>
      <c r="Z160" s="4"/>
    </row>
    <row r="161" ht="18.75" customHeight="1">
      <c r="A161" s="56">
        <f t="shared" si="4"/>
        <v>147</v>
      </c>
      <c r="B161" s="50">
        <f t="shared" si="8"/>
        <v>47716</v>
      </c>
      <c r="C161" s="58">
        <f t="shared" si="128"/>
        <v>0.1049</v>
      </c>
      <c r="D161" s="58">
        <f>((1+'AP01'!$C161)^(1/12))-1</f>
        <v>0.00834755088</v>
      </c>
      <c r="E161" s="51">
        <f t="shared" si="126"/>
        <v>2171.371183</v>
      </c>
      <c r="F161" s="51">
        <f>(O160*'AP01'!$P161)*'AP01'!$D161</f>
        <v>1612.749682</v>
      </c>
      <c r="G161" s="51">
        <f>(O160*'AP01'!$P161)/($I$5-A160)</f>
        <v>902.8053347</v>
      </c>
      <c r="H161" s="82">
        <f>(O160*'AP01'!$P161)*'AP01'!$S161</f>
        <v>75.69589385</v>
      </c>
      <c r="I161" s="82">
        <f>'AP01'!$Q161*0.00899%</f>
        <v>40.73305943</v>
      </c>
      <c r="J161" s="51">
        <f t="shared" si="136"/>
        <v>25</v>
      </c>
      <c r="K161" s="51">
        <f t="shared" ref="K161:L161" si="202">K160</f>
        <v>0</v>
      </c>
      <c r="L161" s="51">
        <f t="shared" si="202"/>
        <v>0</v>
      </c>
      <c r="M161" s="51">
        <f>SUM('AP01'!$F161:$L161)</f>
        <v>2656.98397</v>
      </c>
      <c r="N161" s="51">
        <f>O160*('AP01'!$P161-1)</f>
        <v>0</v>
      </c>
      <c r="O161" s="51">
        <f>(O160*'AP01'!$P161)-'AP01'!$G161</f>
        <v>192297.5363</v>
      </c>
      <c r="P161" s="53">
        <f t="shared" si="141"/>
        <v>1</v>
      </c>
      <c r="Q161" s="51">
        <f>(Q160*'AP01'!$P161)</f>
        <v>453092.9859</v>
      </c>
      <c r="R161" s="46">
        <f>DATEDIF($S$7,'AP01'!$B161,"Y")</f>
        <v>44</v>
      </c>
      <c r="S161" s="47">
        <f>VLOOKUP('AP01'!$R161,SEGUROS!$A:$B,2,TRUE)</f>
        <v>0.0003918</v>
      </c>
      <c r="T161" s="51">
        <f>('AP01'!$O161*'AP01'!$P161)*'AP01'!$S161</f>
        <v>75.34217472</v>
      </c>
      <c r="U161" s="51">
        <f>'AP01'!$Q161*0.00899%</f>
        <v>40.73305943</v>
      </c>
      <c r="V161" s="4"/>
      <c r="W161" s="4"/>
      <c r="X161" s="4"/>
      <c r="Y161" s="4"/>
      <c r="Z161" s="4"/>
    </row>
    <row r="162" ht="18.75" customHeight="1">
      <c r="A162" s="56">
        <f t="shared" si="4"/>
        <v>148</v>
      </c>
      <c r="B162" s="50">
        <f t="shared" si="8"/>
        <v>47747</v>
      </c>
      <c r="C162" s="58">
        <f t="shared" si="128"/>
        <v>0.1049</v>
      </c>
      <c r="D162" s="58">
        <f>((1+'AP01'!$C162)^(1/12))-1</f>
        <v>0.00834755088</v>
      </c>
      <c r="E162" s="51">
        <f t="shared" si="126"/>
        <v>2171.371183</v>
      </c>
      <c r="F162" s="51">
        <f>(O161*'AP01'!$P162)*'AP01'!$D162</f>
        <v>1605.213468</v>
      </c>
      <c r="G162" s="51">
        <f>(O161*'AP01'!$P162)/($I$5-A161)</f>
        <v>902.8053347</v>
      </c>
      <c r="H162" s="82">
        <f>(O161*'AP01'!$P162)*'AP01'!$S162</f>
        <v>75.34217472</v>
      </c>
      <c r="I162" s="82">
        <f>'AP01'!$Q162*0.00899%</f>
        <v>40.73305943</v>
      </c>
      <c r="J162" s="51">
        <f t="shared" si="136"/>
        <v>25</v>
      </c>
      <c r="K162" s="51">
        <f t="shared" ref="K162:L162" si="203">K161</f>
        <v>0</v>
      </c>
      <c r="L162" s="51">
        <f t="shared" si="203"/>
        <v>0</v>
      </c>
      <c r="M162" s="51">
        <f>SUM('AP01'!$F162:$L162)</f>
        <v>2649.094037</v>
      </c>
      <c r="N162" s="51">
        <f>O161*('AP01'!$P162-1)</f>
        <v>0</v>
      </c>
      <c r="O162" s="51">
        <f>(O161*'AP01'!$P162)-'AP01'!$G162</f>
        <v>191394.731</v>
      </c>
      <c r="P162" s="53">
        <f t="shared" si="141"/>
        <v>1</v>
      </c>
      <c r="Q162" s="51">
        <f>(Q161*'AP01'!$P162)</f>
        <v>453092.9859</v>
      </c>
      <c r="R162" s="46">
        <f>DATEDIF($S$7,'AP01'!$B162,"Y")</f>
        <v>44</v>
      </c>
      <c r="S162" s="47">
        <f>VLOOKUP('AP01'!$R162,SEGUROS!$A:$B,2,TRUE)</f>
        <v>0.0003918</v>
      </c>
      <c r="T162" s="51">
        <f>('AP01'!$O162*'AP01'!$P162)*'AP01'!$S162</f>
        <v>74.98845559</v>
      </c>
      <c r="U162" s="51">
        <f>'AP01'!$Q162*0.00899%</f>
        <v>40.73305943</v>
      </c>
      <c r="V162" s="4"/>
      <c r="W162" s="4"/>
      <c r="X162" s="4"/>
      <c r="Y162" s="4"/>
      <c r="Z162" s="4"/>
    </row>
    <row r="163" ht="18.75" customHeight="1">
      <c r="A163" s="56">
        <f t="shared" si="4"/>
        <v>149</v>
      </c>
      <c r="B163" s="50">
        <f t="shared" si="8"/>
        <v>47777</v>
      </c>
      <c r="C163" s="58">
        <f t="shared" si="128"/>
        <v>0.1049</v>
      </c>
      <c r="D163" s="58">
        <f>((1+'AP01'!$C163)^(1/12))-1</f>
        <v>0.00834755088</v>
      </c>
      <c r="E163" s="51">
        <f t="shared" si="126"/>
        <v>2171.371183</v>
      </c>
      <c r="F163" s="51">
        <f>(O162*'AP01'!$P163)*'AP01'!$D163</f>
        <v>1597.677255</v>
      </c>
      <c r="G163" s="51">
        <f>(O162*'AP01'!$P163)/($I$5-A162)</f>
        <v>902.8053347</v>
      </c>
      <c r="H163" s="82">
        <f>(O162*'AP01'!$P163)*'AP01'!$S163</f>
        <v>74.98845559</v>
      </c>
      <c r="I163" s="82">
        <f>'AP01'!$Q163*0.00899%</f>
        <v>40.73305943</v>
      </c>
      <c r="J163" s="51">
        <f t="shared" si="136"/>
        <v>25</v>
      </c>
      <c r="K163" s="51">
        <f t="shared" ref="K163:L163" si="204">K162</f>
        <v>0</v>
      </c>
      <c r="L163" s="51">
        <f t="shared" si="204"/>
        <v>0</v>
      </c>
      <c r="M163" s="51">
        <f>SUM('AP01'!$F163:$L163)</f>
        <v>2641.204105</v>
      </c>
      <c r="N163" s="51">
        <f>O162*('AP01'!$P163-1)</f>
        <v>0</v>
      </c>
      <c r="O163" s="51">
        <f>(O162*'AP01'!$P163)-'AP01'!$G163</f>
        <v>190491.9256</v>
      </c>
      <c r="P163" s="53">
        <f t="shared" si="141"/>
        <v>1</v>
      </c>
      <c r="Q163" s="51">
        <f>(Q162*'AP01'!$P163)</f>
        <v>453092.9859</v>
      </c>
      <c r="R163" s="46">
        <f>DATEDIF($S$7,'AP01'!$B163,"Y")</f>
        <v>44</v>
      </c>
      <c r="S163" s="47">
        <f>VLOOKUP('AP01'!$R163,SEGUROS!$A:$B,2,TRUE)</f>
        <v>0.0003918</v>
      </c>
      <c r="T163" s="51">
        <f>('AP01'!$O163*'AP01'!$P163)*'AP01'!$S163</f>
        <v>74.63473646</v>
      </c>
      <c r="U163" s="51">
        <f>'AP01'!$Q163*0.00899%</f>
        <v>40.73305943</v>
      </c>
      <c r="V163" s="4"/>
      <c r="W163" s="4"/>
      <c r="X163" s="4"/>
      <c r="Y163" s="4"/>
      <c r="Z163" s="4"/>
    </row>
    <row r="164" ht="18.75" customHeight="1">
      <c r="A164" s="56">
        <f t="shared" si="4"/>
        <v>150</v>
      </c>
      <c r="B164" s="50">
        <f t="shared" si="8"/>
        <v>47808</v>
      </c>
      <c r="C164" s="58">
        <f t="shared" si="128"/>
        <v>0.1049</v>
      </c>
      <c r="D164" s="58">
        <f>((1+'AP01'!$C164)^(1/12))-1</f>
        <v>0.00834755088</v>
      </c>
      <c r="E164" s="51">
        <f t="shared" si="126"/>
        <v>2171.371183</v>
      </c>
      <c r="F164" s="51">
        <f>(O163*'AP01'!$P164)*'AP01'!$D164</f>
        <v>1590.141041</v>
      </c>
      <c r="G164" s="51">
        <f>(O163*'AP01'!$P164)/($I$5-A163)</f>
        <v>902.8053347</v>
      </c>
      <c r="H164" s="82">
        <f>(O163*'AP01'!$P164)*'AP01'!$S164</f>
        <v>74.63473646</v>
      </c>
      <c r="I164" s="82">
        <f>'AP01'!$Q164*0.00899%</f>
        <v>40.73305943</v>
      </c>
      <c r="J164" s="51">
        <f t="shared" si="136"/>
        <v>25</v>
      </c>
      <c r="K164" s="51">
        <f t="shared" ref="K164:L164" si="205">K163</f>
        <v>0</v>
      </c>
      <c r="L164" s="51">
        <f t="shared" si="205"/>
        <v>0</v>
      </c>
      <c r="M164" s="51">
        <f>SUM('AP01'!$F164:$L164)</f>
        <v>2633.314172</v>
      </c>
      <c r="N164" s="51">
        <f>O163*('AP01'!$P164-1)</f>
        <v>0</v>
      </c>
      <c r="O164" s="51">
        <f>(O163*'AP01'!$P164)-'AP01'!$G164</f>
        <v>189589.1203</v>
      </c>
      <c r="P164" s="53">
        <f t="shared" si="141"/>
        <v>1</v>
      </c>
      <c r="Q164" s="51">
        <f>(Q163*'AP01'!$P164)</f>
        <v>453092.9859</v>
      </c>
      <c r="R164" s="46">
        <f>DATEDIF($S$7,'AP01'!$B164,"Y")</f>
        <v>44</v>
      </c>
      <c r="S164" s="47">
        <f>VLOOKUP('AP01'!$R164,SEGUROS!$A:$B,2,TRUE)</f>
        <v>0.0003918</v>
      </c>
      <c r="T164" s="51">
        <f>('AP01'!$O164*'AP01'!$P164)*'AP01'!$S164</f>
        <v>74.28101733</v>
      </c>
      <c r="U164" s="51">
        <f>'AP01'!$Q164*0.00899%</f>
        <v>40.73305943</v>
      </c>
      <c r="V164" s="4"/>
      <c r="W164" s="4"/>
      <c r="X164" s="4"/>
      <c r="Y164" s="4"/>
      <c r="Z164" s="4"/>
    </row>
    <row r="165" ht="18.75" customHeight="1">
      <c r="A165" s="56">
        <f t="shared" si="4"/>
        <v>151</v>
      </c>
      <c r="B165" s="50">
        <f t="shared" si="8"/>
        <v>47838</v>
      </c>
      <c r="C165" s="58">
        <f t="shared" si="128"/>
        <v>0.1049</v>
      </c>
      <c r="D165" s="58">
        <f>((1+'AP01'!$C165)^(1/12))-1</f>
        <v>0.00834755088</v>
      </c>
      <c r="E165" s="51">
        <f t="shared" si="126"/>
        <v>2171.371183</v>
      </c>
      <c r="F165" s="51">
        <f>(O164*'AP01'!$P165)*'AP01'!$D165</f>
        <v>1582.604828</v>
      </c>
      <c r="G165" s="51">
        <f>(O164*'AP01'!$P165)/($I$5-A164)</f>
        <v>902.8053347</v>
      </c>
      <c r="H165" s="82">
        <f>(O164*'AP01'!$P165)*'AP01'!$S165</f>
        <v>82.64189754</v>
      </c>
      <c r="I165" s="82">
        <f>'AP01'!$Q165*0.00899%</f>
        <v>40.73305943</v>
      </c>
      <c r="J165" s="51">
        <f t="shared" si="136"/>
        <v>25</v>
      </c>
      <c r="K165" s="51">
        <f t="shared" ref="K165:L165" si="206">K164</f>
        <v>0</v>
      </c>
      <c r="L165" s="51">
        <f t="shared" si="206"/>
        <v>0</v>
      </c>
      <c r="M165" s="51">
        <f>SUM('AP01'!$F165:$L165)</f>
        <v>2633.78512</v>
      </c>
      <c r="N165" s="51">
        <f>O164*('AP01'!$P165-1)</f>
        <v>0</v>
      </c>
      <c r="O165" s="51">
        <f>(O164*'AP01'!$P165)-'AP01'!$G165</f>
        <v>188686.315</v>
      </c>
      <c r="P165" s="53">
        <f t="shared" si="141"/>
        <v>1</v>
      </c>
      <c r="Q165" s="51">
        <f>(Q164*'AP01'!$P165)</f>
        <v>453092.9859</v>
      </c>
      <c r="R165" s="46">
        <f>DATEDIF($S$7,'AP01'!$B165,"Y")</f>
        <v>45</v>
      </c>
      <c r="S165" s="47">
        <f>VLOOKUP('AP01'!$R165,SEGUROS!$A:$B,2,TRUE)</f>
        <v>0.0004359</v>
      </c>
      <c r="T165" s="51">
        <f>('AP01'!$O165*'AP01'!$P165)*'AP01'!$S165</f>
        <v>82.24836469</v>
      </c>
      <c r="U165" s="51">
        <f>'AP01'!$Q165*0.00899%</f>
        <v>40.73305943</v>
      </c>
      <c r="V165" s="4"/>
      <c r="W165" s="4"/>
      <c r="X165" s="4"/>
      <c r="Y165" s="4"/>
      <c r="Z165" s="4"/>
    </row>
    <row r="166" ht="18.75" customHeight="1">
      <c r="A166" s="56">
        <f t="shared" si="4"/>
        <v>152</v>
      </c>
      <c r="B166" s="50">
        <f t="shared" si="8"/>
        <v>47869</v>
      </c>
      <c r="C166" s="58">
        <f t="shared" si="128"/>
        <v>0.1049</v>
      </c>
      <c r="D166" s="58">
        <f>((1+'AP01'!$C166)^(1/12))-1</f>
        <v>0.00834755088</v>
      </c>
      <c r="E166" s="51">
        <f t="shared" si="126"/>
        <v>2171.371183</v>
      </c>
      <c r="F166" s="51">
        <f>(O165*'AP01'!$P166)*'AP01'!$D166</f>
        <v>1575.068614</v>
      </c>
      <c r="G166" s="51">
        <f>(O165*'AP01'!$P166)/($I$5-A165)</f>
        <v>902.8053347</v>
      </c>
      <c r="H166" s="82">
        <f>(O165*'AP01'!$P166)*'AP01'!$S166</f>
        <v>82.24836469</v>
      </c>
      <c r="I166" s="82">
        <f>'AP01'!$Q166*0.00899%</f>
        <v>40.73305943</v>
      </c>
      <c r="J166" s="51">
        <f t="shared" si="136"/>
        <v>25</v>
      </c>
      <c r="K166" s="51">
        <f t="shared" ref="K166:L166" si="207">K165</f>
        <v>0</v>
      </c>
      <c r="L166" s="51">
        <f t="shared" si="207"/>
        <v>0</v>
      </c>
      <c r="M166" s="51">
        <f>SUM('AP01'!$F166:$L166)</f>
        <v>2625.855373</v>
      </c>
      <c r="N166" s="51">
        <f>O165*('AP01'!$P166-1)</f>
        <v>0</v>
      </c>
      <c r="O166" s="51">
        <f>(O165*'AP01'!$P166)-'AP01'!$G166</f>
        <v>187783.5096</v>
      </c>
      <c r="P166" s="53">
        <f t="shared" si="141"/>
        <v>1</v>
      </c>
      <c r="Q166" s="51">
        <f>(Q165*'AP01'!$P166)</f>
        <v>453092.9859</v>
      </c>
      <c r="R166" s="46">
        <f>DATEDIF($S$7,'AP01'!$B166,"Y")</f>
        <v>45</v>
      </c>
      <c r="S166" s="47">
        <f>VLOOKUP('AP01'!$R166,SEGUROS!$A:$B,2,TRUE)</f>
        <v>0.0004359</v>
      </c>
      <c r="T166" s="51">
        <f>('AP01'!$O166*'AP01'!$P166)*'AP01'!$S166</f>
        <v>81.85483185</v>
      </c>
      <c r="U166" s="51">
        <f>'AP01'!$Q166*0.00899%</f>
        <v>40.73305943</v>
      </c>
      <c r="V166" s="4"/>
      <c r="W166" s="4"/>
      <c r="X166" s="4"/>
      <c r="Y166" s="4"/>
      <c r="Z166" s="4"/>
    </row>
    <row r="167" ht="18.75" customHeight="1">
      <c r="A167" s="56">
        <f t="shared" si="4"/>
        <v>153</v>
      </c>
      <c r="B167" s="50">
        <f t="shared" si="8"/>
        <v>47900</v>
      </c>
      <c r="C167" s="58">
        <f t="shared" si="128"/>
        <v>0.1049</v>
      </c>
      <c r="D167" s="58">
        <f>((1+'AP01'!$C167)^(1/12))-1</f>
        <v>0.00834755088</v>
      </c>
      <c r="E167" s="51">
        <f t="shared" si="126"/>
        <v>2171.371183</v>
      </c>
      <c r="F167" s="51">
        <f>(O166*'AP01'!$P167)*'AP01'!$D167</f>
        <v>1567.532401</v>
      </c>
      <c r="G167" s="51">
        <f>(O166*'AP01'!$P167)/($I$5-A166)</f>
        <v>902.8053347</v>
      </c>
      <c r="H167" s="82">
        <f>(O166*'AP01'!$P167)*'AP01'!$S167</f>
        <v>81.85483185</v>
      </c>
      <c r="I167" s="82">
        <f>'AP01'!$Q167*0.00899%</f>
        <v>40.73305943</v>
      </c>
      <c r="J167" s="51">
        <f t="shared" si="136"/>
        <v>25</v>
      </c>
      <c r="K167" s="51">
        <f t="shared" ref="K167:L167" si="208">K166</f>
        <v>0</v>
      </c>
      <c r="L167" s="51">
        <f t="shared" si="208"/>
        <v>0</v>
      </c>
      <c r="M167" s="51">
        <f>SUM('AP01'!$F167:$L167)</f>
        <v>2617.925627</v>
      </c>
      <c r="N167" s="51">
        <f>O166*('AP01'!$P167-1)</f>
        <v>0</v>
      </c>
      <c r="O167" s="51">
        <f>(O166*'AP01'!$P167)-'AP01'!$G167</f>
        <v>186880.7043</v>
      </c>
      <c r="P167" s="53">
        <f t="shared" si="141"/>
        <v>1</v>
      </c>
      <c r="Q167" s="51">
        <f>(Q166*'AP01'!$P167)</f>
        <v>453092.9859</v>
      </c>
      <c r="R167" s="46">
        <f>DATEDIF($S$7,'AP01'!$B167,"Y")</f>
        <v>45</v>
      </c>
      <c r="S167" s="47">
        <f>VLOOKUP('AP01'!$R167,SEGUROS!$A:$B,2,TRUE)</f>
        <v>0.0004359</v>
      </c>
      <c r="T167" s="51">
        <f>('AP01'!$O167*'AP01'!$P167)*'AP01'!$S167</f>
        <v>81.461299</v>
      </c>
      <c r="U167" s="51">
        <f>'AP01'!$Q167*0.00899%</f>
        <v>40.73305943</v>
      </c>
      <c r="V167" s="4"/>
      <c r="W167" s="4"/>
      <c r="X167" s="4"/>
      <c r="Y167" s="4"/>
      <c r="Z167" s="4"/>
    </row>
    <row r="168" ht="18.75" customHeight="1">
      <c r="A168" s="56">
        <f t="shared" si="4"/>
        <v>154</v>
      </c>
      <c r="B168" s="50">
        <f t="shared" si="8"/>
        <v>47928</v>
      </c>
      <c r="C168" s="58">
        <f t="shared" si="128"/>
        <v>0.1049</v>
      </c>
      <c r="D168" s="58">
        <f>((1+'AP01'!$C168)^(1/12))-1</f>
        <v>0.00834755088</v>
      </c>
      <c r="E168" s="51">
        <f t="shared" si="126"/>
        <v>2171.371183</v>
      </c>
      <c r="F168" s="51">
        <f>(O167*'AP01'!$P168)*'AP01'!$D168</f>
        <v>1559.996188</v>
      </c>
      <c r="G168" s="51">
        <f>(O167*'AP01'!$P168)/($I$5-A167)</f>
        <v>902.8053347</v>
      </c>
      <c r="H168" s="82">
        <f>(O167*'AP01'!$P168)*'AP01'!$S168</f>
        <v>81.461299</v>
      </c>
      <c r="I168" s="82">
        <f>'AP01'!$Q168*0.00899%</f>
        <v>40.73305943</v>
      </c>
      <c r="J168" s="51">
        <f t="shared" si="136"/>
        <v>25</v>
      </c>
      <c r="K168" s="51">
        <f t="shared" ref="K168:L168" si="209">K167</f>
        <v>0</v>
      </c>
      <c r="L168" s="51">
        <f t="shared" si="209"/>
        <v>0</v>
      </c>
      <c r="M168" s="51">
        <f>SUM('AP01'!$F168:$L168)</f>
        <v>2609.995881</v>
      </c>
      <c r="N168" s="51">
        <f>O167*('AP01'!$P168-1)</f>
        <v>0</v>
      </c>
      <c r="O168" s="51">
        <f>(O167*'AP01'!$P168)-'AP01'!$G168</f>
        <v>185977.899</v>
      </c>
      <c r="P168" s="53">
        <f t="shared" si="141"/>
        <v>1</v>
      </c>
      <c r="Q168" s="51">
        <f>(Q167*'AP01'!$P168)</f>
        <v>453092.9859</v>
      </c>
      <c r="R168" s="46">
        <f>DATEDIF($S$7,'AP01'!$B168,"Y")</f>
        <v>45</v>
      </c>
      <c r="S168" s="47">
        <f>VLOOKUP('AP01'!$R168,SEGUROS!$A:$B,2,TRUE)</f>
        <v>0.0004359</v>
      </c>
      <c r="T168" s="51">
        <f>('AP01'!$O168*'AP01'!$P168)*'AP01'!$S168</f>
        <v>81.06776615</v>
      </c>
      <c r="U168" s="51">
        <f>'AP01'!$Q168*0.00899%</f>
        <v>40.73305943</v>
      </c>
      <c r="V168" s="4"/>
      <c r="W168" s="4"/>
      <c r="X168" s="4"/>
      <c r="Y168" s="4"/>
      <c r="Z168" s="4"/>
    </row>
    <row r="169" ht="18.75" customHeight="1">
      <c r="A169" s="56">
        <f t="shared" si="4"/>
        <v>155</v>
      </c>
      <c r="B169" s="50">
        <f t="shared" si="8"/>
        <v>47959</v>
      </c>
      <c r="C169" s="58">
        <f t="shared" si="128"/>
        <v>0.1049</v>
      </c>
      <c r="D169" s="58">
        <f>((1+'AP01'!$C169)^(1/12))-1</f>
        <v>0.00834755088</v>
      </c>
      <c r="E169" s="51">
        <f t="shared" si="126"/>
        <v>2171.371183</v>
      </c>
      <c r="F169" s="51">
        <f>(O168*'AP01'!$P169)*'AP01'!$D169</f>
        <v>1552.459974</v>
      </c>
      <c r="G169" s="51">
        <f>(O168*'AP01'!$P169)/($I$5-A168)</f>
        <v>902.8053347</v>
      </c>
      <c r="H169" s="82">
        <f>(O168*'AP01'!$P169)*'AP01'!$S169</f>
        <v>81.06776615</v>
      </c>
      <c r="I169" s="82">
        <f>'AP01'!$Q169*0.00899%</f>
        <v>40.73305943</v>
      </c>
      <c r="J169" s="51">
        <f t="shared" si="136"/>
        <v>25</v>
      </c>
      <c r="K169" s="51">
        <f t="shared" ref="K169:L169" si="210">K168</f>
        <v>0</v>
      </c>
      <c r="L169" s="51">
        <f t="shared" si="210"/>
        <v>0</v>
      </c>
      <c r="M169" s="51">
        <f>SUM('AP01'!$F169:$L169)</f>
        <v>2602.066134</v>
      </c>
      <c r="N169" s="51">
        <f>O168*('AP01'!$P169-1)</f>
        <v>0</v>
      </c>
      <c r="O169" s="51">
        <f>(O168*'AP01'!$P169)-'AP01'!$G169</f>
        <v>185075.0936</v>
      </c>
      <c r="P169" s="53">
        <f t="shared" si="141"/>
        <v>1</v>
      </c>
      <c r="Q169" s="51">
        <f>(Q168*'AP01'!$P169)</f>
        <v>453092.9859</v>
      </c>
      <c r="R169" s="46">
        <f>DATEDIF($S$7,'AP01'!$B169,"Y")</f>
        <v>45</v>
      </c>
      <c r="S169" s="47">
        <f>VLOOKUP('AP01'!$R169,SEGUROS!$A:$B,2,TRUE)</f>
        <v>0.0004359</v>
      </c>
      <c r="T169" s="51">
        <f>('AP01'!$O169*'AP01'!$P169)*'AP01'!$S169</f>
        <v>80.67423331</v>
      </c>
      <c r="U169" s="51">
        <f>'AP01'!$Q169*0.00899%</f>
        <v>40.73305943</v>
      </c>
      <c r="V169" s="4"/>
      <c r="W169" s="4"/>
      <c r="X169" s="4"/>
      <c r="Y169" s="4"/>
      <c r="Z169" s="4"/>
    </row>
    <row r="170" ht="18.75" customHeight="1">
      <c r="A170" s="56">
        <f t="shared" si="4"/>
        <v>156</v>
      </c>
      <c r="B170" s="50">
        <f t="shared" si="8"/>
        <v>47989</v>
      </c>
      <c r="C170" s="58">
        <f t="shared" si="128"/>
        <v>0.1049</v>
      </c>
      <c r="D170" s="58">
        <f>((1+'AP01'!$C170)^(1/12))-1</f>
        <v>0.00834755088</v>
      </c>
      <c r="E170" s="51">
        <f t="shared" si="126"/>
        <v>2171.371183</v>
      </c>
      <c r="F170" s="51">
        <f>(O169*'AP01'!$P170)*'AP01'!$D170</f>
        <v>1544.923761</v>
      </c>
      <c r="G170" s="51">
        <f>(O169*'AP01'!$P170)/($I$5-A169)</f>
        <v>902.8053347</v>
      </c>
      <c r="H170" s="82">
        <f>(O169*'AP01'!$P170)*'AP01'!$S170</f>
        <v>80.67423331</v>
      </c>
      <c r="I170" s="82">
        <f>'AP01'!$Q170*0.00899%</f>
        <v>40.73305943</v>
      </c>
      <c r="J170" s="51">
        <f t="shared" si="136"/>
        <v>25</v>
      </c>
      <c r="K170" s="51">
        <f t="shared" ref="K170:L170" si="211">K169</f>
        <v>0</v>
      </c>
      <c r="L170" s="51">
        <f t="shared" si="211"/>
        <v>0</v>
      </c>
      <c r="M170" s="51">
        <f>SUM('AP01'!$F170:$L170)</f>
        <v>2594.136388</v>
      </c>
      <c r="N170" s="51">
        <f>O169*('AP01'!$P170-1)</f>
        <v>0</v>
      </c>
      <c r="O170" s="51">
        <f>(O169*'AP01'!$P170)-'AP01'!$G170</f>
        <v>184172.2883</v>
      </c>
      <c r="P170" s="53">
        <f t="shared" si="141"/>
        <v>1</v>
      </c>
      <c r="Q170" s="51">
        <f>(Q169*'AP01'!$P170)</f>
        <v>453092.9859</v>
      </c>
      <c r="R170" s="46">
        <f>DATEDIF($S$7,'AP01'!$B170,"Y")</f>
        <v>45</v>
      </c>
      <c r="S170" s="47">
        <f>VLOOKUP('AP01'!$R170,SEGUROS!$A:$B,2,TRUE)</f>
        <v>0.0004359</v>
      </c>
      <c r="T170" s="51">
        <f>('AP01'!$O170*'AP01'!$P170)*'AP01'!$S170</f>
        <v>80.28070046</v>
      </c>
      <c r="U170" s="51">
        <f>'AP01'!$Q170*0.00899%</f>
        <v>40.73305943</v>
      </c>
      <c r="V170" s="4"/>
      <c r="W170" s="4"/>
      <c r="X170" s="4"/>
      <c r="Y170" s="4"/>
      <c r="Z170" s="4"/>
    </row>
    <row r="171" ht="18.75" customHeight="1">
      <c r="A171" s="56">
        <f t="shared" si="4"/>
        <v>157</v>
      </c>
      <c r="B171" s="50">
        <f t="shared" si="8"/>
        <v>48020</v>
      </c>
      <c r="C171" s="58">
        <f t="shared" si="128"/>
        <v>0.1049</v>
      </c>
      <c r="D171" s="58">
        <f>((1+'AP01'!$C171)^(1/12))-1</f>
        <v>0.00834755088</v>
      </c>
      <c r="E171" s="51">
        <f t="shared" si="126"/>
        <v>2171.371183</v>
      </c>
      <c r="F171" s="51">
        <f>(O170*'AP01'!$P171)*'AP01'!$D171</f>
        <v>1537.387547</v>
      </c>
      <c r="G171" s="51">
        <f>(O170*'AP01'!$P171)/($I$5-A170)</f>
        <v>902.8053347</v>
      </c>
      <c r="H171" s="82">
        <f>(O170*'AP01'!$P171)*'AP01'!$S171</f>
        <v>80.28070046</v>
      </c>
      <c r="I171" s="82">
        <f>'AP01'!$Q171*0.00899%</f>
        <v>40.73305943</v>
      </c>
      <c r="J171" s="51">
        <f t="shared" si="136"/>
        <v>25</v>
      </c>
      <c r="K171" s="51">
        <f t="shared" ref="K171:L171" si="212">K170</f>
        <v>0</v>
      </c>
      <c r="L171" s="51">
        <f t="shared" si="212"/>
        <v>0</v>
      </c>
      <c r="M171" s="51">
        <f>SUM('AP01'!$F171:$L171)</f>
        <v>2586.206642</v>
      </c>
      <c r="N171" s="51">
        <f>O170*('AP01'!$P171-1)</f>
        <v>0</v>
      </c>
      <c r="O171" s="51">
        <f>(O170*'AP01'!$P171)-'AP01'!$G171</f>
        <v>183269.483</v>
      </c>
      <c r="P171" s="53">
        <f t="shared" si="141"/>
        <v>1</v>
      </c>
      <c r="Q171" s="51">
        <f>(Q170*'AP01'!$P171)</f>
        <v>453092.9859</v>
      </c>
      <c r="R171" s="46">
        <f>DATEDIF($S$7,'AP01'!$B171,"Y")</f>
        <v>45</v>
      </c>
      <c r="S171" s="47">
        <f>VLOOKUP('AP01'!$R171,SEGUROS!$A:$B,2,TRUE)</f>
        <v>0.0004359</v>
      </c>
      <c r="T171" s="51">
        <f>('AP01'!$O171*'AP01'!$P171)*'AP01'!$S171</f>
        <v>79.88716762</v>
      </c>
      <c r="U171" s="51">
        <f>'AP01'!$Q171*0.00899%</f>
        <v>40.73305943</v>
      </c>
      <c r="V171" s="4"/>
      <c r="W171" s="4"/>
      <c r="X171" s="4"/>
      <c r="Y171" s="4"/>
      <c r="Z171" s="4"/>
    </row>
    <row r="172" ht="18.75" customHeight="1">
      <c r="A172" s="56">
        <f t="shared" si="4"/>
        <v>158</v>
      </c>
      <c r="B172" s="50">
        <f t="shared" si="8"/>
        <v>48050</v>
      </c>
      <c r="C172" s="58">
        <f t="shared" si="128"/>
        <v>0.1049</v>
      </c>
      <c r="D172" s="58">
        <f>((1+'AP01'!$C172)^(1/12))-1</f>
        <v>0.00834755088</v>
      </c>
      <c r="E172" s="51">
        <f t="shared" si="126"/>
        <v>2171.371183</v>
      </c>
      <c r="F172" s="51">
        <f>(O171*'AP01'!$P172)*'AP01'!$D172</f>
        <v>1529.851334</v>
      </c>
      <c r="G172" s="51">
        <f>(O171*'AP01'!$P172)/($I$5-A171)</f>
        <v>902.8053347</v>
      </c>
      <c r="H172" s="82">
        <f>(O171*'AP01'!$P172)*'AP01'!$S172</f>
        <v>79.88716762</v>
      </c>
      <c r="I172" s="82">
        <f>'AP01'!$Q172*0.00899%</f>
        <v>40.73305943</v>
      </c>
      <c r="J172" s="51">
        <f t="shared" si="136"/>
        <v>25</v>
      </c>
      <c r="K172" s="51">
        <f t="shared" ref="K172:L172" si="213">K171</f>
        <v>0</v>
      </c>
      <c r="L172" s="51">
        <f t="shared" si="213"/>
        <v>0</v>
      </c>
      <c r="M172" s="51">
        <f>SUM('AP01'!$F172:$L172)</f>
        <v>2578.276895</v>
      </c>
      <c r="N172" s="51">
        <f>O171*('AP01'!$P172-1)</f>
        <v>0</v>
      </c>
      <c r="O172" s="51">
        <f>(O171*'AP01'!$P172)-'AP01'!$G172</f>
        <v>182366.6776</v>
      </c>
      <c r="P172" s="53">
        <f t="shared" si="141"/>
        <v>1</v>
      </c>
      <c r="Q172" s="51">
        <f>(Q171*'AP01'!$P172)</f>
        <v>453092.9859</v>
      </c>
      <c r="R172" s="46">
        <f>DATEDIF($S$7,'AP01'!$B172,"Y")</f>
        <v>45</v>
      </c>
      <c r="S172" s="47">
        <f>VLOOKUP('AP01'!$R172,SEGUROS!$A:$B,2,TRUE)</f>
        <v>0.0004359</v>
      </c>
      <c r="T172" s="51">
        <f>('AP01'!$O172*'AP01'!$P172)*'AP01'!$S172</f>
        <v>79.49363477</v>
      </c>
      <c r="U172" s="51">
        <f>'AP01'!$Q172*0.00899%</f>
        <v>40.73305943</v>
      </c>
      <c r="V172" s="4"/>
      <c r="W172" s="4"/>
      <c r="X172" s="4"/>
      <c r="Y172" s="4"/>
      <c r="Z172" s="4"/>
    </row>
    <row r="173" ht="18.75" customHeight="1">
      <c r="A173" s="56">
        <f t="shared" si="4"/>
        <v>159</v>
      </c>
      <c r="B173" s="50">
        <f t="shared" si="8"/>
        <v>48081</v>
      </c>
      <c r="C173" s="58">
        <f t="shared" si="128"/>
        <v>0.1049</v>
      </c>
      <c r="D173" s="58">
        <f>((1+'AP01'!$C173)^(1/12))-1</f>
        <v>0.00834755088</v>
      </c>
      <c r="E173" s="51">
        <f t="shared" si="126"/>
        <v>2171.371183</v>
      </c>
      <c r="F173" s="51">
        <f>(O172*'AP01'!$P173)*'AP01'!$D173</f>
        <v>1522.31512</v>
      </c>
      <c r="G173" s="51">
        <f>(O172*'AP01'!$P173)/($I$5-A172)</f>
        <v>902.8053347</v>
      </c>
      <c r="H173" s="82">
        <f>(O172*'AP01'!$P173)*'AP01'!$S173</f>
        <v>79.49363477</v>
      </c>
      <c r="I173" s="82">
        <f>'AP01'!$Q173*0.00899%</f>
        <v>40.73305943</v>
      </c>
      <c r="J173" s="51">
        <f t="shared" si="136"/>
        <v>25</v>
      </c>
      <c r="K173" s="51">
        <f t="shared" ref="K173:L173" si="214">K172</f>
        <v>0</v>
      </c>
      <c r="L173" s="51">
        <f t="shared" si="214"/>
        <v>0</v>
      </c>
      <c r="M173" s="51">
        <f>SUM('AP01'!$F173:$L173)</f>
        <v>2570.347149</v>
      </c>
      <c r="N173" s="51">
        <f>O172*('AP01'!$P173-1)</f>
        <v>0</v>
      </c>
      <c r="O173" s="51">
        <f>(O172*'AP01'!$P173)-'AP01'!$G173</f>
        <v>181463.8723</v>
      </c>
      <c r="P173" s="53">
        <f t="shared" si="141"/>
        <v>1</v>
      </c>
      <c r="Q173" s="51">
        <f>(Q172*'AP01'!$P173)</f>
        <v>453092.9859</v>
      </c>
      <c r="R173" s="46">
        <f>DATEDIF($S$7,'AP01'!$B173,"Y")</f>
        <v>45</v>
      </c>
      <c r="S173" s="47">
        <f>VLOOKUP('AP01'!$R173,SEGUROS!$A:$B,2,TRUE)</f>
        <v>0.0004359</v>
      </c>
      <c r="T173" s="51">
        <f>('AP01'!$O173*'AP01'!$P173)*'AP01'!$S173</f>
        <v>79.10010193</v>
      </c>
      <c r="U173" s="51">
        <f>'AP01'!$Q173*0.00899%</f>
        <v>40.73305943</v>
      </c>
      <c r="V173" s="4"/>
      <c r="W173" s="4"/>
      <c r="X173" s="4"/>
      <c r="Y173" s="4"/>
      <c r="Z173" s="4"/>
    </row>
    <row r="174" ht="18.75" customHeight="1">
      <c r="A174" s="56">
        <f t="shared" si="4"/>
        <v>160</v>
      </c>
      <c r="B174" s="50">
        <f t="shared" si="8"/>
        <v>48112</v>
      </c>
      <c r="C174" s="58">
        <f t="shared" si="128"/>
        <v>0.1049</v>
      </c>
      <c r="D174" s="58">
        <f>((1+'AP01'!$C174)^(1/12))-1</f>
        <v>0.00834755088</v>
      </c>
      <c r="E174" s="51">
        <f t="shared" si="126"/>
        <v>2171.371183</v>
      </c>
      <c r="F174" s="51">
        <f>(O173*'AP01'!$P174)*'AP01'!$D174</f>
        <v>1514.778907</v>
      </c>
      <c r="G174" s="51">
        <f>(O173*'AP01'!$P174)/($I$5-A173)</f>
        <v>902.8053347</v>
      </c>
      <c r="H174" s="82">
        <f>(O173*'AP01'!$P174)*'AP01'!$S174</f>
        <v>79.10010193</v>
      </c>
      <c r="I174" s="82">
        <f>'AP01'!$Q174*0.00899%</f>
        <v>40.73305943</v>
      </c>
      <c r="J174" s="51">
        <f t="shared" si="136"/>
        <v>25</v>
      </c>
      <c r="K174" s="51">
        <f t="shared" ref="K174:L174" si="215">K173</f>
        <v>0</v>
      </c>
      <c r="L174" s="51">
        <f t="shared" si="215"/>
        <v>0</v>
      </c>
      <c r="M174" s="51">
        <f>SUM('AP01'!$F174:$L174)</f>
        <v>2562.417403</v>
      </c>
      <c r="N174" s="51">
        <f>O173*('AP01'!$P174-1)</f>
        <v>0</v>
      </c>
      <c r="O174" s="51">
        <f>(O173*'AP01'!$P174)-'AP01'!$G174</f>
        <v>180561.0669</v>
      </c>
      <c r="P174" s="53">
        <f t="shared" si="141"/>
        <v>1</v>
      </c>
      <c r="Q174" s="51">
        <f>(Q173*'AP01'!$P174)</f>
        <v>453092.9859</v>
      </c>
      <c r="R174" s="46">
        <f>DATEDIF($S$7,'AP01'!$B174,"Y")</f>
        <v>45</v>
      </c>
      <c r="S174" s="47">
        <f>VLOOKUP('AP01'!$R174,SEGUROS!$A:$B,2,TRUE)</f>
        <v>0.0004359</v>
      </c>
      <c r="T174" s="51">
        <f>('AP01'!$O174*'AP01'!$P174)*'AP01'!$S174</f>
        <v>78.70656908</v>
      </c>
      <c r="U174" s="51">
        <f>'AP01'!$Q174*0.00899%</f>
        <v>40.73305943</v>
      </c>
      <c r="V174" s="4"/>
      <c r="W174" s="4"/>
      <c r="X174" s="4"/>
      <c r="Y174" s="4"/>
      <c r="Z174" s="4"/>
    </row>
    <row r="175" ht="18.75" customHeight="1">
      <c r="A175" s="56">
        <f t="shared" si="4"/>
        <v>161</v>
      </c>
      <c r="B175" s="50">
        <f t="shared" si="8"/>
        <v>48142</v>
      </c>
      <c r="C175" s="58">
        <f t="shared" si="128"/>
        <v>0.1049</v>
      </c>
      <c r="D175" s="58">
        <f>((1+'AP01'!$C175)^(1/12))-1</f>
        <v>0.00834755088</v>
      </c>
      <c r="E175" s="51">
        <f t="shared" si="126"/>
        <v>2171.371183</v>
      </c>
      <c r="F175" s="51">
        <f>(O174*'AP01'!$P175)*'AP01'!$D175</f>
        <v>1507.242693</v>
      </c>
      <c r="G175" s="51">
        <f>(O174*'AP01'!$P175)/($I$5-A174)</f>
        <v>902.8053347</v>
      </c>
      <c r="H175" s="82">
        <f>(O174*'AP01'!$P175)*'AP01'!$S175</f>
        <v>78.70656908</v>
      </c>
      <c r="I175" s="82">
        <f>'AP01'!$Q175*0.00899%</f>
        <v>40.73305943</v>
      </c>
      <c r="J175" s="51">
        <f t="shared" si="136"/>
        <v>25</v>
      </c>
      <c r="K175" s="51">
        <f t="shared" ref="K175:L175" si="216">K174</f>
        <v>0</v>
      </c>
      <c r="L175" s="51">
        <f t="shared" si="216"/>
        <v>0</v>
      </c>
      <c r="M175" s="51">
        <f>SUM('AP01'!$F175:$L175)</f>
        <v>2554.487657</v>
      </c>
      <c r="N175" s="51">
        <f>O174*('AP01'!$P175-1)</f>
        <v>0</v>
      </c>
      <c r="O175" s="51">
        <f>(O174*'AP01'!$P175)-'AP01'!$G175</f>
        <v>179658.2616</v>
      </c>
      <c r="P175" s="53">
        <f t="shared" si="141"/>
        <v>1</v>
      </c>
      <c r="Q175" s="51">
        <f>(Q174*'AP01'!$P175)</f>
        <v>453092.9859</v>
      </c>
      <c r="R175" s="46">
        <f>DATEDIF($S$7,'AP01'!$B175,"Y")</f>
        <v>45</v>
      </c>
      <c r="S175" s="47">
        <f>VLOOKUP('AP01'!$R175,SEGUROS!$A:$B,2,TRUE)</f>
        <v>0.0004359</v>
      </c>
      <c r="T175" s="51">
        <f>('AP01'!$O175*'AP01'!$P175)*'AP01'!$S175</f>
        <v>78.31303624</v>
      </c>
      <c r="U175" s="51">
        <f>'AP01'!$Q175*0.00899%</f>
        <v>40.73305943</v>
      </c>
      <c r="V175" s="4"/>
      <c r="W175" s="4"/>
      <c r="X175" s="4"/>
      <c r="Y175" s="4"/>
      <c r="Z175" s="4"/>
    </row>
    <row r="176" ht="18.75" customHeight="1">
      <c r="A176" s="56">
        <f t="shared" si="4"/>
        <v>162</v>
      </c>
      <c r="B176" s="50">
        <f t="shared" si="8"/>
        <v>48173</v>
      </c>
      <c r="C176" s="58">
        <f t="shared" si="128"/>
        <v>0.1049</v>
      </c>
      <c r="D176" s="58">
        <f>((1+'AP01'!$C176)^(1/12))-1</f>
        <v>0.00834755088</v>
      </c>
      <c r="E176" s="51">
        <f t="shared" si="126"/>
        <v>2171.371183</v>
      </c>
      <c r="F176" s="51">
        <f>(O175*'AP01'!$P176)*'AP01'!$D176</f>
        <v>1499.70648</v>
      </c>
      <c r="G176" s="51">
        <f>(O175*'AP01'!$P176)/($I$5-A175)</f>
        <v>902.8053347</v>
      </c>
      <c r="H176" s="82">
        <f>(O175*'AP01'!$P176)*'AP01'!$S176</f>
        <v>78.31303624</v>
      </c>
      <c r="I176" s="82">
        <f>'AP01'!$Q176*0.00899%</f>
        <v>40.73305943</v>
      </c>
      <c r="J176" s="51">
        <f t="shared" si="136"/>
        <v>25</v>
      </c>
      <c r="K176" s="51">
        <f t="shared" ref="K176:L176" si="217">K175</f>
        <v>0</v>
      </c>
      <c r="L176" s="51">
        <f t="shared" si="217"/>
        <v>0</v>
      </c>
      <c r="M176" s="51">
        <f>SUM('AP01'!$F176:$L176)</f>
        <v>2546.55791</v>
      </c>
      <c r="N176" s="51">
        <f>O175*('AP01'!$P176-1)</f>
        <v>0</v>
      </c>
      <c r="O176" s="51">
        <f>(O175*'AP01'!$P176)-'AP01'!$G176</f>
        <v>178755.4563</v>
      </c>
      <c r="P176" s="53">
        <f t="shared" si="141"/>
        <v>1</v>
      </c>
      <c r="Q176" s="51">
        <f>(Q175*'AP01'!$P176)</f>
        <v>453092.9859</v>
      </c>
      <c r="R176" s="46">
        <f>DATEDIF($S$7,'AP01'!$B176,"Y")</f>
        <v>45</v>
      </c>
      <c r="S176" s="47">
        <f>VLOOKUP('AP01'!$R176,SEGUROS!$A:$B,2,TRUE)</f>
        <v>0.0004359</v>
      </c>
      <c r="T176" s="51">
        <f>('AP01'!$O176*'AP01'!$P176)*'AP01'!$S176</f>
        <v>77.91950339</v>
      </c>
      <c r="U176" s="51">
        <f>'AP01'!$Q176*0.00899%</f>
        <v>40.73305943</v>
      </c>
      <c r="V176" s="4"/>
      <c r="W176" s="4"/>
      <c r="X176" s="4"/>
      <c r="Y176" s="4"/>
      <c r="Z176" s="4"/>
    </row>
    <row r="177" ht="18.75" customHeight="1">
      <c r="A177" s="56">
        <f t="shared" si="4"/>
        <v>163</v>
      </c>
      <c r="B177" s="50">
        <f t="shared" si="8"/>
        <v>48203</v>
      </c>
      <c r="C177" s="58">
        <f t="shared" si="128"/>
        <v>0.1049</v>
      </c>
      <c r="D177" s="58">
        <f>((1+'AP01'!$C177)^(1/12))-1</f>
        <v>0.00834755088</v>
      </c>
      <c r="E177" s="51">
        <f t="shared" si="126"/>
        <v>2171.371183</v>
      </c>
      <c r="F177" s="51">
        <f>(O176*'AP01'!$P177)*'AP01'!$D177</f>
        <v>1492.170266</v>
      </c>
      <c r="G177" s="51">
        <f>(O176*'AP01'!$P177)/($I$5-A176)</f>
        <v>902.8053347</v>
      </c>
      <c r="H177" s="82">
        <f>(O176*'AP01'!$P177)*'AP01'!$S177</f>
        <v>92.13056217</v>
      </c>
      <c r="I177" s="82">
        <f>'AP01'!$Q177*0.00899%</f>
        <v>40.73305943</v>
      </c>
      <c r="J177" s="51">
        <f t="shared" si="136"/>
        <v>25</v>
      </c>
      <c r="K177" s="51">
        <f t="shared" ref="K177:L177" si="218">K176</f>
        <v>0</v>
      </c>
      <c r="L177" s="51">
        <f t="shared" si="218"/>
        <v>0</v>
      </c>
      <c r="M177" s="51">
        <f>SUM('AP01'!$F177:$L177)</f>
        <v>2552.839223</v>
      </c>
      <c r="N177" s="51">
        <f>O176*('AP01'!$P177-1)</f>
        <v>0</v>
      </c>
      <c r="O177" s="51">
        <f>(O176*'AP01'!$P177)-'AP01'!$G177</f>
        <v>177852.6509</v>
      </c>
      <c r="P177" s="53">
        <f t="shared" si="141"/>
        <v>1</v>
      </c>
      <c r="Q177" s="51">
        <f>(Q176*'AP01'!$P177)</f>
        <v>453092.9859</v>
      </c>
      <c r="R177" s="46">
        <f>DATEDIF($S$7,'AP01'!$B177,"Y")</f>
        <v>46</v>
      </c>
      <c r="S177" s="47">
        <f>VLOOKUP('AP01'!$R177,SEGUROS!$A:$B,2,TRUE)</f>
        <v>0.0005154</v>
      </c>
      <c r="T177" s="51">
        <f>('AP01'!$O177*'AP01'!$P177)*'AP01'!$S177</f>
        <v>91.6652563</v>
      </c>
      <c r="U177" s="51">
        <f>'AP01'!$Q177*0.00899%</f>
        <v>40.73305943</v>
      </c>
      <c r="V177" s="4"/>
      <c r="W177" s="4"/>
      <c r="X177" s="4"/>
      <c r="Y177" s="4"/>
      <c r="Z177" s="4"/>
    </row>
    <row r="178" ht="18.75" customHeight="1">
      <c r="A178" s="56">
        <f t="shared" si="4"/>
        <v>164</v>
      </c>
      <c r="B178" s="50">
        <f t="shared" si="8"/>
        <v>48234</v>
      </c>
      <c r="C178" s="58">
        <f t="shared" si="128"/>
        <v>0.1049</v>
      </c>
      <c r="D178" s="58">
        <f>((1+'AP01'!$C178)^(1/12))-1</f>
        <v>0.00834755088</v>
      </c>
      <c r="E178" s="51">
        <f t="shared" si="126"/>
        <v>2171.371183</v>
      </c>
      <c r="F178" s="51">
        <f>(O177*'AP01'!$P178)*'AP01'!$D178</f>
        <v>1484.634053</v>
      </c>
      <c r="G178" s="51">
        <f>(O177*'AP01'!$P178)/($I$5-A177)</f>
        <v>902.8053347</v>
      </c>
      <c r="H178" s="82">
        <f>(O177*'AP01'!$P178)*'AP01'!$S178</f>
        <v>91.6652563</v>
      </c>
      <c r="I178" s="82">
        <f>'AP01'!$Q178*0.00899%</f>
        <v>40.73305943</v>
      </c>
      <c r="J178" s="51">
        <f t="shared" si="136"/>
        <v>25</v>
      </c>
      <c r="K178" s="51">
        <f t="shared" ref="K178:L178" si="219">K177</f>
        <v>0</v>
      </c>
      <c r="L178" s="51">
        <f t="shared" si="219"/>
        <v>0</v>
      </c>
      <c r="M178" s="51">
        <f>SUM('AP01'!$F178:$L178)</f>
        <v>2544.837703</v>
      </c>
      <c r="N178" s="51">
        <f>O177*('AP01'!$P178-1)</f>
        <v>0</v>
      </c>
      <c r="O178" s="51">
        <f>(O177*'AP01'!$P178)-'AP01'!$G178</f>
        <v>176949.8456</v>
      </c>
      <c r="P178" s="53">
        <f t="shared" si="141"/>
        <v>1</v>
      </c>
      <c r="Q178" s="51">
        <f>(Q177*'AP01'!$P178)</f>
        <v>453092.9859</v>
      </c>
      <c r="R178" s="46">
        <f>DATEDIF($S$7,'AP01'!$B178,"Y")</f>
        <v>46</v>
      </c>
      <c r="S178" s="47">
        <f>VLOOKUP('AP01'!$R178,SEGUROS!$A:$B,2,TRUE)</f>
        <v>0.0005154</v>
      </c>
      <c r="T178" s="51">
        <f>('AP01'!$O178*'AP01'!$P178)*'AP01'!$S178</f>
        <v>91.19995043</v>
      </c>
      <c r="U178" s="51">
        <f>'AP01'!$Q178*0.00899%</f>
        <v>40.73305943</v>
      </c>
      <c r="V178" s="4"/>
      <c r="W178" s="4"/>
      <c r="X178" s="4"/>
      <c r="Y178" s="4"/>
      <c r="Z178" s="4"/>
    </row>
    <row r="179" ht="18.75" customHeight="1">
      <c r="A179" s="56">
        <f t="shared" si="4"/>
        <v>165</v>
      </c>
      <c r="B179" s="50">
        <f t="shared" si="8"/>
        <v>48265</v>
      </c>
      <c r="C179" s="58">
        <f t="shared" si="128"/>
        <v>0.1049</v>
      </c>
      <c r="D179" s="58">
        <f>((1+'AP01'!$C179)^(1/12))-1</f>
        <v>0.00834755088</v>
      </c>
      <c r="E179" s="51">
        <f t="shared" si="126"/>
        <v>2171.371183</v>
      </c>
      <c r="F179" s="51">
        <f>(O178*'AP01'!$P179)*'AP01'!$D179</f>
        <v>1477.097839</v>
      </c>
      <c r="G179" s="51">
        <f>(O178*'AP01'!$P179)/($I$5-A178)</f>
        <v>902.8053347</v>
      </c>
      <c r="H179" s="82">
        <f>(O178*'AP01'!$P179)*'AP01'!$S179</f>
        <v>91.19995043</v>
      </c>
      <c r="I179" s="82">
        <f>'AP01'!$Q179*0.00899%</f>
        <v>40.73305943</v>
      </c>
      <c r="J179" s="51">
        <f t="shared" si="136"/>
        <v>25</v>
      </c>
      <c r="K179" s="51">
        <f t="shared" ref="K179:L179" si="220">K178</f>
        <v>0</v>
      </c>
      <c r="L179" s="51">
        <f t="shared" si="220"/>
        <v>0</v>
      </c>
      <c r="M179" s="51">
        <f>SUM('AP01'!$F179:$L179)</f>
        <v>2536.836184</v>
      </c>
      <c r="N179" s="51">
        <f>O178*('AP01'!$P179-1)</f>
        <v>0</v>
      </c>
      <c r="O179" s="51">
        <f>(O178*'AP01'!$P179)-'AP01'!$G179</f>
        <v>176047.0403</v>
      </c>
      <c r="P179" s="53">
        <f t="shared" si="141"/>
        <v>1</v>
      </c>
      <c r="Q179" s="51">
        <f>(Q178*'AP01'!$P179)</f>
        <v>453092.9859</v>
      </c>
      <c r="R179" s="46">
        <f>DATEDIF($S$7,'AP01'!$B179,"Y")</f>
        <v>46</v>
      </c>
      <c r="S179" s="47">
        <f>VLOOKUP('AP01'!$R179,SEGUROS!$A:$B,2,TRUE)</f>
        <v>0.0005154</v>
      </c>
      <c r="T179" s="51">
        <f>('AP01'!$O179*'AP01'!$P179)*'AP01'!$S179</f>
        <v>90.73464456</v>
      </c>
      <c r="U179" s="51">
        <f>'AP01'!$Q179*0.00899%</f>
        <v>40.73305943</v>
      </c>
      <c r="V179" s="4"/>
      <c r="W179" s="4"/>
      <c r="X179" s="4"/>
      <c r="Y179" s="4"/>
      <c r="Z179" s="4"/>
    </row>
    <row r="180" ht="18.75" customHeight="1">
      <c r="A180" s="56">
        <f t="shared" si="4"/>
        <v>166</v>
      </c>
      <c r="B180" s="50">
        <f t="shared" si="8"/>
        <v>48294</v>
      </c>
      <c r="C180" s="58">
        <f t="shared" si="128"/>
        <v>0.1049</v>
      </c>
      <c r="D180" s="58">
        <f>((1+'AP01'!$C180)^(1/12))-1</f>
        <v>0.00834755088</v>
      </c>
      <c r="E180" s="51">
        <f t="shared" si="126"/>
        <v>2171.371183</v>
      </c>
      <c r="F180" s="51">
        <f>(O179*'AP01'!$P180)*'AP01'!$D180</f>
        <v>1469.561626</v>
      </c>
      <c r="G180" s="51">
        <f>(O179*'AP01'!$P180)/($I$5-A179)</f>
        <v>902.8053347</v>
      </c>
      <c r="H180" s="82">
        <f>(O179*'AP01'!$P180)*'AP01'!$S180</f>
        <v>90.73464456</v>
      </c>
      <c r="I180" s="82">
        <f>'AP01'!$Q180*0.00899%</f>
        <v>40.73305943</v>
      </c>
      <c r="J180" s="51">
        <f t="shared" si="136"/>
        <v>25</v>
      </c>
      <c r="K180" s="51">
        <f t="shared" ref="K180:L180" si="221">K179</f>
        <v>0</v>
      </c>
      <c r="L180" s="51">
        <f t="shared" si="221"/>
        <v>0</v>
      </c>
      <c r="M180" s="51">
        <f>SUM('AP01'!$F180:$L180)</f>
        <v>2528.834665</v>
      </c>
      <c r="N180" s="51">
        <f>O179*('AP01'!$P180-1)</f>
        <v>0</v>
      </c>
      <c r="O180" s="51">
        <f>(O179*'AP01'!$P180)-'AP01'!$G180</f>
        <v>175144.2349</v>
      </c>
      <c r="P180" s="53">
        <f t="shared" si="141"/>
        <v>1</v>
      </c>
      <c r="Q180" s="51">
        <f>(Q179*'AP01'!$P180)</f>
        <v>453092.9859</v>
      </c>
      <c r="R180" s="46">
        <f>DATEDIF($S$7,'AP01'!$B180,"Y")</f>
        <v>46</v>
      </c>
      <c r="S180" s="47">
        <f>VLOOKUP('AP01'!$R180,SEGUROS!$A:$B,2,TRUE)</f>
        <v>0.0005154</v>
      </c>
      <c r="T180" s="51">
        <f>('AP01'!$O180*'AP01'!$P180)*'AP01'!$S180</f>
        <v>90.26933869</v>
      </c>
      <c r="U180" s="51">
        <f>'AP01'!$Q180*0.00899%</f>
        <v>40.73305943</v>
      </c>
      <c r="V180" s="4"/>
      <c r="W180" s="4"/>
      <c r="X180" s="4"/>
      <c r="Y180" s="4"/>
      <c r="Z180" s="4"/>
    </row>
    <row r="181" ht="18.75" customHeight="1">
      <c r="A181" s="56">
        <f t="shared" si="4"/>
        <v>167</v>
      </c>
      <c r="B181" s="50">
        <f t="shared" si="8"/>
        <v>48325</v>
      </c>
      <c r="C181" s="58">
        <f t="shared" si="128"/>
        <v>0.1049</v>
      </c>
      <c r="D181" s="58">
        <f>((1+'AP01'!$C181)^(1/12))-1</f>
        <v>0.00834755088</v>
      </c>
      <c r="E181" s="51">
        <f t="shared" si="126"/>
        <v>2171.371183</v>
      </c>
      <c r="F181" s="51">
        <f>(O180*'AP01'!$P181)*'AP01'!$D181</f>
        <v>1462.025412</v>
      </c>
      <c r="G181" s="51">
        <f>(O180*'AP01'!$P181)/($I$5-A180)</f>
        <v>902.8053347</v>
      </c>
      <c r="H181" s="82">
        <f>(O180*'AP01'!$P181)*'AP01'!$S181</f>
        <v>90.26933869</v>
      </c>
      <c r="I181" s="82">
        <f>'AP01'!$Q181*0.00899%</f>
        <v>40.73305943</v>
      </c>
      <c r="J181" s="51">
        <f t="shared" si="136"/>
        <v>25</v>
      </c>
      <c r="K181" s="51">
        <f t="shared" ref="K181:L181" si="222">K180</f>
        <v>0</v>
      </c>
      <c r="L181" s="51">
        <f t="shared" si="222"/>
        <v>0</v>
      </c>
      <c r="M181" s="51">
        <f>SUM('AP01'!$F181:$L181)</f>
        <v>2520.833145</v>
      </c>
      <c r="N181" s="51">
        <f>O180*('AP01'!$P181-1)</f>
        <v>0</v>
      </c>
      <c r="O181" s="51">
        <f>(O180*'AP01'!$P181)-'AP01'!$G181</f>
        <v>174241.4296</v>
      </c>
      <c r="P181" s="53">
        <f t="shared" si="141"/>
        <v>1</v>
      </c>
      <c r="Q181" s="51">
        <f>(Q180*'AP01'!$P181)</f>
        <v>453092.9859</v>
      </c>
      <c r="R181" s="46">
        <f>DATEDIF($S$7,'AP01'!$B181,"Y")</f>
        <v>46</v>
      </c>
      <c r="S181" s="47">
        <f>VLOOKUP('AP01'!$R181,SEGUROS!$A:$B,2,TRUE)</f>
        <v>0.0005154</v>
      </c>
      <c r="T181" s="51">
        <f>('AP01'!$O181*'AP01'!$P181)*'AP01'!$S181</f>
        <v>89.80403282</v>
      </c>
      <c r="U181" s="51">
        <f>'AP01'!$Q181*0.00899%</f>
        <v>40.73305943</v>
      </c>
      <c r="V181" s="4"/>
      <c r="W181" s="4"/>
      <c r="X181" s="4"/>
      <c r="Y181" s="4"/>
      <c r="Z181" s="4"/>
    </row>
    <row r="182" ht="18.75" customHeight="1">
      <c r="A182" s="56">
        <f t="shared" si="4"/>
        <v>168</v>
      </c>
      <c r="B182" s="50">
        <f t="shared" si="8"/>
        <v>48355</v>
      </c>
      <c r="C182" s="58">
        <f t="shared" si="128"/>
        <v>0.1049</v>
      </c>
      <c r="D182" s="58">
        <f>((1+'AP01'!$C182)^(1/12))-1</f>
        <v>0.00834755088</v>
      </c>
      <c r="E182" s="51">
        <f t="shared" si="126"/>
        <v>2171.371183</v>
      </c>
      <c r="F182" s="51">
        <f>(O181*'AP01'!$P182)*'AP01'!$D182</f>
        <v>1454.489199</v>
      </c>
      <c r="G182" s="51">
        <f>(O181*'AP01'!$P182)/($I$5-A181)</f>
        <v>902.8053347</v>
      </c>
      <c r="H182" s="82">
        <f>(O181*'AP01'!$P182)*'AP01'!$S182</f>
        <v>89.80403282</v>
      </c>
      <c r="I182" s="82">
        <f>'AP01'!$Q182*0.00899%</f>
        <v>40.73305943</v>
      </c>
      <c r="J182" s="51">
        <f t="shared" si="136"/>
        <v>25</v>
      </c>
      <c r="K182" s="51">
        <f t="shared" ref="K182:L182" si="223">K181</f>
        <v>0</v>
      </c>
      <c r="L182" s="51">
        <f t="shared" si="223"/>
        <v>0</v>
      </c>
      <c r="M182" s="51">
        <f>SUM('AP01'!$F182:$L182)</f>
        <v>2512.831626</v>
      </c>
      <c r="N182" s="51">
        <f>O181*('AP01'!$P182-1)</f>
        <v>0</v>
      </c>
      <c r="O182" s="51">
        <f>(O181*'AP01'!$P182)-'AP01'!$G182</f>
        <v>173338.6243</v>
      </c>
      <c r="P182" s="53">
        <f t="shared" si="141"/>
        <v>1</v>
      </c>
      <c r="Q182" s="51">
        <f>(Q181*'AP01'!$P182)</f>
        <v>453092.9859</v>
      </c>
      <c r="R182" s="46">
        <f>DATEDIF($S$7,'AP01'!$B182,"Y")</f>
        <v>46</v>
      </c>
      <c r="S182" s="47">
        <f>VLOOKUP('AP01'!$R182,SEGUROS!$A:$B,2,TRUE)</f>
        <v>0.0005154</v>
      </c>
      <c r="T182" s="51">
        <f>('AP01'!$O182*'AP01'!$P182)*'AP01'!$S182</f>
        <v>89.33872695</v>
      </c>
      <c r="U182" s="51">
        <f>'AP01'!$Q182*0.00899%</f>
        <v>40.73305943</v>
      </c>
      <c r="V182" s="4"/>
      <c r="W182" s="4"/>
      <c r="X182" s="4"/>
      <c r="Y182" s="4"/>
      <c r="Z182" s="4"/>
    </row>
    <row r="183" ht="18.75" customHeight="1">
      <c r="A183" s="56">
        <f t="shared" si="4"/>
        <v>169</v>
      </c>
      <c r="B183" s="50">
        <f t="shared" si="8"/>
        <v>48386</v>
      </c>
      <c r="C183" s="58">
        <f t="shared" si="128"/>
        <v>0.1049</v>
      </c>
      <c r="D183" s="58">
        <f>((1+'AP01'!$C183)^(1/12))-1</f>
        <v>0.00834755088</v>
      </c>
      <c r="E183" s="51">
        <f t="shared" si="126"/>
        <v>2171.371183</v>
      </c>
      <c r="F183" s="51">
        <f>(O182*'AP01'!$P183)*'AP01'!$D183</f>
        <v>1446.952986</v>
      </c>
      <c r="G183" s="51">
        <f>(O182*'AP01'!$P183)/($I$5-A182)</f>
        <v>902.8053347</v>
      </c>
      <c r="H183" s="82">
        <f>(O182*'AP01'!$P183)*'AP01'!$S183</f>
        <v>89.33872695</v>
      </c>
      <c r="I183" s="82">
        <f>'AP01'!$Q183*0.00899%</f>
        <v>40.73305943</v>
      </c>
      <c r="J183" s="51">
        <f t="shared" si="136"/>
        <v>25</v>
      </c>
      <c r="K183" s="51">
        <f t="shared" ref="K183:L183" si="224">K182</f>
        <v>0</v>
      </c>
      <c r="L183" s="51">
        <f t="shared" si="224"/>
        <v>0</v>
      </c>
      <c r="M183" s="51">
        <f>SUM('AP01'!$F183:$L183)</f>
        <v>2504.830107</v>
      </c>
      <c r="N183" s="51">
        <f>O182*('AP01'!$P183-1)</f>
        <v>0</v>
      </c>
      <c r="O183" s="51">
        <f>(O182*'AP01'!$P183)-'AP01'!$G183</f>
        <v>172435.8189</v>
      </c>
      <c r="P183" s="53">
        <f t="shared" si="141"/>
        <v>1</v>
      </c>
      <c r="Q183" s="51">
        <f>(Q182*'AP01'!$P183)</f>
        <v>453092.9859</v>
      </c>
      <c r="R183" s="46">
        <f>DATEDIF($S$7,'AP01'!$B183,"Y")</f>
        <v>46</v>
      </c>
      <c r="S183" s="47">
        <f>VLOOKUP('AP01'!$R183,SEGUROS!$A:$B,2,TRUE)</f>
        <v>0.0005154</v>
      </c>
      <c r="T183" s="51">
        <f>('AP01'!$O183*'AP01'!$P183)*'AP01'!$S183</f>
        <v>88.87342108</v>
      </c>
      <c r="U183" s="51">
        <f>'AP01'!$Q183*0.00899%</f>
        <v>40.73305943</v>
      </c>
      <c r="V183" s="4"/>
      <c r="W183" s="4"/>
      <c r="X183" s="4"/>
      <c r="Y183" s="4"/>
      <c r="Z183" s="4"/>
    </row>
    <row r="184" ht="18.75" customHeight="1">
      <c r="A184" s="56">
        <f t="shared" si="4"/>
        <v>170</v>
      </c>
      <c r="B184" s="50">
        <f t="shared" si="8"/>
        <v>48416</v>
      </c>
      <c r="C184" s="58">
        <f t="shared" si="128"/>
        <v>0.1049</v>
      </c>
      <c r="D184" s="58">
        <f>((1+'AP01'!$C184)^(1/12))-1</f>
        <v>0.00834755088</v>
      </c>
      <c r="E184" s="51">
        <f t="shared" si="126"/>
        <v>2171.371183</v>
      </c>
      <c r="F184" s="51">
        <f>(O183*'AP01'!$P184)*'AP01'!$D184</f>
        <v>1439.416772</v>
      </c>
      <c r="G184" s="51">
        <f>(O183*'AP01'!$P184)/($I$5-A183)</f>
        <v>902.8053347</v>
      </c>
      <c r="H184" s="82">
        <f>(O183*'AP01'!$P184)*'AP01'!$S184</f>
        <v>88.87342108</v>
      </c>
      <c r="I184" s="82">
        <f>'AP01'!$Q184*0.00899%</f>
        <v>40.73305943</v>
      </c>
      <c r="J184" s="51">
        <f t="shared" si="136"/>
        <v>25</v>
      </c>
      <c r="K184" s="51">
        <f t="shared" ref="K184:L184" si="225">K183</f>
        <v>0</v>
      </c>
      <c r="L184" s="51">
        <f t="shared" si="225"/>
        <v>0</v>
      </c>
      <c r="M184" s="51">
        <f>SUM('AP01'!$F184:$L184)</f>
        <v>2496.828587</v>
      </c>
      <c r="N184" s="51">
        <f>O183*('AP01'!$P184-1)</f>
        <v>0</v>
      </c>
      <c r="O184" s="51">
        <f>(O183*'AP01'!$P184)-'AP01'!$G184</f>
        <v>171533.0136</v>
      </c>
      <c r="P184" s="53">
        <f t="shared" si="141"/>
        <v>1</v>
      </c>
      <c r="Q184" s="51">
        <f>(Q183*'AP01'!$P184)</f>
        <v>453092.9859</v>
      </c>
      <c r="R184" s="46">
        <f>DATEDIF($S$7,'AP01'!$B184,"Y")</f>
        <v>46</v>
      </c>
      <c r="S184" s="47">
        <f>VLOOKUP('AP01'!$R184,SEGUROS!$A:$B,2,TRUE)</f>
        <v>0.0005154</v>
      </c>
      <c r="T184" s="51">
        <f>('AP01'!$O184*'AP01'!$P184)*'AP01'!$S184</f>
        <v>88.40811521</v>
      </c>
      <c r="U184" s="51">
        <f>'AP01'!$Q184*0.00899%</f>
        <v>40.73305943</v>
      </c>
      <c r="V184" s="4"/>
      <c r="W184" s="4"/>
      <c r="X184" s="4"/>
      <c r="Y184" s="4"/>
      <c r="Z184" s="4"/>
    </row>
    <row r="185" ht="18.75" customHeight="1">
      <c r="A185" s="56">
        <f t="shared" si="4"/>
        <v>171</v>
      </c>
      <c r="B185" s="50">
        <f t="shared" si="8"/>
        <v>48447</v>
      </c>
      <c r="C185" s="58">
        <f t="shared" si="128"/>
        <v>0.1049</v>
      </c>
      <c r="D185" s="58">
        <f>((1+'AP01'!$C185)^(1/12))-1</f>
        <v>0.00834755088</v>
      </c>
      <c r="E185" s="51">
        <f t="shared" si="126"/>
        <v>2171.371183</v>
      </c>
      <c r="F185" s="51">
        <f>(O184*'AP01'!$P185)*'AP01'!$D185</f>
        <v>1431.880559</v>
      </c>
      <c r="G185" s="51">
        <f>(O184*'AP01'!$P185)/($I$5-A184)</f>
        <v>902.8053347</v>
      </c>
      <c r="H185" s="82">
        <f>(O184*'AP01'!$P185)*'AP01'!$S185</f>
        <v>88.40811521</v>
      </c>
      <c r="I185" s="82">
        <f>'AP01'!$Q185*0.00899%</f>
        <v>40.73305943</v>
      </c>
      <c r="J185" s="51">
        <f t="shared" si="136"/>
        <v>25</v>
      </c>
      <c r="K185" s="51">
        <f t="shared" ref="K185:L185" si="226">K184</f>
        <v>0</v>
      </c>
      <c r="L185" s="51">
        <f t="shared" si="226"/>
        <v>0</v>
      </c>
      <c r="M185" s="51">
        <f>SUM('AP01'!$F185:$L185)</f>
        <v>2488.827068</v>
      </c>
      <c r="N185" s="51">
        <f>O184*('AP01'!$P185-1)</f>
        <v>0</v>
      </c>
      <c r="O185" s="51">
        <f>(O184*'AP01'!$P185)-'AP01'!$G185</f>
        <v>170630.2083</v>
      </c>
      <c r="P185" s="53">
        <f t="shared" si="141"/>
        <v>1</v>
      </c>
      <c r="Q185" s="51">
        <f>(Q184*'AP01'!$P185)</f>
        <v>453092.9859</v>
      </c>
      <c r="R185" s="46">
        <f>DATEDIF($S$7,'AP01'!$B185,"Y")</f>
        <v>46</v>
      </c>
      <c r="S185" s="47">
        <f>VLOOKUP('AP01'!$R185,SEGUROS!$A:$B,2,TRUE)</f>
        <v>0.0005154</v>
      </c>
      <c r="T185" s="51">
        <f>('AP01'!$O185*'AP01'!$P185)*'AP01'!$S185</f>
        <v>87.94280934</v>
      </c>
      <c r="U185" s="51">
        <f>'AP01'!$Q185*0.00899%</f>
        <v>40.73305943</v>
      </c>
      <c r="V185" s="4"/>
      <c r="W185" s="4"/>
      <c r="X185" s="4"/>
      <c r="Y185" s="4"/>
      <c r="Z185" s="4"/>
    </row>
    <row r="186" ht="18.75" customHeight="1">
      <c r="A186" s="56">
        <f t="shared" si="4"/>
        <v>172</v>
      </c>
      <c r="B186" s="50">
        <f t="shared" si="8"/>
        <v>48478</v>
      </c>
      <c r="C186" s="58">
        <f t="shared" si="128"/>
        <v>0.1049</v>
      </c>
      <c r="D186" s="58">
        <f>((1+'AP01'!$C186)^(1/12))-1</f>
        <v>0.00834755088</v>
      </c>
      <c r="E186" s="51">
        <f t="shared" si="126"/>
        <v>2171.371183</v>
      </c>
      <c r="F186" s="51">
        <f>(O185*'AP01'!$P186)*'AP01'!$D186</f>
        <v>1424.344345</v>
      </c>
      <c r="G186" s="51">
        <f>(O185*'AP01'!$P186)/($I$5-A185)</f>
        <v>902.8053347</v>
      </c>
      <c r="H186" s="82">
        <f>(O185*'AP01'!$P186)*'AP01'!$S186</f>
        <v>87.94280934</v>
      </c>
      <c r="I186" s="82">
        <f>'AP01'!$Q186*0.00899%</f>
        <v>40.73305943</v>
      </c>
      <c r="J186" s="51">
        <f t="shared" si="136"/>
        <v>25</v>
      </c>
      <c r="K186" s="51">
        <f t="shared" ref="K186:L186" si="227">K185</f>
        <v>0</v>
      </c>
      <c r="L186" s="51">
        <f t="shared" si="227"/>
        <v>0</v>
      </c>
      <c r="M186" s="51">
        <f>SUM('AP01'!$F186:$L186)</f>
        <v>2480.825549</v>
      </c>
      <c r="N186" s="51">
        <f>O185*('AP01'!$P186-1)</f>
        <v>0</v>
      </c>
      <c r="O186" s="51">
        <f>(O185*'AP01'!$P186)-'AP01'!$G186</f>
        <v>169727.4029</v>
      </c>
      <c r="P186" s="53">
        <f t="shared" si="141"/>
        <v>1</v>
      </c>
      <c r="Q186" s="51">
        <f>(Q185*'AP01'!$P186)</f>
        <v>453092.9859</v>
      </c>
      <c r="R186" s="46">
        <f>DATEDIF($S$7,'AP01'!$B186,"Y")</f>
        <v>46</v>
      </c>
      <c r="S186" s="47">
        <f>VLOOKUP('AP01'!$R186,SEGUROS!$A:$B,2,TRUE)</f>
        <v>0.0005154</v>
      </c>
      <c r="T186" s="51">
        <f>('AP01'!$O186*'AP01'!$P186)*'AP01'!$S186</f>
        <v>87.47750347</v>
      </c>
      <c r="U186" s="51">
        <f>'AP01'!$Q186*0.00899%</f>
        <v>40.73305943</v>
      </c>
      <c r="V186" s="4"/>
      <c r="W186" s="4"/>
      <c r="X186" s="4"/>
      <c r="Y186" s="4"/>
      <c r="Z186" s="4"/>
    </row>
    <row r="187" ht="18.75" customHeight="1">
      <c r="A187" s="56">
        <f t="shared" si="4"/>
        <v>173</v>
      </c>
      <c r="B187" s="50">
        <f t="shared" si="8"/>
        <v>48508</v>
      </c>
      <c r="C187" s="58">
        <f t="shared" si="128"/>
        <v>0.1049</v>
      </c>
      <c r="D187" s="58">
        <f>((1+'AP01'!$C187)^(1/12))-1</f>
        <v>0.00834755088</v>
      </c>
      <c r="E187" s="51">
        <f t="shared" si="126"/>
        <v>2171.371183</v>
      </c>
      <c r="F187" s="51">
        <f>(O186*'AP01'!$P187)*'AP01'!$D187</f>
        <v>1416.808132</v>
      </c>
      <c r="G187" s="51">
        <f>(O186*'AP01'!$P187)/($I$5-A186)</f>
        <v>902.8053347</v>
      </c>
      <c r="H187" s="82">
        <f>(O186*'AP01'!$P187)*'AP01'!$S187</f>
        <v>87.47750347</v>
      </c>
      <c r="I187" s="82">
        <f>'AP01'!$Q187*0.00899%</f>
        <v>40.73305943</v>
      </c>
      <c r="J187" s="51">
        <f t="shared" si="136"/>
        <v>25</v>
      </c>
      <c r="K187" s="51">
        <f t="shared" ref="K187:L187" si="228">K186</f>
        <v>0</v>
      </c>
      <c r="L187" s="51">
        <f t="shared" si="228"/>
        <v>0</v>
      </c>
      <c r="M187" s="51">
        <f>SUM('AP01'!$F187:$L187)</f>
        <v>2472.824029</v>
      </c>
      <c r="N187" s="51">
        <f>O186*('AP01'!$P187-1)</f>
        <v>0</v>
      </c>
      <c r="O187" s="51">
        <f>(O186*'AP01'!$P187)-'AP01'!$G187</f>
        <v>168824.5976</v>
      </c>
      <c r="P187" s="53">
        <f t="shared" si="141"/>
        <v>1</v>
      </c>
      <c r="Q187" s="51">
        <f>(Q186*'AP01'!$P187)</f>
        <v>453092.9859</v>
      </c>
      <c r="R187" s="46">
        <f>DATEDIF($S$7,'AP01'!$B187,"Y")</f>
        <v>46</v>
      </c>
      <c r="S187" s="47">
        <f>VLOOKUP('AP01'!$R187,SEGUROS!$A:$B,2,TRUE)</f>
        <v>0.0005154</v>
      </c>
      <c r="T187" s="51">
        <f>('AP01'!$O187*'AP01'!$P187)*'AP01'!$S187</f>
        <v>87.0121976</v>
      </c>
      <c r="U187" s="51">
        <f>'AP01'!$Q187*0.00899%</f>
        <v>40.73305943</v>
      </c>
      <c r="V187" s="4"/>
      <c r="W187" s="4"/>
      <c r="X187" s="4"/>
      <c r="Y187" s="4"/>
      <c r="Z187" s="4"/>
    </row>
    <row r="188" ht="18.75" customHeight="1">
      <c r="A188" s="56">
        <f t="shared" si="4"/>
        <v>174</v>
      </c>
      <c r="B188" s="50">
        <f t="shared" si="8"/>
        <v>48539</v>
      </c>
      <c r="C188" s="58">
        <f t="shared" si="128"/>
        <v>0.1049</v>
      </c>
      <c r="D188" s="58">
        <f>((1+'AP01'!$C188)^(1/12))-1</f>
        <v>0.00834755088</v>
      </c>
      <c r="E188" s="51">
        <f t="shared" si="126"/>
        <v>2171.371183</v>
      </c>
      <c r="F188" s="51">
        <f>(O187*'AP01'!$P188)*'AP01'!$D188</f>
        <v>1409.271918</v>
      </c>
      <c r="G188" s="51">
        <f>(O187*'AP01'!$P188)/($I$5-A187)</f>
        <v>902.8053347</v>
      </c>
      <c r="H188" s="82">
        <f>(O187*'AP01'!$P188)*'AP01'!$S188</f>
        <v>87.0121976</v>
      </c>
      <c r="I188" s="82">
        <f>'AP01'!$Q188*0.00899%</f>
        <v>40.73305943</v>
      </c>
      <c r="J188" s="51">
        <f t="shared" si="136"/>
        <v>25</v>
      </c>
      <c r="K188" s="51">
        <f t="shared" ref="K188:L188" si="229">K187</f>
        <v>0</v>
      </c>
      <c r="L188" s="51">
        <f t="shared" si="229"/>
        <v>0</v>
      </c>
      <c r="M188" s="51">
        <f>SUM('AP01'!$F188:$L188)</f>
        <v>2464.82251</v>
      </c>
      <c r="N188" s="51">
        <f>O187*('AP01'!$P188-1)</f>
        <v>0</v>
      </c>
      <c r="O188" s="51">
        <f>(O187*'AP01'!$P188)-'AP01'!$G188</f>
        <v>167921.7923</v>
      </c>
      <c r="P188" s="53">
        <f t="shared" si="141"/>
        <v>1</v>
      </c>
      <c r="Q188" s="51">
        <f>(Q187*'AP01'!$P188)</f>
        <v>453092.9859</v>
      </c>
      <c r="R188" s="46">
        <f>DATEDIF($S$7,'AP01'!$B188,"Y")</f>
        <v>46</v>
      </c>
      <c r="S188" s="47">
        <f>VLOOKUP('AP01'!$R188,SEGUROS!$A:$B,2,TRUE)</f>
        <v>0.0005154</v>
      </c>
      <c r="T188" s="51">
        <f>('AP01'!$O188*'AP01'!$P188)*'AP01'!$S188</f>
        <v>86.54689173</v>
      </c>
      <c r="U188" s="51">
        <f>'AP01'!$Q188*0.00899%</f>
        <v>40.73305943</v>
      </c>
      <c r="V188" s="4"/>
      <c r="W188" s="4"/>
      <c r="X188" s="4"/>
      <c r="Y188" s="4"/>
      <c r="Z188" s="4"/>
    </row>
    <row r="189" ht="18.75" customHeight="1">
      <c r="A189" s="56">
        <f t="shared" si="4"/>
        <v>175</v>
      </c>
      <c r="B189" s="50">
        <f t="shared" si="8"/>
        <v>48569</v>
      </c>
      <c r="C189" s="58">
        <f t="shared" si="128"/>
        <v>0.1049</v>
      </c>
      <c r="D189" s="58">
        <f>((1+'AP01'!$C189)^(1/12))-1</f>
        <v>0.00834755088</v>
      </c>
      <c r="E189" s="51">
        <f t="shared" si="126"/>
        <v>2171.371183</v>
      </c>
      <c r="F189" s="51">
        <f>(O188*'AP01'!$P189)*'AP01'!$D189</f>
        <v>1401.735705</v>
      </c>
      <c r="G189" s="51">
        <f>(O188*'AP01'!$P189)/($I$5-A188)</f>
        <v>902.8053347</v>
      </c>
      <c r="H189" s="82">
        <f>(O188*'AP01'!$P189)*'AP01'!$S189</f>
        <v>95.96730428</v>
      </c>
      <c r="I189" s="82">
        <f>'AP01'!$Q189*0.00899%</f>
        <v>40.73305943</v>
      </c>
      <c r="J189" s="51">
        <f t="shared" si="136"/>
        <v>25</v>
      </c>
      <c r="K189" s="51">
        <f t="shared" ref="K189:L189" si="230">K188</f>
        <v>0</v>
      </c>
      <c r="L189" s="51">
        <f t="shared" si="230"/>
        <v>0</v>
      </c>
      <c r="M189" s="51">
        <f>SUM('AP01'!$F189:$L189)</f>
        <v>2466.241403</v>
      </c>
      <c r="N189" s="51">
        <f>O188*('AP01'!$P189-1)</f>
        <v>0</v>
      </c>
      <c r="O189" s="51">
        <f>(O188*'AP01'!$P189)-'AP01'!$G189</f>
        <v>167018.9869</v>
      </c>
      <c r="P189" s="53">
        <f t="shared" si="141"/>
        <v>1</v>
      </c>
      <c r="Q189" s="51">
        <f>(Q188*'AP01'!$P189)</f>
        <v>453092.9859</v>
      </c>
      <c r="R189" s="46">
        <f>DATEDIF($S$7,'AP01'!$B189,"Y")</f>
        <v>47</v>
      </c>
      <c r="S189" s="47">
        <f>VLOOKUP('AP01'!$R189,SEGUROS!$A:$B,2,TRUE)</f>
        <v>0.0005715</v>
      </c>
      <c r="T189" s="51">
        <f>('AP01'!$O189*'AP01'!$P189)*'AP01'!$S189</f>
        <v>95.45135103</v>
      </c>
      <c r="U189" s="51">
        <f>'AP01'!$Q189*0.00899%</f>
        <v>40.73305943</v>
      </c>
      <c r="V189" s="4"/>
      <c r="W189" s="4"/>
      <c r="X189" s="4"/>
      <c r="Y189" s="4"/>
      <c r="Z189" s="4"/>
    </row>
    <row r="190" ht="18.75" customHeight="1">
      <c r="A190" s="56">
        <f t="shared" si="4"/>
        <v>176</v>
      </c>
      <c r="B190" s="50">
        <f t="shared" si="8"/>
        <v>48600</v>
      </c>
      <c r="C190" s="58">
        <f t="shared" si="128"/>
        <v>0.1049</v>
      </c>
      <c r="D190" s="58">
        <f>((1+'AP01'!$C190)^(1/12))-1</f>
        <v>0.00834755088</v>
      </c>
      <c r="E190" s="51">
        <f t="shared" si="126"/>
        <v>2171.371183</v>
      </c>
      <c r="F190" s="51">
        <f>(O189*'AP01'!$P190)*'AP01'!$D190</f>
        <v>1394.199491</v>
      </c>
      <c r="G190" s="51">
        <f>(O189*'AP01'!$P190)/($I$5-A189)</f>
        <v>902.8053347</v>
      </c>
      <c r="H190" s="82">
        <f>(O189*'AP01'!$P190)*'AP01'!$S190</f>
        <v>95.45135103</v>
      </c>
      <c r="I190" s="82">
        <f>'AP01'!$Q190*0.00899%</f>
        <v>40.73305943</v>
      </c>
      <c r="J190" s="51">
        <f t="shared" si="136"/>
        <v>25</v>
      </c>
      <c r="K190" s="51">
        <f t="shared" ref="K190:L190" si="231">K189</f>
        <v>0</v>
      </c>
      <c r="L190" s="51">
        <f t="shared" si="231"/>
        <v>0</v>
      </c>
      <c r="M190" s="51">
        <f>SUM('AP01'!$F190:$L190)</f>
        <v>2458.189236</v>
      </c>
      <c r="N190" s="51">
        <f>O189*('AP01'!$P190-1)</f>
        <v>0</v>
      </c>
      <c r="O190" s="51">
        <f>(O189*'AP01'!$P190)-'AP01'!$G190</f>
        <v>166116.1816</v>
      </c>
      <c r="P190" s="53">
        <f t="shared" si="141"/>
        <v>1</v>
      </c>
      <c r="Q190" s="51">
        <f>(Q189*'AP01'!$P190)</f>
        <v>453092.9859</v>
      </c>
      <c r="R190" s="46">
        <f>DATEDIF($S$7,'AP01'!$B190,"Y")</f>
        <v>47</v>
      </c>
      <c r="S190" s="47">
        <f>VLOOKUP('AP01'!$R190,SEGUROS!$A:$B,2,TRUE)</f>
        <v>0.0005715</v>
      </c>
      <c r="T190" s="51">
        <f>('AP01'!$O190*'AP01'!$P190)*'AP01'!$S190</f>
        <v>94.93539778</v>
      </c>
      <c r="U190" s="51">
        <f>'AP01'!$Q190*0.00899%</f>
        <v>40.73305943</v>
      </c>
      <c r="V190" s="4"/>
      <c r="W190" s="4"/>
      <c r="X190" s="4"/>
      <c r="Y190" s="4"/>
      <c r="Z190" s="4"/>
    </row>
    <row r="191" ht="18.75" customHeight="1">
      <c r="A191" s="56">
        <f t="shared" si="4"/>
        <v>177</v>
      </c>
      <c r="B191" s="50">
        <f t="shared" si="8"/>
        <v>48631</v>
      </c>
      <c r="C191" s="58">
        <f t="shared" si="128"/>
        <v>0.1049</v>
      </c>
      <c r="D191" s="58">
        <f>((1+'AP01'!$C191)^(1/12))-1</f>
        <v>0.00834755088</v>
      </c>
      <c r="E191" s="51">
        <f t="shared" si="126"/>
        <v>2171.371183</v>
      </c>
      <c r="F191" s="51">
        <f>(O190*'AP01'!$P191)*'AP01'!$D191</f>
        <v>1386.663278</v>
      </c>
      <c r="G191" s="51">
        <f>(O190*'AP01'!$P191)/($I$5-A190)</f>
        <v>902.8053347</v>
      </c>
      <c r="H191" s="82">
        <f>(O190*'AP01'!$P191)*'AP01'!$S191</f>
        <v>94.93539778</v>
      </c>
      <c r="I191" s="82">
        <f>'AP01'!$Q191*0.00899%</f>
        <v>40.73305943</v>
      </c>
      <c r="J191" s="51">
        <f t="shared" si="136"/>
        <v>25</v>
      </c>
      <c r="K191" s="51">
        <f t="shared" ref="K191:L191" si="232">K190</f>
        <v>0</v>
      </c>
      <c r="L191" s="51">
        <f t="shared" si="232"/>
        <v>0</v>
      </c>
      <c r="M191" s="51">
        <f>SUM('AP01'!$F191:$L191)</f>
        <v>2450.13707</v>
      </c>
      <c r="N191" s="51">
        <f>O190*('AP01'!$P191-1)</f>
        <v>0</v>
      </c>
      <c r="O191" s="51">
        <f>(O190*'AP01'!$P191)-'AP01'!$G191</f>
        <v>165213.3763</v>
      </c>
      <c r="P191" s="53">
        <f t="shared" si="141"/>
        <v>1</v>
      </c>
      <c r="Q191" s="51">
        <f>(Q190*'AP01'!$P191)</f>
        <v>453092.9859</v>
      </c>
      <c r="R191" s="46">
        <f>DATEDIF($S$7,'AP01'!$B191,"Y")</f>
        <v>47</v>
      </c>
      <c r="S191" s="47">
        <f>VLOOKUP('AP01'!$R191,SEGUROS!$A:$B,2,TRUE)</f>
        <v>0.0005715</v>
      </c>
      <c r="T191" s="51">
        <f>('AP01'!$O191*'AP01'!$P191)*'AP01'!$S191</f>
        <v>94.41944453</v>
      </c>
      <c r="U191" s="51">
        <f>'AP01'!$Q191*0.00899%</f>
        <v>40.73305943</v>
      </c>
      <c r="V191" s="4"/>
      <c r="W191" s="4"/>
      <c r="X191" s="4"/>
      <c r="Y191" s="4"/>
      <c r="Z191" s="4"/>
    </row>
    <row r="192" ht="18.75" customHeight="1">
      <c r="A192" s="56">
        <f t="shared" si="4"/>
        <v>178</v>
      </c>
      <c r="B192" s="50">
        <f t="shared" si="8"/>
        <v>48659</v>
      </c>
      <c r="C192" s="58">
        <f t="shared" si="128"/>
        <v>0.1049</v>
      </c>
      <c r="D192" s="58">
        <f>((1+'AP01'!$C192)^(1/12))-1</f>
        <v>0.00834755088</v>
      </c>
      <c r="E192" s="51">
        <f t="shared" si="126"/>
        <v>2171.371183</v>
      </c>
      <c r="F192" s="51">
        <f>(O191*'AP01'!$P192)*'AP01'!$D192</f>
        <v>1379.127064</v>
      </c>
      <c r="G192" s="51">
        <f>(O191*'AP01'!$P192)/($I$5-A191)</f>
        <v>902.8053347</v>
      </c>
      <c r="H192" s="82">
        <f>(O191*'AP01'!$P192)*'AP01'!$S192</f>
        <v>94.41944453</v>
      </c>
      <c r="I192" s="82">
        <f>'AP01'!$Q192*0.00899%</f>
        <v>40.73305943</v>
      </c>
      <c r="J192" s="51">
        <f t="shared" si="136"/>
        <v>25</v>
      </c>
      <c r="K192" s="51">
        <f t="shared" ref="K192:L192" si="233">K191</f>
        <v>0</v>
      </c>
      <c r="L192" s="51">
        <f t="shared" si="233"/>
        <v>0</v>
      </c>
      <c r="M192" s="51">
        <f>SUM('AP01'!$F192:$L192)</f>
        <v>2442.084903</v>
      </c>
      <c r="N192" s="51">
        <f>O191*('AP01'!$P192-1)</f>
        <v>0</v>
      </c>
      <c r="O192" s="51">
        <f>(O191*'AP01'!$P192)-'AP01'!$G192</f>
        <v>164310.5709</v>
      </c>
      <c r="P192" s="53">
        <f t="shared" si="141"/>
        <v>1</v>
      </c>
      <c r="Q192" s="51">
        <f>(Q191*'AP01'!$P192)</f>
        <v>453092.9859</v>
      </c>
      <c r="R192" s="46">
        <f>DATEDIF($S$7,'AP01'!$B192,"Y")</f>
        <v>47</v>
      </c>
      <c r="S192" s="47">
        <f>VLOOKUP('AP01'!$R192,SEGUROS!$A:$B,2,TRUE)</f>
        <v>0.0005715</v>
      </c>
      <c r="T192" s="51">
        <f>('AP01'!$O192*'AP01'!$P192)*'AP01'!$S192</f>
        <v>93.90349128</v>
      </c>
      <c r="U192" s="51">
        <f>'AP01'!$Q192*0.00899%</f>
        <v>40.73305943</v>
      </c>
      <c r="V192" s="4"/>
      <c r="W192" s="4"/>
      <c r="X192" s="4"/>
      <c r="Y192" s="4"/>
      <c r="Z192" s="4"/>
    </row>
    <row r="193" ht="18.75" customHeight="1">
      <c r="A193" s="56">
        <f t="shared" si="4"/>
        <v>179</v>
      </c>
      <c r="B193" s="50">
        <f t="shared" si="8"/>
        <v>48690</v>
      </c>
      <c r="C193" s="58">
        <f t="shared" si="128"/>
        <v>0.1049</v>
      </c>
      <c r="D193" s="58">
        <f>((1+'AP01'!$C193)^(1/12))-1</f>
        <v>0.00834755088</v>
      </c>
      <c r="E193" s="51">
        <f t="shared" si="126"/>
        <v>2171.371183</v>
      </c>
      <c r="F193" s="51">
        <f>(O192*'AP01'!$P193)*'AP01'!$D193</f>
        <v>1371.590851</v>
      </c>
      <c r="G193" s="51">
        <f>(O192*'AP01'!$P193)/($I$5-A192)</f>
        <v>902.8053347</v>
      </c>
      <c r="H193" s="82">
        <f>(O192*'AP01'!$P193)*'AP01'!$S193</f>
        <v>93.90349128</v>
      </c>
      <c r="I193" s="82">
        <f>'AP01'!$Q193*0.00899%</f>
        <v>40.73305943</v>
      </c>
      <c r="J193" s="51">
        <f t="shared" si="136"/>
        <v>25</v>
      </c>
      <c r="K193" s="51">
        <f t="shared" ref="K193:L193" si="234">K192</f>
        <v>0</v>
      </c>
      <c r="L193" s="51">
        <f t="shared" si="234"/>
        <v>0</v>
      </c>
      <c r="M193" s="51">
        <f>SUM('AP01'!$F193:$L193)</f>
        <v>2434.032736</v>
      </c>
      <c r="N193" s="51">
        <f>O192*('AP01'!$P193-1)</f>
        <v>0</v>
      </c>
      <c r="O193" s="51">
        <f>(O192*'AP01'!$P193)-'AP01'!$G193</f>
        <v>163407.7656</v>
      </c>
      <c r="P193" s="53">
        <f t="shared" si="141"/>
        <v>1</v>
      </c>
      <c r="Q193" s="51">
        <f>(Q192*'AP01'!$P193)</f>
        <v>453092.9859</v>
      </c>
      <c r="R193" s="46">
        <f>DATEDIF($S$7,'AP01'!$B193,"Y")</f>
        <v>47</v>
      </c>
      <c r="S193" s="47">
        <f>VLOOKUP('AP01'!$R193,SEGUROS!$A:$B,2,TRUE)</f>
        <v>0.0005715</v>
      </c>
      <c r="T193" s="51">
        <f>('AP01'!$O193*'AP01'!$P193)*'AP01'!$S193</f>
        <v>93.38753803</v>
      </c>
      <c r="U193" s="51">
        <f>'AP01'!$Q193*0.00899%</f>
        <v>40.73305943</v>
      </c>
      <c r="V193" s="4"/>
      <c r="W193" s="4"/>
      <c r="X193" s="4"/>
      <c r="Y193" s="4"/>
      <c r="Z193" s="4"/>
    </row>
    <row r="194" ht="18.75" customHeight="1">
      <c r="A194" s="56">
        <f t="shared" si="4"/>
        <v>180</v>
      </c>
      <c r="B194" s="50">
        <f t="shared" si="8"/>
        <v>48720</v>
      </c>
      <c r="C194" s="58">
        <f t="shared" si="128"/>
        <v>0.1049</v>
      </c>
      <c r="D194" s="58">
        <f>((1+'AP01'!$C194)^(1/12))-1</f>
        <v>0.00834755088</v>
      </c>
      <c r="E194" s="51">
        <f t="shared" si="126"/>
        <v>2171.371183</v>
      </c>
      <c r="F194" s="51">
        <f>(O193*'AP01'!$P194)*'AP01'!$D194</f>
        <v>1364.054637</v>
      </c>
      <c r="G194" s="51">
        <f>(O193*'AP01'!$P194)/($I$5-A193)</f>
        <v>902.8053347</v>
      </c>
      <c r="H194" s="82">
        <f>(O193*'AP01'!$P194)*'AP01'!$S194</f>
        <v>93.38753803</v>
      </c>
      <c r="I194" s="82">
        <f>'AP01'!$Q194*0.00899%</f>
        <v>40.73305943</v>
      </c>
      <c r="J194" s="51">
        <f t="shared" si="136"/>
        <v>25</v>
      </c>
      <c r="K194" s="51">
        <f t="shared" ref="K194:L194" si="235">K193</f>
        <v>0</v>
      </c>
      <c r="L194" s="51">
        <f t="shared" si="235"/>
        <v>0</v>
      </c>
      <c r="M194" s="51">
        <f>SUM('AP01'!$F194:$L194)</f>
        <v>2425.98057</v>
      </c>
      <c r="N194" s="51">
        <f>O193*('AP01'!$P194-1)</f>
        <v>0</v>
      </c>
      <c r="O194" s="51">
        <f>(O193*'AP01'!$P194)-'AP01'!$G194</f>
        <v>162504.9603</v>
      </c>
      <c r="P194" s="53">
        <f t="shared" si="141"/>
        <v>1</v>
      </c>
      <c r="Q194" s="51">
        <f>(Q193*'AP01'!$P194)</f>
        <v>453092.9859</v>
      </c>
      <c r="R194" s="46">
        <f>DATEDIF($S$7,'AP01'!$B194,"Y")</f>
        <v>47</v>
      </c>
      <c r="S194" s="47">
        <f>VLOOKUP('AP01'!$R194,SEGUROS!$A:$B,2,TRUE)</f>
        <v>0.0005715</v>
      </c>
      <c r="T194" s="51">
        <f>('AP01'!$O194*'AP01'!$P194)*'AP01'!$S194</f>
        <v>92.87158478</v>
      </c>
      <c r="U194" s="51">
        <f>'AP01'!$Q194*0.00899%</f>
        <v>40.73305943</v>
      </c>
      <c r="V194" s="4"/>
      <c r="W194" s="4"/>
      <c r="X194" s="4"/>
      <c r="Y194" s="4"/>
      <c r="Z194" s="4"/>
    </row>
    <row r="195" ht="18.75" customHeight="1">
      <c r="A195" s="56">
        <f t="shared" si="4"/>
        <v>181</v>
      </c>
      <c r="B195" s="50">
        <f t="shared" si="8"/>
        <v>48751</v>
      </c>
      <c r="C195" s="58">
        <f t="shared" si="128"/>
        <v>0.1049</v>
      </c>
      <c r="D195" s="58">
        <f>((1+'AP01'!$C195)^(1/12))-1</f>
        <v>0.00834755088</v>
      </c>
      <c r="E195" s="51">
        <f t="shared" si="126"/>
        <v>2171.371183</v>
      </c>
      <c r="F195" s="51">
        <f>(O194*'AP01'!$P195)*'AP01'!$D195</f>
        <v>1356.518424</v>
      </c>
      <c r="G195" s="51">
        <f>(O194*'AP01'!$P195)/($I$5-A194)</f>
        <v>902.8053347</v>
      </c>
      <c r="H195" s="82">
        <f>(O194*'AP01'!$P195)*'AP01'!$S195</f>
        <v>92.87158478</v>
      </c>
      <c r="I195" s="82">
        <f>'AP01'!$Q195*0.00899%</f>
        <v>40.73305943</v>
      </c>
      <c r="J195" s="51">
        <f t="shared" si="136"/>
        <v>25</v>
      </c>
      <c r="K195" s="51">
        <f t="shared" ref="K195:L195" si="236">K194</f>
        <v>0</v>
      </c>
      <c r="L195" s="51">
        <f t="shared" si="236"/>
        <v>0</v>
      </c>
      <c r="M195" s="51">
        <f>SUM('AP01'!$F195:$L195)</f>
        <v>2417.928403</v>
      </c>
      <c r="N195" s="51">
        <f>O194*('AP01'!$P195-1)</f>
        <v>0</v>
      </c>
      <c r="O195" s="51">
        <f>(O194*'AP01'!$P195)-'AP01'!$G195</f>
        <v>161602.1549</v>
      </c>
      <c r="P195" s="53">
        <f t="shared" si="141"/>
        <v>1</v>
      </c>
      <c r="Q195" s="51">
        <f>(Q194*'AP01'!$P195)</f>
        <v>453092.9859</v>
      </c>
      <c r="R195" s="46">
        <f>DATEDIF($S$7,'AP01'!$B195,"Y")</f>
        <v>47</v>
      </c>
      <c r="S195" s="47">
        <f>VLOOKUP('AP01'!$R195,SEGUROS!$A:$B,2,TRUE)</f>
        <v>0.0005715</v>
      </c>
      <c r="T195" s="51">
        <f>('AP01'!$O195*'AP01'!$P195)*'AP01'!$S195</f>
        <v>92.35563154</v>
      </c>
      <c r="U195" s="51">
        <f>'AP01'!$Q195*0.00899%</f>
        <v>40.73305943</v>
      </c>
      <c r="V195" s="4"/>
      <c r="W195" s="4"/>
      <c r="X195" s="4"/>
      <c r="Y195" s="4"/>
      <c r="Z195" s="4"/>
    </row>
    <row r="196" ht="18.75" customHeight="1">
      <c r="A196" s="56">
        <f t="shared" si="4"/>
        <v>182</v>
      </c>
      <c r="B196" s="50">
        <f t="shared" si="8"/>
        <v>48781</v>
      </c>
      <c r="C196" s="58">
        <f t="shared" si="128"/>
        <v>0.1049</v>
      </c>
      <c r="D196" s="58">
        <f>((1+'AP01'!$C196)^(1/12))-1</f>
        <v>0.00834755088</v>
      </c>
      <c r="E196" s="51">
        <f t="shared" si="126"/>
        <v>2171.371183</v>
      </c>
      <c r="F196" s="51">
        <f>(O195*'AP01'!$P196)*'AP01'!$D196</f>
        <v>1348.98221</v>
      </c>
      <c r="G196" s="51">
        <f>(O195*'AP01'!$P196)/($I$5-A195)</f>
        <v>902.8053347</v>
      </c>
      <c r="H196" s="82">
        <f>(O195*'AP01'!$P196)*'AP01'!$S196</f>
        <v>92.35563154</v>
      </c>
      <c r="I196" s="82">
        <f>'AP01'!$Q196*0.00899%</f>
        <v>40.73305943</v>
      </c>
      <c r="J196" s="51">
        <f t="shared" si="136"/>
        <v>25</v>
      </c>
      <c r="K196" s="51">
        <f t="shared" ref="K196:L196" si="237">K195</f>
        <v>0</v>
      </c>
      <c r="L196" s="51">
        <f t="shared" si="237"/>
        <v>0</v>
      </c>
      <c r="M196" s="51">
        <f>SUM('AP01'!$F196:$L196)</f>
        <v>2409.876236</v>
      </c>
      <c r="N196" s="51">
        <f>O195*('AP01'!$P196-1)</f>
        <v>0</v>
      </c>
      <c r="O196" s="51">
        <f>(O195*'AP01'!$P196)-'AP01'!$G196</f>
        <v>160699.3496</v>
      </c>
      <c r="P196" s="53">
        <f t="shared" si="141"/>
        <v>1</v>
      </c>
      <c r="Q196" s="51">
        <f>(Q195*'AP01'!$P196)</f>
        <v>453092.9859</v>
      </c>
      <c r="R196" s="46">
        <f>DATEDIF($S$7,'AP01'!$B196,"Y")</f>
        <v>47</v>
      </c>
      <c r="S196" s="47">
        <f>VLOOKUP('AP01'!$R196,SEGUROS!$A:$B,2,TRUE)</f>
        <v>0.0005715</v>
      </c>
      <c r="T196" s="51">
        <f>('AP01'!$O196*'AP01'!$P196)*'AP01'!$S196</f>
        <v>91.83967829</v>
      </c>
      <c r="U196" s="51">
        <f>'AP01'!$Q196*0.00899%</f>
        <v>40.73305943</v>
      </c>
      <c r="V196" s="4"/>
      <c r="W196" s="4"/>
      <c r="X196" s="4"/>
      <c r="Y196" s="4"/>
      <c r="Z196" s="4"/>
    </row>
    <row r="197" ht="18.75" customHeight="1">
      <c r="A197" s="56">
        <f t="shared" si="4"/>
        <v>183</v>
      </c>
      <c r="B197" s="50">
        <f t="shared" si="8"/>
        <v>48812</v>
      </c>
      <c r="C197" s="58">
        <f t="shared" si="128"/>
        <v>0.1049</v>
      </c>
      <c r="D197" s="58">
        <f>((1+'AP01'!$C197)^(1/12))-1</f>
        <v>0.00834755088</v>
      </c>
      <c r="E197" s="51">
        <f t="shared" si="126"/>
        <v>2171.371183</v>
      </c>
      <c r="F197" s="51">
        <f>(O196*'AP01'!$P197)*'AP01'!$D197</f>
        <v>1341.445997</v>
      </c>
      <c r="G197" s="51">
        <f>(O196*'AP01'!$P197)/($I$5-A196)</f>
        <v>902.8053347</v>
      </c>
      <c r="H197" s="82">
        <f>(O196*'AP01'!$P197)*'AP01'!$S197</f>
        <v>91.83967829</v>
      </c>
      <c r="I197" s="82">
        <f>'AP01'!$Q197*0.00899%</f>
        <v>40.73305943</v>
      </c>
      <c r="J197" s="51">
        <f t="shared" si="136"/>
        <v>25</v>
      </c>
      <c r="K197" s="51">
        <f t="shared" ref="K197:L197" si="238">K196</f>
        <v>0</v>
      </c>
      <c r="L197" s="51">
        <f t="shared" si="238"/>
        <v>0</v>
      </c>
      <c r="M197" s="51">
        <f>SUM('AP01'!$F197:$L197)</f>
        <v>2401.824069</v>
      </c>
      <c r="N197" s="51">
        <f>O196*('AP01'!$P197-1)</f>
        <v>0</v>
      </c>
      <c r="O197" s="51">
        <f>(O196*'AP01'!$P197)-'AP01'!$G197</f>
        <v>159796.5442</v>
      </c>
      <c r="P197" s="53">
        <f t="shared" si="141"/>
        <v>1</v>
      </c>
      <c r="Q197" s="51">
        <f>(Q196*'AP01'!$P197)</f>
        <v>453092.9859</v>
      </c>
      <c r="R197" s="46">
        <f>DATEDIF($S$7,'AP01'!$B197,"Y")</f>
        <v>47</v>
      </c>
      <c r="S197" s="47">
        <f>VLOOKUP('AP01'!$R197,SEGUROS!$A:$B,2,TRUE)</f>
        <v>0.0005715</v>
      </c>
      <c r="T197" s="51">
        <f>('AP01'!$O197*'AP01'!$P197)*'AP01'!$S197</f>
        <v>91.32372504</v>
      </c>
      <c r="U197" s="51">
        <f>'AP01'!$Q197*0.00899%</f>
        <v>40.73305943</v>
      </c>
      <c r="V197" s="4"/>
      <c r="W197" s="4"/>
      <c r="X197" s="4"/>
      <c r="Y197" s="4"/>
      <c r="Z197" s="4"/>
    </row>
    <row r="198" ht="18.75" customHeight="1">
      <c r="A198" s="56">
        <f t="shared" si="4"/>
        <v>184</v>
      </c>
      <c r="B198" s="50">
        <f t="shared" si="8"/>
        <v>48843</v>
      </c>
      <c r="C198" s="58">
        <f t="shared" si="128"/>
        <v>0.1049</v>
      </c>
      <c r="D198" s="58">
        <f>((1+'AP01'!$C198)^(1/12))-1</f>
        <v>0.00834755088</v>
      </c>
      <c r="E198" s="51">
        <f t="shared" si="126"/>
        <v>2171.371183</v>
      </c>
      <c r="F198" s="51">
        <f>(O197*'AP01'!$P198)*'AP01'!$D198</f>
        <v>1333.909784</v>
      </c>
      <c r="G198" s="51">
        <f>(O197*'AP01'!$P198)/($I$5-A197)</f>
        <v>902.8053347</v>
      </c>
      <c r="H198" s="82">
        <f>(O197*'AP01'!$P198)*'AP01'!$S198</f>
        <v>91.32372504</v>
      </c>
      <c r="I198" s="82">
        <f>'AP01'!$Q198*0.00899%</f>
        <v>40.73305943</v>
      </c>
      <c r="J198" s="51">
        <f t="shared" si="136"/>
        <v>25</v>
      </c>
      <c r="K198" s="51">
        <f t="shared" ref="K198:L198" si="239">K197</f>
        <v>0</v>
      </c>
      <c r="L198" s="51">
        <f t="shared" si="239"/>
        <v>0</v>
      </c>
      <c r="M198" s="51">
        <f>SUM('AP01'!$F198:$L198)</f>
        <v>2393.771903</v>
      </c>
      <c r="N198" s="51">
        <f>O197*('AP01'!$P198-1)</f>
        <v>0</v>
      </c>
      <c r="O198" s="51">
        <f>(O197*'AP01'!$P198)-'AP01'!$G198</f>
        <v>158893.7389</v>
      </c>
      <c r="P198" s="53">
        <f t="shared" si="141"/>
        <v>1</v>
      </c>
      <c r="Q198" s="51">
        <f>(Q197*'AP01'!$P198)</f>
        <v>453092.9859</v>
      </c>
      <c r="R198" s="46">
        <f>DATEDIF($S$7,'AP01'!$B198,"Y")</f>
        <v>47</v>
      </c>
      <c r="S198" s="47">
        <f>VLOOKUP('AP01'!$R198,SEGUROS!$A:$B,2,TRUE)</f>
        <v>0.0005715</v>
      </c>
      <c r="T198" s="51">
        <f>('AP01'!$O198*'AP01'!$P198)*'AP01'!$S198</f>
        <v>90.80777179</v>
      </c>
      <c r="U198" s="51">
        <f>'AP01'!$Q198*0.00899%</f>
        <v>40.73305943</v>
      </c>
      <c r="V198" s="4"/>
      <c r="W198" s="4"/>
      <c r="X198" s="4"/>
      <c r="Y198" s="4"/>
      <c r="Z198" s="4"/>
    </row>
    <row r="199" ht="18.75" customHeight="1">
      <c r="A199" s="56">
        <f t="shared" si="4"/>
        <v>185</v>
      </c>
      <c r="B199" s="50">
        <f t="shared" si="8"/>
        <v>48873</v>
      </c>
      <c r="C199" s="58">
        <f t="shared" si="128"/>
        <v>0.1049</v>
      </c>
      <c r="D199" s="58">
        <f>((1+'AP01'!$C199)^(1/12))-1</f>
        <v>0.00834755088</v>
      </c>
      <c r="E199" s="51">
        <f t="shared" si="126"/>
        <v>2171.371183</v>
      </c>
      <c r="F199" s="51">
        <f>(O198*'AP01'!$P199)*'AP01'!$D199</f>
        <v>1326.37357</v>
      </c>
      <c r="G199" s="51">
        <f>(O198*'AP01'!$P199)/($I$5-A198)</f>
        <v>902.8053347</v>
      </c>
      <c r="H199" s="82">
        <f>(O198*'AP01'!$P199)*'AP01'!$S199</f>
        <v>90.80777179</v>
      </c>
      <c r="I199" s="82">
        <f>'AP01'!$Q199*0.00899%</f>
        <v>40.73305943</v>
      </c>
      <c r="J199" s="51">
        <f t="shared" si="136"/>
        <v>25</v>
      </c>
      <c r="K199" s="51">
        <f t="shared" ref="K199:L199" si="240">K198</f>
        <v>0</v>
      </c>
      <c r="L199" s="51">
        <f t="shared" si="240"/>
        <v>0</v>
      </c>
      <c r="M199" s="51">
        <f>SUM('AP01'!$F199:$L199)</f>
        <v>2385.719736</v>
      </c>
      <c r="N199" s="51">
        <f>O198*('AP01'!$P199-1)</f>
        <v>0</v>
      </c>
      <c r="O199" s="51">
        <f>(O198*'AP01'!$P199)-'AP01'!$G199</f>
        <v>157990.9336</v>
      </c>
      <c r="P199" s="53">
        <f t="shared" si="141"/>
        <v>1</v>
      </c>
      <c r="Q199" s="51">
        <f>(Q198*'AP01'!$P199)</f>
        <v>453092.9859</v>
      </c>
      <c r="R199" s="46">
        <f>DATEDIF($S$7,'AP01'!$B199,"Y")</f>
        <v>47</v>
      </c>
      <c r="S199" s="47">
        <f>VLOOKUP('AP01'!$R199,SEGUROS!$A:$B,2,TRUE)</f>
        <v>0.0005715</v>
      </c>
      <c r="T199" s="51">
        <f>('AP01'!$O199*'AP01'!$P199)*'AP01'!$S199</f>
        <v>90.29181854</v>
      </c>
      <c r="U199" s="51">
        <f>'AP01'!$Q199*0.00899%</f>
        <v>40.73305943</v>
      </c>
      <c r="V199" s="4"/>
      <c r="W199" s="4"/>
      <c r="X199" s="4"/>
      <c r="Y199" s="4"/>
      <c r="Z199" s="4"/>
    </row>
    <row r="200" ht="18.75" customHeight="1">
      <c r="A200" s="56">
        <f t="shared" si="4"/>
        <v>186</v>
      </c>
      <c r="B200" s="50">
        <f t="shared" si="8"/>
        <v>48904</v>
      </c>
      <c r="C200" s="58">
        <f t="shared" si="128"/>
        <v>0.1049</v>
      </c>
      <c r="D200" s="58">
        <f>((1+'AP01'!$C200)^(1/12))-1</f>
        <v>0.00834755088</v>
      </c>
      <c r="E200" s="51">
        <f t="shared" si="126"/>
        <v>2171.371183</v>
      </c>
      <c r="F200" s="51">
        <f>(O199*'AP01'!$P200)*'AP01'!$D200</f>
        <v>1318.837357</v>
      </c>
      <c r="G200" s="51">
        <f>(O199*'AP01'!$P200)/($I$5-A199)</f>
        <v>902.8053347</v>
      </c>
      <c r="H200" s="82">
        <f>(O199*'AP01'!$P200)*'AP01'!$S200</f>
        <v>90.29181854</v>
      </c>
      <c r="I200" s="82">
        <f>'AP01'!$Q200*0.00899%</f>
        <v>40.73305943</v>
      </c>
      <c r="J200" s="51">
        <f t="shared" si="136"/>
        <v>25</v>
      </c>
      <c r="K200" s="51">
        <f t="shared" ref="K200:L200" si="241">K199</f>
        <v>0</v>
      </c>
      <c r="L200" s="51">
        <f t="shared" si="241"/>
        <v>0</v>
      </c>
      <c r="M200" s="51">
        <f>SUM('AP01'!$F200:$L200)</f>
        <v>2377.667569</v>
      </c>
      <c r="N200" s="51">
        <f>O199*('AP01'!$P200-1)</f>
        <v>0</v>
      </c>
      <c r="O200" s="51">
        <f>(O199*'AP01'!$P200)-'AP01'!$G200</f>
        <v>157088.1282</v>
      </c>
      <c r="P200" s="53">
        <f t="shared" si="141"/>
        <v>1</v>
      </c>
      <c r="Q200" s="51">
        <f>(Q199*'AP01'!$P200)</f>
        <v>453092.9859</v>
      </c>
      <c r="R200" s="46">
        <f>DATEDIF($S$7,'AP01'!$B200,"Y")</f>
        <v>47</v>
      </c>
      <c r="S200" s="47">
        <f>VLOOKUP('AP01'!$R200,SEGUROS!$A:$B,2,TRUE)</f>
        <v>0.0005715</v>
      </c>
      <c r="T200" s="51">
        <f>('AP01'!$O200*'AP01'!$P200)*'AP01'!$S200</f>
        <v>89.77586529</v>
      </c>
      <c r="U200" s="51">
        <f>'AP01'!$Q200*0.00899%</f>
        <v>40.73305943</v>
      </c>
      <c r="V200" s="4"/>
      <c r="W200" s="4"/>
      <c r="X200" s="4"/>
      <c r="Y200" s="4"/>
      <c r="Z200" s="4"/>
    </row>
    <row r="201" ht="18.75" customHeight="1">
      <c r="A201" s="56">
        <f t="shared" si="4"/>
        <v>187</v>
      </c>
      <c r="B201" s="50">
        <f t="shared" si="8"/>
        <v>48934</v>
      </c>
      <c r="C201" s="58">
        <f t="shared" si="128"/>
        <v>0.1049</v>
      </c>
      <c r="D201" s="58">
        <f>((1+'AP01'!$C201)^(1/12))-1</f>
        <v>0.00834755088</v>
      </c>
      <c r="E201" s="51">
        <f t="shared" si="126"/>
        <v>2171.371183</v>
      </c>
      <c r="F201" s="51">
        <f>(O200*'AP01'!$P201)*'AP01'!$D201</f>
        <v>1311.301143</v>
      </c>
      <c r="G201" s="51">
        <f>(O200*'AP01'!$P201)/($I$5-A200)</f>
        <v>902.8053347</v>
      </c>
      <c r="H201" s="82">
        <f>(O200*'AP01'!$P201)*'AP01'!$S201</f>
        <v>99.27969705</v>
      </c>
      <c r="I201" s="82">
        <f>'AP01'!$Q201*0.00899%</f>
        <v>40.73305943</v>
      </c>
      <c r="J201" s="51">
        <f t="shared" si="136"/>
        <v>25</v>
      </c>
      <c r="K201" s="51">
        <f t="shared" ref="K201:L201" si="242">K200</f>
        <v>0</v>
      </c>
      <c r="L201" s="51">
        <f t="shared" si="242"/>
        <v>0</v>
      </c>
      <c r="M201" s="51">
        <f>SUM('AP01'!$F201:$L201)</f>
        <v>2379.119234</v>
      </c>
      <c r="N201" s="51">
        <f>O200*('AP01'!$P201-1)</f>
        <v>0</v>
      </c>
      <c r="O201" s="51">
        <f>(O200*'AP01'!$P201)-'AP01'!$G201</f>
        <v>156185.3229</v>
      </c>
      <c r="P201" s="53">
        <f t="shared" si="141"/>
        <v>1</v>
      </c>
      <c r="Q201" s="51">
        <f>(Q200*'AP01'!$P201)</f>
        <v>453092.9859</v>
      </c>
      <c r="R201" s="46">
        <f>DATEDIF($S$7,'AP01'!$B201,"Y")</f>
        <v>48</v>
      </c>
      <c r="S201" s="47">
        <f>VLOOKUP('AP01'!$R201,SEGUROS!$A:$B,2,TRUE)</f>
        <v>0.000632</v>
      </c>
      <c r="T201" s="51">
        <f>('AP01'!$O201*'AP01'!$P201)*'AP01'!$S201</f>
        <v>98.70912408</v>
      </c>
      <c r="U201" s="51">
        <f>'AP01'!$Q201*0.00899%</f>
        <v>40.73305943</v>
      </c>
      <c r="V201" s="4"/>
      <c r="W201" s="4"/>
      <c r="X201" s="4"/>
      <c r="Y201" s="4"/>
      <c r="Z201" s="4"/>
    </row>
    <row r="202" ht="18.75" customHeight="1">
      <c r="A202" s="56">
        <f t="shared" si="4"/>
        <v>188</v>
      </c>
      <c r="B202" s="50">
        <f t="shared" si="8"/>
        <v>48965</v>
      </c>
      <c r="C202" s="58">
        <f t="shared" si="128"/>
        <v>0.1049</v>
      </c>
      <c r="D202" s="58">
        <f>((1+'AP01'!$C202)^(1/12))-1</f>
        <v>0.00834755088</v>
      </c>
      <c r="E202" s="51">
        <f t="shared" si="126"/>
        <v>2171.371183</v>
      </c>
      <c r="F202" s="51">
        <f>(O201*'AP01'!$P202)*'AP01'!$D202</f>
        <v>1303.76493</v>
      </c>
      <c r="G202" s="51">
        <f>(O201*'AP01'!$P202)/($I$5-A201)</f>
        <v>902.8053347</v>
      </c>
      <c r="H202" s="82">
        <f>(O201*'AP01'!$P202)*'AP01'!$S202</f>
        <v>98.70912408</v>
      </c>
      <c r="I202" s="82">
        <f>'AP01'!$Q202*0.00899%</f>
        <v>40.73305943</v>
      </c>
      <c r="J202" s="51">
        <f t="shared" si="136"/>
        <v>25</v>
      </c>
      <c r="K202" s="51">
        <f t="shared" ref="K202:L202" si="243">K201</f>
        <v>0</v>
      </c>
      <c r="L202" s="51">
        <f t="shared" si="243"/>
        <v>0</v>
      </c>
      <c r="M202" s="51">
        <f>SUM('AP01'!$F202:$L202)</f>
        <v>2371.012448</v>
      </c>
      <c r="N202" s="51">
        <f>O201*('AP01'!$P202-1)</f>
        <v>0</v>
      </c>
      <c r="O202" s="51">
        <f>(O201*'AP01'!$P202)-'AP01'!$G202</f>
        <v>155282.5176</v>
      </c>
      <c r="P202" s="53">
        <f t="shared" si="141"/>
        <v>1</v>
      </c>
      <c r="Q202" s="51">
        <f>(Q201*'AP01'!$P202)</f>
        <v>453092.9859</v>
      </c>
      <c r="R202" s="46">
        <f>DATEDIF($S$7,'AP01'!$B202,"Y")</f>
        <v>48</v>
      </c>
      <c r="S202" s="47">
        <f>VLOOKUP('AP01'!$R202,SEGUROS!$A:$B,2,TRUE)</f>
        <v>0.000632</v>
      </c>
      <c r="T202" s="51">
        <f>('AP01'!$O202*'AP01'!$P202)*'AP01'!$S202</f>
        <v>98.13855111</v>
      </c>
      <c r="U202" s="51">
        <f>'AP01'!$Q202*0.00899%</f>
        <v>40.73305943</v>
      </c>
      <c r="V202" s="4"/>
      <c r="W202" s="4"/>
      <c r="X202" s="4"/>
      <c r="Y202" s="4"/>
      <c r="Z202" s="4"/>
    </row>
    <row r="203" ht="18.75" customHeight="1">
      <c r="A203" s="56">
        <f t="shared" si="4"/>
        <v>189</v>
      </c>
      <c r="B203" s="50">
        <f t="shared" si="8"/>
        <v>48996</v>
      </c>
      <c r="C203" s="58">
        <f t="shared" si="128"/>
        <v>0.1049</v>
      </c>
      <c r="D203" s="58">
        <f>((1+'AP01'!$C203)^(1/12))-1</f>
        <v>0.00834755088</v>
      </c>
      <c r="E203" s="51">
        <f t="shared" si="126"/>
        <v>2171.371183</v>
      </c>
      <c r="F203" s="51">
        <f>(O202*'AP01'!$P203)*'AP01'!$D203</f>
        <v>1296.228716</v>
      </c>
      <c r="G203" s="51">
        <f>(O202*'AP01'!$P203)/($I$5-A202)</f>
        <v>902.8053347</v>
      </c>
      <c r="H203" s="82">
        <f>(O202*'AP01'!$P203)*'AP01'!$S203</f>
        <v>98.13855111</v>
      </c>
      <c r="I203" s="82">
        <f>'AP01'!$Q203*0.00899%</f>
        <v>40.73305943</v>
      </c>
      <c r="J203" s="51">
        <f t="shared" si="136"/>
        <v>25</v>
      </c>
      <c r="K203" s="51">
        <f t="shared" ref="K203:L203" si="244">K202</f>
        <v>0</v>
      </c>
      <c r="L203" s="51">
        <f t="shared" si="244"/>
        <v>0</v>
      </c>
      <c r="M203" s="51">
        <f>SUM('AP01'!$F203:$L203)</f>
        <v>2362.905661</v>
      </c>
      <c r="N203" s="51">
        <f>O202*('AP01'!$P203-1)</f>
        <v>0</v>
      </c>
      <c r="O203" s="51">
        <f>(O202*'AP01'!$P203)-'AP01'!$G203</f>
        <v>154379.7122</v>
      </c>
      <c r="P203" s="53">
        <f t="shared" si="141"/>
        <v>1</v>
      </c>
      <c r="Q203" s="51">
        <f>(Q202*'AP01'!$P203)</f>
        <v>453092.9859</v>
      </c>
      <c r="R203" s="46">
        <f>DATEDIF($S$7,'AP01'!$B203,"Y")</f>
        <v>48</v>
      </c>
      <c r="S203" s="47">
        <f>VLOOKUP('AP01'!$R203,SEGUROS!$A:$B,2,TRUE)</f>
        <v>0.000632</v>
      </c>
      <c r="T203" s="51">
        <f>('AP01'!$O203*'AP01'!$P203)*'AP01'!$S203</f>
        <v>97.56797814</v>
      </c>
      <c r="U203" s="51">
        <f>'AP01'!$Q203*0.00899%</f>
        <v>40.73305943</v>
      </c>
      <c r="V203" s="4"/>
      <c r="W203" s="4"/>
      <c r="X203" s="4"/>
      <c r="Y203" s="4"/>
      <c r="Z203" s="4"/>
    </row>
    <row r="204" ht="18.75" customHeight="1">
      <c r="A204" s="56">
        <f t="shared" si="4"/>
        <v>190</v>
      </c>
      <c r="B204" s="50">
        <f t="shared" si="8"/>
        <v>49024</v>
      </c>
      <c r="C204" s="58">
        <f t="shared" si="128"/>
        <v>0.1049</v>
      </c>
      <c r="D204" s="58">
        <f>((1+'AP01'!$C204)^(1/12))-1</f>
        <v>0.00834755088</v>
      </c>
      <c r="E204" s="51">
        <f t="shared" si="126"/>
        <v>2171.371183</v>
      </c>
      <c r="F204" s="51">
        <f>(O203*'AP01'!$P204)*'AP01'!$D204</f>
        <v>1288.692503</v>
      </c>
      <c r="G204" s="51">
        <f>(O203*'AP01'!$P204)/($I$5-A203)</f>
        <v>902.8053347</v>
      </c>
      <c r="H204" s="82">
        <f>(O203*'AP01'!$P204)*'AP01'!$S204</f>
        <v>97.56797814</v>
      </c>
      <c r="I204" s="82">
        <f>'AP01'!$Q204*0.00899%</f>
        <v>40.73305943</v>
      </c>
      <c r="J204" s="51">
        <f t="shared" si="136"/>
        <v>25</v>
      </c>
      <c r="K204" s="51">
        <f t="shared" ref="K204:L204" si="245">K203</f>
        <v>0</v>
      </c>
      <c r="L204" s="51">
        <f t="shared" si="245"/>
        <v>0</v>
      </c>
      <c r="M204" s="51">
        <f>SUM('AP01'!$F204:$L204)</f>
        <v>2354.798875</v>
      </c>
      <c r="N204" s="51">
        <f>O203*('AP01'!$P204-1)</f>
        <v>0</v>
      </c>
      <c r="O204" s="51">
        <f>(O203*'AP01'!$P204)-'AP01'!$G204</f>
        <v>153476.9069</v>
      </c>
      <c r="P204" s="53">
        <f t="shared" si="141"/>
        <v>1</v>
      </c>
      <c r="Q204" s="51">
        <f>(Q203*'AP01'!$P204)</f>
        <v>453092.9859</v>
      </c>
      <c r="R204" s="46">
        <f>DATEDIF($S$7,'AP01'!$B204,"Y")</f>
        <v>48</v>
      </c>
      <c r="S204" s="47">
        <f>VLOOKUP('AP01'!$R204,SEGUROS!$A:$B,2,TRUE)</f>
        <v>0.000632</v>
      </c>
      <c r="T204" s="51">
        <f>('AP01'!$O204*'AP01'!$P204)*'AP01'!$S204</f>
        <v>96.99740516</v>
      </c>
      <c r="U204" s="51">
        <f>'AP01'!$Q204*0.00899%</f>
        <v>40.73305943</v>
      </c>
      <c r="V204" s="4"/>
      <c r="W204" s="4"/>
      <c r="X204" s="4"/>
      <c r="Y204" s="4"/>
      <c r="Z204" s="4"/>
    </row>
    <row r="205" ht="18.75" customHeight="1">
      <c r="A205" s="56">
        <f t="shared" si="4"/>
        <v>191</v>
      </c>
      <c r="B205" s="50">
        <f t="shared" si="8"/>
        <v>49055</v>
      </c>
      <c r="C205" s="58">
        <f t="shared" si="128"/>
        <v>0.1049</v>
      </c>
      <c r="D205" s="58">
        <f>((1+'AP01'!$C205)^(1/12))-1</f>
        <v>0.00834755088</v>
      </c>
      <c r="E205" s="51">
        <f t="shared" si="126"/>
        <v>2171.371183</v>
      </c>
      <c r="F205" s="51">
        <f>(O204*'AP01'!$P205)*'AP01'!$D205</f>
        <v>1281.156289</v>
      </c>
      <c r="G205" s="51">
        <f>(O204*'AP01'!$P205)/($I$5-A204)</f>
        <v>902.8053347</v>
      </c>
      <c r="H205" s="82">
        <f>(O204*'AP01'!$P205)*'AP01'!$S205</f>
        <v>96.99740516</v>
      </c>
      <c r="I205" s="82">
        <f>'AP01'!$Q205*0.00899%</f>
        <v>40.73305943</v>
      </c>
      <c r="J205" s="51">
        <f t="shared" si="136"/>
        <v>25</v>
      </c>
      <c r="K205" s="51">
        <f t="shared" ref="K205:L205" si="246">K204</f>
        <v>0</v>
      </c>
      <c r="L205" s="51">
        <f t="shared" si="246"/>
        <v>0</v>
      </c>
      <c r="M205" s="51">
        <f>SUM('AP01'!$F205:$L205)</f>
        <v>2346.692089</v>
      </c>
      <c r="N205" s="51">
        <f>O204*('AP01'!$P205-1)</f>
        <v>0</v>
      </c>
      <c r="O205" s="51">
        <f>(O204*'AP01'!$P205)-'AP01'!$G205</f>
        <v>152574.1016</v>
      </c>
      <c r="P205" s="53">
        <f t="shared" si="141"/>
        <v>1</v>
      </c>
      <c r="Q205" s="51">
        <f>(Q204*'AP01'!$P205)</f>
        <v>453092.9859</v>
      </c>
      <c r="R205" s="46">
        <f>DATEDIF($S$7,'AP01'!$B205,"Y")</f>
        <v>48</v>
      </c>
      <c r="S205" s="47">
        <f>VLOOKUP('AP01'!$R205,SEGUROS!$A:$B,2,TRUE)</f>
        <v>0.000632</v>
      </c>
      <c r="T205" s="51">
        <f>('AP01'!$O205*'AP01'!$P205)*'AP01'!$S205</f>
        <v>96.42683219</v>
      </c>
      <c r="U205" s="51">
        <f>'AP01'!$Q205*0.00899%</f>
        <v>40.73305943</v>
      </c>
      <c r="V205" s="4"/>
      <c r="W205" s="4"/>
      <c r="X205" s="4"/>
      <c r="Y205" s="4"/>
      <c r="Z205" s="4"/>
    </row>
    <row r="206" ht="18.75" customHeight="1">
      <c r="A206" s="56">
        <f t="shared" si="4"/>
        <v>192</v>
      </c>
      <c r="B206" s="50">
        <f t="shared" si="8"/>
        <v>49085</v>
      </c>
      <c r="C206" s="58">
        <f t="shared" si="128"/>
        <v>0.1049</v>
      </c>
      <c r="D206" s="58">
        <f>((1+'AP01'!$C206)^(1/12))-1</f>
        <v>0.00834755088</v>
      </c>
      <c r="E206" s="51">
        <f t="shared" si="126"/>
        <v>2171.371183</v>
      </c>
      <c r="F206" s="51">
        <f>(O205*'AP01'!$P206)*'AP01'!$D206</f>
        <v>1273.620076</v>
      </c>
      <c r="G206" s="51">
        <f>(O205*'AP01'!$P206)/($I$5-A205)</f>
        <v>902.8053347</v>
      </c>
      <c r="H206" s="82">
        <f>(O205*'AP01'!$P206)*'AP01'!$S206</f>
        <v>96.42683219</v>
      </c>
      <c r="I206" s="82">
        <f>'AP01'!$Q206*0.00899%</f>
        <v>40.73305943</v>
      </c>
      <c r="J206" s="51">
        <f t="shared" si="136"/>
        <v>25</v>
      </c>
      <c r="K206" s="51">
        <f t="shared" ref="K206:L206" si="247">K205</f>
        <v>0</v>
      </c>
      <c r="L206" s="51">
        <f t="shared" si="247"/>
        <v>0</v>
      </c>
      <c r="M206" s="51">
        <f>SUM('AP01'!$F206:$L206)</f>
        <v>2338.585302</v>
      </c>
      <c r="N206" s="51">
        <f>O205*('AP01'!$P206-1)</f>
        <v>0</v>
      </c>
      <c r="O206" s="51">
        <f>(O205*'AP01'!$P206)-'AP01'!$G206</f>
        <v>151671.2962</v>
      </c>
      <c r="P206" s="53">
        <f t="shared" si="141"/>
        <v>1</v>
      </c>
      <c r="Q206" s="51">
        <f>(Q205*'AP01'!$P206)</f>
        <v>453092.9859</v>
      </c>
      <c r="R206" s="46">
        <f>DATEDIF($S$7,'AP01'!$B206,"Y")</f>
        <v>48</v>
      </c>
      <c r="S206" s="47">
        <f>VLOOKUP('AP01'!$R206,SEGUROS!$A:$B,2,TRUE)</f>
        <v>0.000632</v>
      </c>
      <c r="T206" s="51">
        <f>('AP01'!$O206*'AP01'!$P206)*'AP01'!$S206</f>
        <v>95.85625922</v>
      </c>
      <c r="U206" s="51">
        <f>'AP01'!$Q206*0.00899%</f>
        <v>40.73305943</v>
      </c>
      <c r="V206" s="4"/>
      <c r="W206" s="4"/>
      <c r="X206" s="4"/>
      <c r="Y206" s="4"/>
      <c r="Z206" s="4"/>
    </row>
    <row r="207" ht="18.75" customHeight="1">
      <c r="A207" s="56">
        <f t="shared" si="4"/>
        <v>193</v>
      </c>
      <c r="B207" s="50">
        <f t="shared" si="8"/>
        <v>49116</v>
      </c>
      <c r="C207" s="58">
        <f t="shared" si="128"/>
        <v>0.1049</v>
      </c>
      <c r="D207" s="58">
        <f>((1+'AP01'!$C207)^(1/12))-1</f>
        <v>0.00834755088</v>
      </c>
      <c r="E207" s="51">
        <f t="shared" si="126"/>
        <v>2171.371183</v>
      </c>
      <c r="F207" s="51">
        <f>(O206*'AP01'!$P207)*'AP01'!$D207</f>
        <v>1266.083862</v>
      </c>
      <c r="G207" s="51">
        <f>(O206*'AP01'!$P207)/($I$5-A206)</f>
        <v>902.8053347</v>
      </c>
      <c r="H207" s="82">
        <f>(O206*'AP01'!$P207)*'AP01'!$S207</f>
        <v>95.85625922</v>
      </c>
      <c r="I207" s="82">
        <f>'AP01'!$Q207*0.00899%</f>
        <v>40.73305943</v>
      </c>
      <c r="J207" s="51">
        <f t="shared" si="136"/>
        <v>25</v>
      </c>
      <c r="K207" s="51">
        <f t="shared" ref="K207:L207" si="248">K206</f>
        <v>0</v>
      </c>
      <c r="L207" s="51">
        <f t="shared" si="248"/>
        <v>0</v>
      </c>
      <c r="M207" s="51">
        <f>SUM('AP01'!$F207:$L207)</f>
        <v>2330.478516</v>
      </c>
      <c r="N207" s="51">
        <f>O206*('AP01'!$P207-1)</f>
        <v>0</v>
      </c>
      <c r="O207" s="51">
        <f>(O206*'AP01'!$P207)-'AP01'!$G207</f>
        <v>150768.4909</v>
      </c>
      <c r="P207" s="53">
        <f t="shared" si="141"/>
        <v>1</v>
      </c>
      <c r="Q207" s="51">
        <f>(Q206*'AP01'!$P207)</f>
        <v>453092.9859</v>
      </c>
      <c r="R207" s="46">
        <f>DATEDIF($S$7,'AP01'!$B207,"Y")</f>
        <v>48</v>
      </c>
      <c r="S207" s="47">
        <f>VLOOKUP('AP01'!$R207,SEGUROS!$A:$B,2,TRUE)</f>
        <v>0.000632</v>
      </c>
      <c r="T207" s="51">
        <f>('AP01'!$O207*'AP01'!$P207)*'AP01'!$S207</f>
        <v>95.28568625</v>
      </c>
      <c r="U207" s="51">
        <f>'AP01'!$Q207*0.00899%</f>
        <v>40.73305943</v>
      </c>
      <c r="V207" s="4"/>
      <c r="W207" s="4"/>
      <c r="X207" s="4"/>
      <c r="Y207" s="4"/>
      <c r="Z207" s="4"/>
    </row>
    <row r="208" ht="18.75" customHeight="1">
      <c r="A208" s="56">
        <f t="shared" si="4"/>
        <v>194</v>
      </c>
      <c r="B208" s="50">
        <f t="shared" si="8"/>
        <v>49146</v>
      </c>
      <c r="C208" s="58">
        <f t="shared" si="128"/>
        <v>0.1049</v>
      </c>
      <c r="D208" s="58">
        <f>((1+'AP01'!$C208)^(1/12))-1</f>
        <v>0.00834755088</v>
      </c>
      <c r="E208" s="51">
        <f t="shared" si="126"/>
        <v>2171.371183</v>
      </c>
      <c r="F208" s="51">
        <f>(O207*'AP01'!$P208)*'AP01'!$D208</f>
        <v>1258.547649</v>
      </c>
      <c r="G208" s="51">
        <f>(O207*'AP01'!$P208)/($I$5-A207)</f>
        <v>902.8053347</v>
      </c>
      <c r="H208" s="82">
        <f>(O207*'AP01'!$P208)*'AP01'!$S208</f>
        <v>95.28568625</v>
      </c>
      <c r="I208" s="82">
        <f>'AP01'!$Q208*0.00899%</f>
        <v>40.73305943</v>
      </c>
      <c r="J208" s="51">
        <f t="shared" si="136"/>
        <v>25</v>
      </c>
      <c r="K208" s="51">
        <f t="shared" ref="K208:L208" si="249">K207</f>
        <v>0</v>
      </c>
      <c r="L208" s="51">
        <f t="shared" si="249"/>
        <v>0</v>
      </c>
      <c r="M208" s="51">
        <f>SUM('AP01'!$F208:$L208)</f>
        <v>2322.371729</v>
      </c>
      <c r="N208" s="51">
        <f>O207*('AP01'!$P208-1)</f>
        <v>0</v>
      </c>
      <c r="O208" s="51">
        <f>(O207*'AP01'!$P208)-'AP01'!$G208</f>
        <v>149865.6856</v>
      </c>
      <c r="P208" s="53">
        <f t="shared" si="141"/>
        <v>1</v>
      </c>
      <c r="Q208" s="51">
        <f>(Q207*'AP01'!$P208)</f>
        <v>453092.9859</v>
      </c>
      <c r="R208" s="46">
        <f>DATEDIF($S$7,'AP01'!$B208,"Y")</f>
        <v>48</v>
      </c>
      <c r="S208" s="47">
        <f>VLOOKUP('AP01'!$R208,SEGUROS!$A:$B,2,TRUE)</f>
        <v>0.000632</v>
      </c>
      <c r="T208" s="51">
        <f>('AP01'!$O208*'AP01'!$P208)*'AP01'!$S208</f>
        <v>94.71511328</v>
      </c>
      <c r="U208" s="51">
        <f>'AP01'!$Q208*0.00899%</f>
        <v>40.73305943</v>
      </c>
      <c r="V208" s="4"/>
      <c r="W208" s="4"/>
      <c r="X208" s="4"/>
      <c r="Y208" s="4"/>
      <c r="Z208" s="4"/>
    </row>
    <row r="209" ht="18.75" customHeight="1">
      <c r="A209" s="56">
        <f t="shared" si="4"/>
        <v>195</v>
      </c>
      <c r="B209" s="50">
        <f t="shared" si="8"/>
        <v>49177</v>
      </c>
      <c r="C209" s="58">
        <f t="shared" si="128"/>
        <v>0.1049</v>
      </c>
      <c r="D209" s="58">
        <f>((1+'AP01'!$C209)^(1/12))-1</f>
        <v>0.00834755088</v>
      </c>
      <c r="E209" s="51">
        <f t="shared" si="126"/>
        <v>2171.371183</v>
      </c>
      <c r="F209" s="51">
        <f>(O208*'AP01'!$P209)*'AP01'!$D209</f>
        <v>1251.011435</v>
      </c>
      <c r="G209" s="51">
        <f>(O208*'AP01'!$P209)/($I$5-A208)</f>
        <v>902.8053347</v>
      </c>
      <c r="H209" s="82">
        <f>(O208*'AP01'!$P209)*'AP01'!$S209</f>
        <v>94.71511328</v>
      </c>
      <c r="I209" s="82">
        <f>'AP01'!$Q209*0.00899%</f>
        <v>40.73305943</v>
      </c>
      <c r="J209" s="51">
        <f t="shared" si="136"/>
        <v>25</v>
      </c>
      <c r="K209" s="51">
        <f t="shared" ref="K209:L209" si="250">K208</f>
        <v>0</v>
      </c>
      <c r="L209" s="51">
        <f t="shared" si="250"/>
        <v>0</v>
      </c>
      <c r="M209" s="51">
        <f>SUM('AP01'!$F209:$L209)</f>
        <v>2314.264943</v>
      </c>
      <c r="N209" s="51">
        <f>O208*('AP01'!$P209-1)</f>
        <v>0</v>
      </c>
      <c r="O209" s="51">
        <f>(O208*'AP01'!$P209)-'AP01'!$G209</f>
        <v>148962.8802</v>
      </c>
      <c r="P209" s="53">
        <f t="shared" si="141"/>
        <v>1</v>
      </c>
      <c r="Q209" s="51">
        <f>(Q208*'AP01'!$P209)</f>
        <v>453092.9859</v>
      </c>
      <c r="R209" s="46">
        <f>DATEDIF($S$7,'AP01'!$B209,"Y")</f>
        <v>48</v>
      </c>
      <c r="S209" s="47">
        <f>VLOOKUP('AP01'!$R209,SEGUROS!$A:$B,2,TRUE)</f>
        <v>0.000632</v>
      </c>
      <c r="T209" s="51">
        <f>('AP01'!$O209*'AP01'!$P209)*'AP01'!$S209</f>
        <v>94.14454031</v>
      </c>
      <c r="U209" s="51">
        <f>'AP01'!$Q209*0.00899%</f>
        <v>40.73305943</v>
      </c>
      <c r="V209" s="4"/>
      <c r="W209" s="4"/>
      <c r="X209" s="4"/>
      <c r="Y209" s="4"/>
      <c r="Z209" s="4"/>
    </row>
    <row r="210" ht="18.75" customHeight="1">
      <c r="A210" s="56">
        <f t="shared" si="4"/>
        <v>196</v>
      </c>
      <c r="B210" s="50">
        <f t="shared" si="8"/>
        <v>49208</v>
      </c>
      <c r="C210" s="58">
        <f t="shared" si="128"/>
        <v>0.1049</v>
      </c>
      <c r="D210" s="58">
        <f>((1+'AP01'!$C210)^(1/12))-1</f>
        <v>0.00834755088</v>
      </c>
      <c r="E210" s="51">
        <f t="shared" si="126"/>
        <v>2171.371183</v>
      </c>
      <c r="F210" s="51">
        <f>(O209*'AP01'!$P210)*'AP01'!$D210</f>
        <v>1243.475222</v>
      </c>
      <c r="G210" s="51">
        <f>(O209*'AP01'!$P210)/($I$5-A209)</f>
        <v>902.8053347</v>
      </c>
      <c r="H210" s="82">
        <f>(O209*'AP01'!$P210)*'AP01'!$S210</f>
        <v>94.14454031</v>
      </c>
      <c r="I210" s="82">
        <f>'AP01'!$Q210*0.00899%</f>
        <v>40.73305943</v>
      </c>
      <c r="J210" s="51">
        <f t="shared" si="136"/>
        <v>25</v>
      </c>
      <c r="K210" s="51">
        <f t="shared" ref="K210:L210" si="251">K209</f>
        <v>0</v>
      </c>
      <c r="L210" s="51">
        <f t="shared" si="251"/>
        <v>0</v>
      </c>
      <c r="M210" s="51">
        <f>SUM('AP01'!$F210:$L210)</f>
        <v>2306.158156</v>
      </c>
      <c r="N210" s="51">
        <f>O209*('AP01'!$P210-1)</f>
        <v>0</v>
      </c>
      <c r="O210" s="51">
        <f>(O209*'AP01'!$P210)-'AP01'!$G210</f>
        <v>148060.0749</v>
      </c>
      <c r="P210" s="53">
        <f t="shared" si="141"/>
        <v>1</v>
      </c>
      <c r="Q210" s="51">
        <f>(Q209*'AP01'!$P210)</f>
        <v>453092.9859</v>
      </c>
      <c r="R210" s="46">
        <f>DATEDIF($S$7,'AP01'!$B210,"Y")</f>
        <v>48</v>
      </c>
      <c r="S210" s="47">
        <f>VLOOKUP('AP01'!$R210,SEGUROS!$A:$B,2,TRUE)</f>
        <v>0.000632</v>
      </c>
      <c r="T210" s="51">
        <f>('AP01'!$O210*'AP01'!$P210)*'AP01'!$S210</f>
        <v>93.57396733</v>
      </c>
      <c r="U210" s="51">
        <f>'AP01'!$Q210*0.00899%</f>
        <v>40.73305943</v>
      </c>
      <c r="V210" s="4"/>
      <c r="W210" s="4"/>
      <c r="X210" s="4"/>
      <c r="Y210" s="4"/>
      <c r="Z210" s="4"/>
    </row>
    <row r="211" ht="18.75" customHeight="1">
      <c r="A211" s="56">
        <f t="shared" si="4"/>
        <v>197</v>
      </c>
      <c r="B211" s="50">
        <f t="shared" si="8"/>
        <v>49238</v>
      </c>
      <c r="C211" s="58">
        <f t="shared" si="128"/>
        <v>0.1049</v>
      </c>
      <c r="D211" s="58">
        <f>((1+'AP01'!$C211)^(1/12))-1</f>
        <v>0.00834755088</v>
      </c>
      <c r="E211" s="51">
        <f t="shared" si="126"/>
        <v>2171.371183</v>
      </c>
      <c r="F211" s="51">
        <f>(O210*'AP01'!$P211)*'AP01'!$D211</f>
        <v>1235.939008</v>
      </c>
      <c r="G211" s="51">
        <f>(O210*'AP01'!$P211)/($I$5-A210)</f>
        <v>902.8053347</v>
      </c>
      <c r="H211" s="82">
        <f>(O210*'AP01'!$P211)*'AP01'!$S211</f>
        <v>93.57396733</v>
      </c>
      <c r="I211" s="82">
        <f>'AP01'!$Q211*0.00899%</f>
        <v>40.73305943</v>
      </c>
      <c r="J211" s="51">
        <f t="shared" si="136"/>
        <v>25</v>
      </c>
      <c r="K211" s="51">
        <f t="shared" ref="K211:L211" si="252">K210</f>
        <v>0</v>
      </c>
      <c r="L211" s="51">
        <f t="shared" si="252"/>
        <v>0</v>
      </c>
      <c r="M211" s="51">
        <f>SUM('AP01'!$F211:$L211)</f>
        <v>2298.05137</v>
      </c>
      <c r="N211" s="51">
        <f>O210*('AP01'!$P211-1)</f>
        <v>0</v>
      </c>
      <c r="O211" s="51">
        <f>(O210*'AP01'!$P211)-'AP01'!$G211</f>
        <v>147157.2696</v>
      </c>
      <c r="P211" s="53">
        <f t="shared" si="141"/>
        <v>1</v>
      </c>
      <c r="Q211" s="51">
        <f>(Q210*'AP01'!$P211)</f>
        <v>453092.9859</v>
      </c>
      <c r="R211" s="46">
        <f>DATEDIF($S$7,'AP01'!$B211,"Y")</f>
        <v>48</v>
      </c>
      <c r="S211" s="47">
        <f>VLOOKUP('AP01'!$R211,SEGUROS!$A:$B,2,TRUE)</f>
        <v>0.000632</v>
      </c>
      <c r="T211" s="51">
        <f>('AP01'!$O211*'AP01'!$P211)*'AP01'!$S211</f>
        <v>93.00339436</v>
      </c>
      <c r="U211" s="51">
        <f>'AP01'!$Q211*0.00899%</f>
        <v>40.73305943</v>
      </c>
      <c r="V211" s="4"/>
      <c r="W211" s="4"/>
      <c r="X211" s="4"/>
      <c r="Y211" s="4"/>
      <c r="Z211" s="4"/>
    </row>
    <row r="212" ht="18.75" customHeight="1">
      <c r="A212" s="56">
        <f t="shared" si="4"/>
        <v>198</v>
      </c>
      <c r="B212" s="50">
        <f t="shared" si="8"/>
        <v>49269</v>
      </c>
      <c r="C212" s="58">
        <f t="shared" si="128"/>
        <v>0.1049</v>
      </c>
      <c r="D212" s="58">
        <f>((1+'AP01'!$C212)^(1/12))-1</f>
        <v>0.00834755088</v>
      </c>
      <c r="E212" s="51">
        <f t="shared" si="126"/>
        <v>2171.371183</v>
      </c>
      <c r="F212" s="51">
        <f>(O211*'AP01'!$P212)*'AP01'!$D212</f>
        <v>1228.402795</v>
      </c>
      <c r="G212" s="51">
        <f>(O211*'AP01'!$P212)/($I$5-A211)</f>
        <v>902.8053347</v>
      </c>
      <c r="H212" s="82">
        <f>(O211*'AP01'!$P212)*'AP01'!$S212</f>
        <v>93.00339436</v>
      </c>
      <c r="I212" s="82">
        <f>'AP01'!$Q212*0.00899%</f>
        <v>40.73305943</v>
      </c>
      <c r="J212" s="51">
        <f t="shared" si="136"/>
        <v>25</v>
      </c>
      <c r="K212" s="51">
        <f t="shared" ref="K212:L212" si="253">K211</f>
        <v>0</v>
      </c>
      <c r="L212" s="51">
        <f t="shared" si="253"/>
        <v>0</v>
      </c>
      <c r="M212" s="51">
        <f>SUM('AP01'!$F212:$L212)</f>
        <v>2289.944584</v>
      </c>
      <c r="N212" s="51">
        <f>O211*('AP01'!$P212-1)</f>
        <v>0</v>
      </c>
      <c r="O212" s="51">
        <f>(O211*'AP01'!$P212)-'AP01'!$G212</f>
        <v>146254.4642</v>
      </c>
      <c r="P212" s="53">
        <f t="shared" si="141"/>
        <v>1</v>
      </c>
      <c r="Q212" s="51">
        <f>(Q211*'AP01'!$P212)</f>
        <v>453092.9859</v>
      </c>
      <c r="R212" s="46">
        <f>DATEDIF($S$7,'AP01'!$B212,"Y")</f>
        <v>48</v>
      </c>
      <c r="S212" s="47">
        <f>VLOOKUP('AP01'!$R212,SEGUROS!$A:$B,2,TRUE)</f>
        <v>0.000632</v>
      </c>
      <c r="T212" s="51">
        <f>('AP01'!$O212*'AP01'!$P212)*'AP01'!$S212</f>
        <v>92.43282139</v>
      </c>
      <c r="U212" s="51">
        <f>'AP01'!$Q212*0.00899%</f>
        <v>40.73305943</v>
      </c>
      <c r="V212" s="4"/>
      <c r="W212" s="4"/>
      <c r="X212" s="4"/>
      <c r="Y212" s="4"/>
      <c r="Z212" s="4"/>
    </row>
    <row r="213" ht="18.75" customHeight="1">
      <c r="A213" s="56">
        <f t="shared" si="4"/>
        <v>199</v>
      </c>
      <c r="B213" s="50">
        <f t="shared" si="8"/>
        <v>49299</v>
      </c>
      <c r="C213" s="58">
        <f t="shared" si="128"/>
        <v>0.1049</v>
      </c>
      <c r="D213" s="58">
        <f>((1+'AP01'!$C213)^(1/12))-1</f>
        <v>0.00834755088</v>
      </c>
      <c r="E213" s="51">
        <f t="shared" si="126"/>
        <v>2171.371183</v>
      </c>
      <c r="F213" s="51">
        <f>(O212*'AP01'!$P213)*'AP01'!$D213</f>
        <v>1220.866582</v>
      </c>
      <c r="G213" s="51">
        <f>(O212*'AP01'!$P213)/($I$5-A212)</f>
        <v>902.8053347</v>
      </c>
      <c r="H213" s="82">
        <f>(O212*'AP01'!$P213)*'AP01'!$S213</f>
        <v>101.9101107</v>
      </c>
      <c r="I213" s="82">
        <f>'AP01'!$Q213*0.00899%</f>
        <v>40.73305943</v>
      </c>
      <c r="J213" s="51">
        <f t="shared" si="136"/>
        <v>25</v>
      </c>
      <c r="K213" s="51">
        <f t="shared" ref="K213:L213" si="254">K212</f>
        <v>0</v>
      </c>
      <c r="L213" s="51">
        <f t="shared" si="254"/>
        <v>0</v>
      </c>
      <c r="M213" s="51">
        <f>SUM('AP01'!$F213:$L213)</f>
        <v>2291.315086</v>
      </c>
      <c r="N213" s="51">
        <f>O212*('AP01'!$P213-1)</f>
        <v>0</v>
      </c>
      <c r="O213" s="51">
        <f>(O212*'AP01'!$P213)-'AP01'!$G213</f>
        <v>145351.6589</v>
      </c>
      <c r="P213" s="53">
        <f t="shared" si="141"/>
        <v>1</v>
      </c>
      <c r="Q213" s="51">
        <f>(Q212*'AP01'!$P213)</f>
        <v>453092.9859</v>
      </c>
      <c r="R213" s="46">
        <f>DATEDIF($S$7,'AP01'!$B213,"Y")</f>
        <v>49</v>
      </c>
      <c r="S213" s="47">
        <f>VLOOKUP('AP01'!$R213,SEGUROS!$A:$B,2,TRUE)</f>
        <v>0.0006968</v>
      </c>
      <c r="T213" s="51">
        <f>('AP01'!$O213*'AP01'!$P213)*'AP01'!$S213</f>
        <v>101.2810359</v>
      </c>
      <c r="U213" s="51">
        <f>'AP01'!$Q213*0.00899%</f>
        <v>40.73305943</v>
      </c>
      <c r="V213" s="4"/>
      <c r="W213" s="4"/>
      <c r="X213" s="4"/>
      <c r="Y213" s="4"/>
      <c r="Z213" s="4"/>
    </row>
    <row r="214" ht="18.75" customHeight="1">
      <c r="A214" s="56">
        <f t="shared" si="4"/>
        <v>200</v>
      </c>
      <c r="B214" s="50">
        <f t="shared" si="8"/>
        <v>49330</v>
      </c>
      <c r="C214" s="58">
        <f t="shared" si="128"/>
        <v>0.1049</v>
      </c>
      <c r="D214" s="58">
        <f>((1+'AP01'!$C214)^(1/12))-1</f>
        <v>0.00834755088</v>
      </c>
      <c r="E214" s="51">
        <f t="shared" si="126"/>
        <v>2171.371183</v>
      </c>
      <c r="F214" s="51">
        <f>(O213*'AP01'!$P214)*'AP01'!$D214</f>
        <v>1213.330368</v>
      </c>
      <c r="G214" s="51">
        <f>(O213*'AP01'!$P214)/($I$5-A213)</f>
        <v>902.8053347</v>
      </c>
      <c r="H214" s="82">
        <f>(O213*'AP01'!$P214)*'AP01'!$S214</f>
        <v>101.2810359</v>
      </c>
      <c r="I214" s="82">
        <f>'AP01'!$Q214*0.00899%</f>
        <v>40.73305943</v>
      </c>
      <c r="J214" s="51">
        <f t="shared" si="136"/>
        <v>25</v>
      </c>
      <c r="K214" s="51">
        <f t="shared" ref="K214:L214" si="255">K213</f>
        <v>0</v>
      </c>
      <c r="L214" s="51">
        <f t="shared" si="255"/>
        <v>0</v>
      </c>
      <c r="M214" s="51">
        <f>SUM('AP01'!$F214:$L214)</f>
        <v>2283.149798</v>
      </c>
      <c r="N214" s="51">
        <f>O213*('AP01'!$P214-1)</f>
        <v>0</v>
      </c>
      <c r="O214" s="51">
        <f>(O213*'AP01'!$P214)-'AP01'!$G214</f>
        <v>144448.8536</v>
      </c>
      <c r="P214" s="53">
        <f t="shared" si="141"/>
        <v>1</v>
      </c>
      <c r="Q214" s="51">
        <f>(Q213*'AP01'!$P214)</f>
        <v>453092.9859</v>
      </c>
      <c r="R214" s="46">
        <f>DATEDIF($S$7,'AP01'!$B214,"Y")</f>
        <v>49</v>
      </c>
      <c r="S214" s="47">
        <f>VLOOKUP('AP01'!$R214,SEGUROS!$A:$B,2,TRUE)</f>
        <v>0.0006968</v>
      </c>
      <c r="T214" s="51">
        <f>('AP01'!$O214*'AP01'!$P214)*'AP01'!$S214</f>
        <v>100.6519612</v>
      </c>
      <c r="U214" s="51">
        <f>'AP01'!$Q214*0.00899%</f>
        <v>40.73305943</v>
      </c>
      <c r="V214" s="4"/>
      <c r="W214" s="4"/>
      <c r="X214" s="4"/>
      <c r="Y214" s="4"/>
      <c r="Z214" s="4"/>
    </row>
    <row r="215" ht="18.75" customHeight="1">
      <c r="A215" s="56">
        <f t="shared" si="4"/>
        <v>201</v>
      </c>
      <c r="B215" s="50">
        <f t="shared" si="8"/>
        <v>49361</v>
      </c>
      <c r="C215" s="58">
        <f t="shared" si="128"/>
        <v>0.1049</v>
      </c>
      <c r="D215" s="58">
        <f>((1+'AP01'!$C215)^(1/12))-1</f>
        <v>0.00834755088</v>
      </c>
      <c r="E215" s="51">
        <f t="shared" si="126"/>
        <v>2171.371183</v>
      </c>
      <c r="F215" s="51">
        <f>(O214*'AP01'!$P215)*'AP01'!$D215</f>
        <v>1205.794155</v>
      </c>
      <c r="G215" s="51">
        <f>(O214*'AP01'!$P215)/($I$5-A214)</f>
        <v>902.8053347</v>
      </c>
      <c r="H215" s="82">
        <f>(O214*'AP01'!$P215)*'AP01'!$S215</f>
        <v>100.6519612</v>
      </c>
      <c r="I215" s="82">
        <f>'AP01'!$Q215*0.00899%</f>
        <v>40.73305943</v>
      </c>
      <c r="J215" s="51">
        <f t="shared" si="136"/>
        <v>25</v>
      </c>
      <c r="K215" s="51">
        <f t="shared" ref="K215:L215" si="256">K214</f>
        <v>0</v>
      </c>
      <c r="L215" s="51">
        <f t="shared" si="256"/>
        <v>0</v>
      </c>
      <c r="M215" s="51">
        <f>SUM('AP01'!$F215:$L215)</f>
        <v>2274.98451</v>
      </c>
      <c r="N215" s="51">
        <f>O214*('AP01'!$P215-1)</f>
        <v>0</v>
      </c>
      <c r="O215" s="51">
        <f>(O214*'AP01'!$P215)-'AP01'!$G215</f>
        <v>143546.0482</v>
      </c>
      <c r="P215" s="53">
        <f t="shared" si="141"/>
        <v>1</v>
      </c>
      <c r="Q215" s="51">
        <f>(Q214*'AP01'!$P215)</f>
        <v>453092.9859</v>
      </c>
      <c r="R215" s="46">
        <f>DATEDIF($S$7,'AP01'!$B215,"Y")</f>
        <v>49</v>
      </c>
      <c r="S215" s="47">
        <f>VLOOKUP('AP01'!$R215,SEGUROS!$A:$B,2,TRUE)</f>
        <v>0.0006968</v>
      </c>
      <c r="T215" s="51">
        <f>('AP01'!$O215*'AP01'!$P215)*'AP01'!$S215</f>
        <v>100.0228864</v>
      </c>
      <c r="U215" s="51">
        <f>'AP01'!$Q215*0.00899%</f>
        <v>40.73305943</v>
      </c>
      <c r="V215" s="4"/>
      <c r="W215" s="4"/>
      <c r="X215" s="4"/>
      <c r="Y215" s="4"/>
      <c r="Z215" s="4"/>
    </row>
    <row r="216" ht="18.75" customHeight="1">
      <c r="A216" s="56">
        <f t="shared" si="4"/>
        <v>202</v>
      </c>
      <c r="B216" s="50">
        <f t="shared" si="8"/>
        <v>49389</v>
      </c>
      <c r="C216" s="58">
        <f t="shared" si="128"/>
        <v>0.1049</v>
      </c>
      <c r="D216" s="58">
        <f>((1+'AP01'!$C216)^(1/12))-1</f>
        <v>0.00834755088</v>
      </c>
      <c r="E216" s="51">
        <f t="shared" si="126"/>
        <v>2171.371183</v>
      </c>
      <c r="F216" s="51">
        <f>(O215*'AP01'!$P216)*'AP01'!$D216</f>
        <v>1198.257941</v>
      </c>
      <c r="G216" s="51">
        <f>(O215*'AP01'!$P216)/($I$5-A215)</f>
        <v>902.8053347</v>
      </c>
      <c r="H216" s="82">
        <f>(O215*'AP01'!$P216)*'AP01'!$S216</f>
        <v>100.0228864</v>
      </c>
      <c r="I216" s="82">
        <f>'AP01'!$Q216*0.00899%</f>
        <v>40.73305943</v>
      </c>
      <c r="J216" s="51">
        <f t="shared" si="136"/>
        <v>25</v>
      </c>
      <c r="K216" s="51">
        <f t="shared" ref="K216:L216" si="257">K215</f>
        <v>0</v>
      </c>
      <c r="L216" s="51">
        <f t="shared" si="257"/>
        <v>0</v>
      </c>
      <c r="M216" s="51">
        <f>SUM('AP01'!$F216:$L216)</f>
        <v>2266.819222</v>
      </c>
      <c r="N216" s="51">
        <f>O215*('AP01'!$P216-1)</f>
        <v>0</v>
      </c>
      <c r="O216" s="51">
        <f>(O215*'AP01'!$P216)-'AP01'!$G216</f>
        <v>142643.2429</v>
      </c>
      <c r="P216" s="53">
        <f t="shared" si="141"/>
        <v>1</v>
      </c>
      <c r="Q216" s="51">
        <f>(Q215*'AP01'!$P216)</f>
        <v>453092.9859</v>
      </c>
      <c r="R216" s="46">
        <f>DATEDIF($S$7,'AP01'!$B216,"Y")</f>
        <v>49</v>
      </c>
      <c r="S216" s="47">
        <f>VLOOKUP('AP01'!$R216,SEGUROS!$A:$B,2,TRUE)</f>
        <v>0.0006968</v>
      </c>
      <c r="T216" s="51">
        <f>('AP01'!$O216*'AP01'!$P216)*'AP01'!$S216</f>
        <v>99.39381164</v>
      </c>
      <c r="U216" s="51">
        <f>'AP01'!$Q216*0.00899%</f>
        <v>40.73305943</v>
      </c>
      <c r="V216" s="4"/>
      <c r="W216" s="4"/>
      <c r="X216" s="4"/>
      <c r="Y216" s="4"/>
      <c r="Z216" s="4"/>
    </row>
    <row r="217" ht="18.75" customHeight="1">
      <c r="A217" s="56">
        <f t="shared" si="4"/>
        <v>203</v>
      </c>
      <c r="B217" s="50">
        <f t="shared" si="8"/>
        <v>49420</v>
      </c>
      <c r="C217" s="58">
        <f t="shared" si="128"/>
        <v>0.1049</v>
      </c>
      <c r="D217" s="58">
        <f>((1+'AP01'!$C217)^(1/12))-1</f>
        <v>0.00834755088</v>
      </c>
      <c r="E217" s="51">
        <f t="shared" si="126"/>
        <v>2171.371183</v>
      </c>
      <c r="F217" s="51">
        <f>(O216*'AP01'!$P217)*'AP01'!$D217</f>
        <v>1190.721728</v>
      </c>
      <c r="G217" s="51">
        <f>(O216*'AP01'!$P217)/($I$5-A216)</f>
        <v>902.8053347</v>
      </c>
      <c r="H217" s="82">
        <f>(O216*'AP01'!$P217)*'AP01'!$S217</f>
        <v>99.39381164</v>
      </c>
      <c r="I217" s="82">
        <f>'AP01'!$Q217*0.00899%</f>
        <v>40.73305943</v>
      </c>
      <c r="J217" s="51">
        <f t="shared" si="136"/>
        <v>25</v>
      </c>
      <c r="K217" s="51">
        <f t="shared" ref="K217:L217" si="258">K216</f>
        <v>0</v>
      </c>
      <c r="L217" s="51">
        <f t="shared" si="258"/>
        <v>0</v>
      </c>
      <c r="M217" s="51">
        <f>SUM('AP01'!$F217:$L217)</f>
        <v>2258.653933</v>
      </c>
      <c r="N217" s="51">
        <f>O216*('AP01'!$P217-1)</f>
        <v>0</v>
      </c>
      <c r="O217" s="51">
        <f>(O216*'AP01'!$P217)-'AP01'!$G217</f>
        <v>141740.4376</v>
      </c>
      <c r="P217" s="53">
        <f t="shared" si="141"/>
        <v>1</v>
      </c>
      <c r="Q217" s="51">
        <f>(Q216*'AP01'!$P217)</f>
        <v>453092.9859</v>
      </c>
      <c r="R217" s="46">
        <f>DATEDIF($S$7,'AP01'!$B217,"Y")</f>
        <v>49</v>
      </c>
      <c r="S217" s="47">
        <f>VLOOKUP('AP01'!$R217,SEGUROS!$A:$B,2,TRUE)</f>
        <v>0.0006968</v>
      </c>
      <c r="T217" s="51">
        <f>('AP01'!$O217*'AP01'!$P217)*'AP01'!$S217</f>
        <v>98.76473689</v>
      </c>
      <c r="U217" s="51">
        <f>'AP01'!$Q217*0.00899%</f>
        <v>40.73305943</v>
      </c>
      <c r="V217" s="4"/>
      <c r="W217" s="4"/>
      <c r="X217" s="4"/>
      <c r="Y217" s="4"/>
      <c r="Z217" s="4"/>
    </row>
    <row r="218" ht="18.75" customHeight="1">
      <c r="A218" s="56">
        <f t="shared" si="4"/>
        <v>204</v>
      </c>
      <c r="B218" s="50">
        <f t="shared" si="8"/>
        <v>49450</v>
      </c>
      <c r="C218" s="58">
        <f t="shared" si="128"/>
        <v>0.1049</v>
      </c>
      <c r="D218" s="58">
        <f>((1+'AP01'!$C218)^(1/12))-1</f>
        <v>0.00834755088</v>
      </c>
      <c r="E218" s="51">
        <f t="shared" si="126"/>
        <v>2171.371183</v>
      </c>
      <c r="F218" s="51">
        <f>(O217*'AP01'!$P218)*'AP01'!$D218</f>
        <v>1183.185514</v>
      </c>
      <c r="G218" s="51">
        <f>(O217*'AP01'!$P218)/($I$5-A217)</f>
        <v>902.8053347</v>
      </c>
      <c r="H218" s="82">
        <f>(O217*'AP01'!$P218)*'AP01'!$S218</f>
        <v>98.76473689</v>
      </c>
      <c r="I218" s="82">
        <f>'AP01'!$Q218*0.00899%</f>
        <v>40.73305943</v>
      </c>
      <c r="J218" s="51">
        <f t="shared" si="136"/>
        <v>25</v>
      </c>
      <c r="K218" s="51">
        <f t="shared" ref="K218:L218" si="259">K217</f>
        <v>0</v>
      </c>
      <c r="L218" s="51">
        <f t="shared" si="259"/>
        <v>0</v>
      </c>
      <c r="M218" s="51">
        <f>SUM('AP01'!$F218:$L218)</f>
        <v>2250.488645</v>
      </c>
      <c r="N218" s="51">
        <f>O217*('AP01'!$P218-1)</f>
        <v>0</v>
      </c>
      <c r="O218" s="51">
        <f>(O217*'AP01'!$P218)-'AP01'!$G218</f>
        <v>140837.6322</v>
      </c>
      <c r="P218" s="53">
        <f t="shared" si="141"/>
        <v>1</v>
      </c>
      <c r="Q218" s="51">
        <f>(Q217*'AP01'!$P218)</f>
        <v>453092.9859</v>
      </c>
      <c r="R218" s="46">
        <f>DATEDIF($S$7,'AP01'!$B218,"Y")</f>
        <v>49</v>
      </c>
      <c r="S218" s="47">
        <f>VLOOKUP('AP01'!$R218,SEGUROS!$A:$B,2,TRUE)</f>
        <v>0.0006968</v>
      </c>
      <c r="T218" s="51">
        <f>('AP01'!$O218*'AP01'!$P218)*'AP01'!$S218</f>
        <v>98.13566213</v>
      </c>
      <c r="U218" s="51">
        <f>'AP01'!$Q218*0.00899%</f>
        <v>40.73305943</v>
      </c>
      <c r="V218" s="4"/>
      <c r="W218" s="4"/>
      <c r="X218" s="4"/>
      <c r="Y218" s="4"/>
      <c r="Z218" s="4"/>
    </row>
    <row r="219" ht="18.75" customHeight="1">
      <c r="A219" s="56">
        <f t="shared" si="4"/>
        <v>205</v>
      </c>
      <c r="B219" s="50">
        <f t="shared" si="8"/>
        <v>49481</v>
      </c>
      <c r="C219" s="58">
        <f t="shared" si="128"/>
        <v>0.1049</v>
      </c>
      <c r="D219" s="58">
        <f>((1+'AP01'!$C219)^(1/12))-1</f>
        <v>0.00834755088</v>
      </c>
      <c r="E219" s="51">
        <f t="shared" si="126"/>
        <v>2171.371183</v>
      </c>
      <c r="F219" s="51">
        <f>(O218*'AP01'!$P219)*'AP01'!$D219</f>
        <v>1175.649301</v>
      </c>
      <c r="G219" s="51">
        <f>(O218*'AP01'!$P219)/($I$5-A218)</f>
        <v>902.8053347</v>
      </c>
      <c r="H219" s="82">
        <f>(O218*'AP01'!$P219)*'AP01'!$S219</f>
        <v>98.13566213</v>
      </c>
      <c r="I219" s="82">
        <f>'AP01'!$Q219*0.00899%</f>
        <v>40.73305943</v>
      </c>
      <c r="J219" s="51">
        <f t="shared" si="136"/>
        <v>25</v>
      </c>
      <c r="K219" s="51">
        <f t="shared" ref="K219:L219" si="260">K218</f>
        <v>0</v>
      </c>
      <c r="L219" s="51">
        <f t="shared" si="260"/>
        <v>0</v>
      </c>
      <c r="M219" s="51">
        <f>SUM('AP01'!$F219:$L219)</f>
        <v>2242.323357</v>
      </c>
      <c r="N219" s="51">
        <f>O218*('AP01'!$P219-1)</f>
        <v>0</v>
      </c>
      <c r="O219" s="51">
        <f>(O218*'AP01'!$P219)-'AP01'!$G219</f>
        <v>139934.8269</v>
      </c>
      <c r="P219" s="53">
        <f t="shared" si="141"/>
        <v>1</v>
      </c>
      <c r="Q219" s="51">
        <f>(Q218*'AP01'!$P219)</f>
        <v>453092.9859</v>
      </c>
      <c r="R219" s="46">
        <f>DATEDIF($S$7,'AP01'!$B219,"Y")</f>
        <v>49</v>
      </c>
      <c r="S219" s="47">
        <f>VLOOKUP('AP01'!$R219,SEGUROS!$A:$B,2,TRUE)</f>
        <v>0.0006968</v>
      </c>
      <c r="T219" s="51">
        <f>('AP01'!$O219*'AP01'!$P219)*'AP01'!$S219</f>
        <v>97.50658737</v>
      </c>
      <c r="U219" s="51">
        <f>'AP01'!$Q219*0.00899%</f>
        <v>40.73305943</v>
      </c>
      <c r="V219" s="4"/>
      <c r="W219" s="4"/>
      <c r="X219" s="4"/>
      <c r="Y219" s="4"/>
      <c r="Z219" s="4"/>
    </row>
    <row r="220" ht="18.75" customHeight="1">
      <c r="A220" s="56">
        <f t="shared" si="4"/>
        <v>206</v>
      </c>
      <c r="B220" s="50">
        <f t="shared" si="8"/>
        <v>49511</v>
      </c>
      <c r="C220" s="58">
        <f t="shared" si="128"/>
        <v>0.1049</v>
      </c>
      <c r="D220" s="58">
        <f>((1+'AP01'!$C220)^(1/12))-1</f>
        <v>0.00834755088</v>
      </c>
      <c r="E220" s="51">
        <f t="shared" si="126"/>
        <v>2171.371183</v>
      </c>
      <c r="F220" s="51">
        <f>(O219*'AP01'!$P220)*'AP01'!$D220</f>
        <v>1168.113087</v>
      </c>
      <c r="G220" s="51">
        <f>(O219*'AP01'!$P220)/($I$5-A219)</f>
        <v>902.8053347</v>
      </c>
      <c r="H220" s="82">
        <f>(O219*'AP01'!$P220)*'AP01'!$S220</f>
        <v>97.50658737</v>
      </c>
      <c r="I220" s="82">
        <f>'AP01'!$Q220*0.00899%</f>
        <v>40.73305943</v>
      </c>
      <c r="J220" s="51">
        <f t="shared" si="136"/>
        <v>25</v>
      </c>
      <c r="K220" s="51">
        <f t="shared" ref="K220:L220" si="261">K219</f>
        <v>0</v>
      </c>
      <c r="L220" s="51">
        <f t="shared" si="261"/>
        <v>0</v>
      </c>
      <c r="M220" s="51">
        <f>SUM('AP01'!$F220:$L220)</f>
        <v>2234.158069</v>
      </c>
      <c r="N220" s="51">
        <f>O219*('AP01'!$P220-1)</f>
        <v>0</v>
      </c>
      <c r="O220" s="51">
        <f>(O219*'AP01'!$P220)-'AP01'!$G220</f>
        <v>139032.0215</v>
      </c>
      <c r="P220" s="53">
        <f t="shared" si="141"/>
        <v>1</v>
      </c>
      <c r="Q220" s="51">
        <f>(Q219*'AP01'!$P220)</f>
        <v>453092.9859</v>
      </c>
      <c r="R220" s="46">
        <f>DATEDIF($S$7,'AP01'!$B220,"Y")</f>
        <v>49</v>
      </c>
      <c r="S220" s="47">
        <f>VLOOKUP('AP01'!$R220,SEGUROS!$A:$B,2,TRUE)</f>
        <v>0.0006968</v>
      </c>
      <c r="T220" s="51">
        <f>('AP01'!$O220*'AP01'!$P220)*'AP01'!$S220</f>
        <v>96.87751262</v>
      </c>
      <c r="U220" s="51">
        <f>'AP01'!$Q220*0.00899%</f>
        <v>40.73305943</v>
      </c>
      <c r="V220" s="4"/>
      <c r="W220" s="4"/>
      <c r="X220" s="4"/>
      <c r="Y220" s="4"/>
      <c r="Z220" s="4"/>
    </row>
    <row r="221" ht="18.75" customHeight="1">
      <c r="A221" s="56">
        <f t="shared" si="4"/>
        <v>207</v>
      </c>
      <c r="B221" s="50">
        <f t="shared" si="8"/>
        <v>49542</v>
      </c>
      <c r="C221" s="58">
        <f t="shared" si="128"/>
        <v>0.1049</v>
      </c>
      <c r="D221" s="58">
        <f>((1+'AP01'!$C221)^(1/12))-1</f>
        <v>0.00834755088</v>
      </c>
      <c r="E221" s="51">
        <f t="shared" si="126"/>
        <v>2171.371183</v>
      </c>
      <c r="F221" s="51">
        <f>(O220*'AP01'!$P221)*'AP01'!$D221</f>
        <v>1160.576874</v>
      </c>
      <c r="G221" s="51">
        <f>(O220*'AP01'!$P221)/($I$5-A220)</f>
        <v>902.8053347</v>
      </c>
      <c r="H221" s="82">
        <f>(O220*'AP01'!$P221)*'AP01'!$S221</f>
        <v>96.87751262</v>
      </c>
      <c r="I221" s="82">
        <f>'AP01'!$Q221*0.00899%</f>
        <v>40.73305943</v>
      </c>
      <c r="J221" s="51">
        <f t="shared" si="136"/>
        <v>25</v>
      </c>
      <c r="K221" s="51">
        <f t="shared" ref="K221:L221" si="262">K220</f>
        <v>0</v>
      </c>
      <c r="L221" s="51">
        <f t="shared" si="262"/>
        <v>0</v>
      </c>
      <c r="M221" s="51">
        <f>SUM('AP01'!$F221:$L221)</f>
        <v>2225.992781</v>
      </c>
      <c r="N221" s="51">
        <f>O220*('AP01'!$P221-1)</f>
        <v>0</v>
      </c>
      <c r="O221" s="51">
        <f>(O220*'AP01'!$P221)-'AP01'!$G221</f>
        <v>138129.2162</v>
      </c>
      <c r="P221" s="53">
        <f t="shared" si="141"/>
        <v>1</v>
      </c>
      <c r="Q221" s="51">
        <f>(Q220*'AP01'!$P221)</f>
        <v>453092.9859</v>
      </c>
      <c r="R221" s="46">
        <f>DATEDIF($S$7,'AP01'!$B221,"Y")</f>
        <v>49</v>
      </c>
      <c r="S221" s="47">
        <f>VLOOKUP('AP01'!$R221,SEGUROS!$A:$B,2,TRUE)</f>
        <v>0.0006968</v>
      </c>
      <c r="T221" s="51">
        <f>('AP01'!$O221*'AP01'!$P221)*'AP01'!$S221</f>
        <v>96.24843786</v>
      </c>
      <c r="U221" s="51">
        <f>'AP01'!$Q221*0.00899%</f>
        <v>40.73305943</v>
      </c>
      <c r="V221" s="4"/>
      <c r="W221" s="4"/>
      <c r="X221" s="4"/>
      <c r="Y221" s="4"/>
      <c r="Z221" s="4"/>
    </row>
    <row r="222" ht="18.75" customHeight="1">
      <c r="A222" s="56">
        <f t="shared" si="4"/>
        <v>208</v>
      </c>
      <c r="B222" s="50">
        <f t="shared" si="8"/>
        <v>49573</v>
      </c>
      <c r="C222" s="58">
        <f t="shared" si="128"/>
        <v>0.1049</v>
      </c>
      <c r="D222" s="58">
        <f>((1+'AP01'!$C222)^(1/12))-1</f>
        <v>0.00834755088</v>
      </c>
      <c r="E222" s="51">
        <f t="shared" si="126"/>
        <v>2171.371183</v>
      </c>
      <c r="F222" s="51">
        <f>(O221*'AP01'!$P222)*'AP01'!$D222</f>
        <v>1153.04066</v>
      </c>
      <c r="G222" s="51">
        <f>(O221*'AP01'!$P222)/($I$5-A221)</f>
        <v>902.8053347</v>
      </c>
      <c r="H222" s="82">
        <f>(O221*'AP01'!$P222)*'AP01'!$S222</f>
        <v>96.24843786</v>
      </c>
      <c r="I222" s="82">
        <f>'AP01'!$Q222*0.00899%</f>
        <v>40.73305943</v>
      </c>
      <c r="J222" s="51">
        <f t="shared" si="136"/>
        <v>25</v>
      </c>
      <c r="K222" s="51">
        <f t="shared" ref="K222:L222" si="263">K221</f>
        <v>0</v>
      </c>
      <c r="L222" s="51">
        <f t="shared" si="263"/>
        <v>0</v>
      </c>
      <c r="M222" s="51">
        <f>SUM('AP01'!$F222:$L222)</f>
        <v>2217.827492</v>
      </c>
      <c r="N222" s="51">
        <f>O221*('AP01'!$P222-1)</f>
        <v>0</v>
      </c>
      <c r="O222" s="51">
        <f>(O221*'AP01'!$P222)-'AP01'!$G222</f>
        <v>137226.4109</v>
      </c>
      <c r="P222" s="53">
        <f t="shared" si="141"/>
        <v>1</v>
      </c>
      <c r="Q222" s="51">
        <f>(Q221*'AP01'!$P222)</f>
        <v>453092.9859</v>
      </c>
      <c r="R222" s="46">
        <f>DATEDIF($S$7,'AP01'!$B222,"Y")</f>
        <v>49</v>
      </c>
      <c r="S222" s="47">
        <f>VLOOKUP('AP01'!$R222,SEGUROS!$A:$B,2,TRUE)</f>
        <v>0.0006968</v>
      </c>
      <c r="T222" s="51">
        <f>('AP01'!$O222*'AP01'!$P222)*'AP01'!$S222</f>
        <v>95.6193631</v>
      </c>
      <c r="U222" s="51">
        <f>'AP01'!$Q222*0.00899%</f>
        <v>40.73305943</v>
      </c>
      <c r="V222" s="4"/>
      <c r="W222" s="4"/>
      <c r="X222" s="4"/>
      <c r="Y222" s="4"/>
      <c r="Z222" s="4"/>
    </row>
    <row r="223" ht="18.75" customHeight="1">
      <c r="A223" s="56">
        <f t="shared" si="4"/>
        <v>209</v>
      </c>
      <c r="B223" s="50">
        <f t="shared" si="8"/>
        <v>49603</v>
      </c>
      <c r="C223" s="58">
        <f t="shared" si="128"/>
        <v>0.1049</v>
      </c>
      <c r="D223" s="58">
        <f>((1+'AP01'!$C223)^(1/12))-1</f>
        <v>0.00834755088</v>
      </c>
      <c r="E223" s="51">
        <f t="shared" si="126"/>
        <v>2171.371183</v>
      </c>
      <c r="F223" s="51">
        <f>(O222*'AP01'!$P223)*'AP01'!$D223</f>
        <v>1145.504447</v>
      </c>
      <c r="G223" s="51">
        <f>(O222*'AP01'!$P223)/($I$5-A222)</f>
        <v>902.8053347</v>
      </c>
      <c r="H223" s="82">
        <f>(O222*'AP01'!$P223)*'AP01'!$S223</f>
        <v>95.6193631</v>
      </c>
      <c r="I223" s="82">
        <f>'AP01'!$Q223*0.00899%</f>
        <v>40.73305943</v>
      </c>
      <c r="J223" s="51">
        <f t="shared" si="136"/>
        <v>25</v>
      </c>
      <c r="K223" s="51">
        <f t="shared" ref="K223:L223" si="264">K222</f>
        <v>0</v>
      </c>
      <c r="L223" s="51">
        <f t="shared" si="264"/>
        <v>0</v>
      </c>
      <c r="M223" s="51">
        <f>SUM('AP01'!$F223:$L223)</f>
        <v>2209.662204</v>
      </c>
      <c r="N223" s="51">
        <f>O222*('AP01'!$P223-1)</f>
        <v>0</v>
      </c>
      <c r="O223" s="51">
        <f>(O222*'AP01'!$P223)-'AP01'!$G223</f>
        <v>136323.6055</v>
      </c>
      <c r="P223" s="53">
        <f t="shared" si="141"/>
        <v>1</v>
      </c>
      <c r="Q223" s="51">
        <f>(Q222*'AP01'!$P223)</f>
        <v>453092.9859</v>
      </c>
      <c r="R223" s="46">
        <f>DATEDIF($S$7,'AP01'!$B223,"Y")</f>
        <v>49</v>
      </c>
      <c r="S223" s="47">
        <f>VLOOKUP('AP01'!$R223,SEGUROS!$A:$B,2,TRUE)</f>
        <v>0.0006968</v>
      </c>
      <c r="T223" s="51">
        <f>('AP01'!$O223*'AP01'!$P223)*'AP01'!$S223</f>
        <v>94.99028834</v>
      </c>
      <c r="U223" s="51">
        <f>'AP01'!$Q223*0.00899%</f>
        <v>40.73305943</v>
      </c>
      <c r="V223" s="4"/>
      <c r="W223" s="4"/>
      <c r="X223" s="4"/>
      <c r="Y223" s="4"/>
      <c r="Z223" s="4"/>
    </row>
    <row r="224" ht="18.75" customHeight="1">
      <c r="A224" s="56">
        <f t="shared" si="4"/>
        <v>210</v>
      </c>
      <c r="B224" s="50">
        <f t="shared" si="8"/>
        <v>49634</v>
      </c>
      <c r="C224" s="58">
        <f t="shared" si="128"/>
        <v>0.1049</v>
      </c>
      <c r="D224" s="58">
        <f>((1+'AP01'!$C224)^(1/12))-1</f>
        <v>0.00834755088</v>
      </c>
      <c r="E224" s="51">
        <f t="shared" si="126"/>
        <v>2171.371183</v>
      </c>
      <c r="F224" s="51">
        <f>(O223*'AP01'!$P224)*'AP01'!$D224</f>
        <v>1137.968233</v>
      </c>
      <c r="G224" s="51">
        <f>(O223*'AP01'!$P224)/($I$5-A223)</f>
        <v>902.8053347</v>
      </c>
      <c r="H224" s="82">
        <f>(O223*'AP01'!$P224)*'AP01'!$S224</f>
        <v>94.99028834</v>
      </c>
      <c r="I224" s="82">
        <f>'AP01'!$Q224*0.00899%</f>
        <v>40.73305943</v>
      </c>
      <c r="J224" s="51">
        <f t="shared" si="136"/>
        <v>25</v>
      </c>
      <c r="K224" s="51">
        <f t="shared" ref="K224:L224" si="265">K223</f>
        <v>0</v>
      </c>
      <c r="L224" s="51">
        <f t="shared" si="265"/>
        <v>0</v>
      </c>
      <c r="M224" s="51">
        <f>SUM('AP01'!$F224:$L224)</f>
        <v>2201.496916</v>
      </c>
      <c r="N224" s="51">
        <f>O223*('AP01'!$P224-1)</f>
        <v>0</v>
      </c>
      <c r="O224" s="51">
        <f>(O223*'AP01'!$P224)-'AP01'!$G224</f>
        <v>135420.8002</v>
      </c>
      <c r="P224" s="53">
        <f t="shared" si="141"/>
        <v>1</v>
      </c>
      <c r="Q224" s="51">
        <f>(Q223*'AP01'!$P224)</f>
        <v>453092.9859</v>
      </c>
      <c r="R224" s="46">
        <f>DATEDIF($S$7,'AP01'!$B224,"Y")</f>
        <v>49</v>
      </c>
      <c r="S224" s="47">
        <f>VLOOKUP('AP01'!$R224,SEGUROS!$A:$B,2,TRUE)</f>
        <v>0.0006968</v>
      </c>
      <c r="T224" s="51">
        <f>('AP01'!$O224*'AP01'!$P224)*'AP01'!$S224</f>
        <v>94.36121359</v>
      </c>
      <c r="U224" s="51">
        <f>'AP01'!$Q224*0.00899%</f>
        <v>40.73305943</v>
      </c>
      <c r="V224" s="4"/>
      <c r="W224" s="4"/>
      <c r="X224" s="4"/>
      <c r="Y224" s="4"/>
      <c r="Z224" s="4"/>
    </row>
    <row r="225" ht="18.75" customHeight="1">
      <c r="A225" s="56">
        <f t="shared" si="4"/>
        <v>211</v>
      </c>
      <c r="B225" s="50">
        <f t="shared" si="8"/>
        <v>49664</v>
      </c>
      <c r="C225" s="58">
        <f t="shared" si="128"/>
        <v>0.1049</v>
      </c>
      <c r="D225" s="58">
        <f>((1+'AP01'!$C225)^(1/12))-1</f>
        <v>0.00834755088</v>
      </c>
      <c r="E225" s="51">
        <f t="shared" si="126"/>
        <v>2171.371183</v>
      </c>
      <c r="F225" s="51">
        <f>(O224*'AP01'!$P225)*'AP01'!$D225</f>
        <v>1130.43202</v>
      </c>
      <c r="G225" s="51">
        <f>(O224*'AP01'!$P225)/($I$5-A224)</f>
        <v>902.8053347</v>
      </c>
      <c r="H225" s="82">
        <f>(O224*'AP01'!$P225)*'AP01'!$S225</f>
        <v>103.6781646</v>
      </c>
      <c r="I225" s="82">
        <f>'AP01'!$Q225*0.00899%</f>
        <v>40.73305943</v>
      </c>
      <c r="J225" s="51">
        <f t="shared" si="136"/>
        <v>25</v>
      </c>
      <c r="K225" s="51">
        <f t="shared" ref="K225:L225" si="266">K224</f>
        <v>0</v>
      </c>
      <c r="L225" s="51">
        <f t="shared" si="266"/>
        <v>0</v>
      </c>
      <c r="M225" s="51">
        <f>SUM('AP01'!$F225:$L225)</f>
        <v>2202.648579</v>
      </c>
      <c r="N225" s="51">
        <f>O224*('AP01'!$P225-1)</f>
        <v>0</v>
      </c>
      <c r="O225" s="51">
        <f>(O224*'AP01'!$P225)-'AP01'!$G225</f>
        <v>134517.9949</v>
      </c>
      <c r="P225" s="53">
        <f t="shared" si="141"/>
        <v>1</v>
      </c>
      <c r="Q225" s="51">
        <f>(Q224*'AP01'!$P225)</f>
        <v>453092.9859</v>
      </c>
      <c r="R225" s="46">
        <f>DATEDIF($S$7,'AP01'!$B225,"Y")</f>
        <v>50</v>
      </c>
      <c r="S225" s="47">
        <f>VLOOKUP('AP01'!$R225,SEGUROS!$A:$B,2,TRUE)</f>
        <v>0.0007656</v>
      </c>
      <c r="T225" s="51">
        <f>('AP01'!$O225*'AP01'!$P225)*'AP01'!$S225</f>
        <v>102.9869769</v>
      </c>
      <c r="U225" s="51">
        <f>'AP01'!$Q225*0.00899%</f>
        <v>40.73305943</v>
      </c>
      <c r="V225" s="4"/>
      <c r="W225" s="4"/>
      <c r="X225" s="4"/>
      <c r="Y225" s="4"/>
      <c r="Z225" s="4"/>
    </row>
    <row r="226" ht="18.75" customHeight="1">
      <c r="A226" s="56">
        <f t="shared" si="4"/>
        <v>212</v>
      </c>
      <c r="B226" s="50">
        <f t="shared" si="8"/>
        <v>49695</v>
      </c>
      <c r="C226" s="58">
        <f t="shared" si="128"/>
        <v>0.1049</v>
      </c>
      <c r="D226" s="58">
        <f>((1+'AP01'!$C226)^(1/12))-1</f>
        <v>0.00834755088</v>
      </c>
      <c r="E226" s="51">
        <f t="shared" si="126"/>
        <v>2171.371183</v>
      </c>
      <c r="F226" s="51">
        <f>(O225*'AP01'!$P226)*'AP01'!$D226</f>
        <v>1122.895806</v>
      </c>
      <c r="G226" s="51">
        <f>(O225*'AP01'!$P226)/($I$5-A225)</f>
        <v>902.8053347</v>
      </c>
      <c r="H226" s="82">
        <f>(O225*'AP01'!$P226)*'AP01'!$S226</f>
        <v>102.9869769</v>
      </c>
      <c r="I226" s="82">
        <f>'AP01'!$Q226*0.00899%</f>
        <v>40.73305943</v>
      </c>
      <c r="J226" s="51">
        <f t="shared" si="136"/>
        <v>25</v>
      </c>
      <c r="K226" s="51">
        <f t="shared" ref="K226:L226" si="267">K225</f>
        <v>0</v>
      </c>
      <c r="L226" s="51">
        <f t="shared" si="267"/>
        <v>0</v>
      </c>
      <c r="M226" s="51">
        <f>SUM('AP01'!$F226:$L226)</f>
        <v>2194.421178</v>
      </c>
      <c r="N226" s="51">
        <f>O225*('AP01'!$P226-1)</f>
        <v>0</v>
      </c>
      <c r="O226" s="51">
        <f>(O225*'AP01'!$P226)-'AP01'!$G226</f>
        <v>133615.1895</v>
      </c>
      <c r="P226" s="53">
        <f t="shared" si="141"/>
        <v>1</v>
      </c>
      <c r="Q226" s="51">
        <f>(Q225*'AP01'!$P226)</f>
        <v>453092.9859</v>
      </c>
      <c r="R226" s="46">
        <f>DATEDIF($S$7,'AP01'!$B226,"Y")</f>
        <v>50</v>
      </c>
      <c r="S226" s="47">
        <f>VLOOKUP('AP01'!$R226,SEGUROS!$A:$B,2,TRUE)</f>
        <v>0.0007656</v>
      </c>
      <c r="T226" s="51">
        <f>('AP01'!$O226*'AP01'!$P226)*'AP01'!$S226</f>
        <v>102.2957891</v>
      </c>
      <c r="U226" s="51">
        <f>'AP01'!$Q226*0.00899%</f>
        <v>40.73305943</v>
      </c>
      <c r="V226" s="4"/>
      <c r="W226" s="4"/>
      <c r="X226" s="4"/>
      <c r="Y226" s="4"/>
      <c r="Z226" s="4"/>
    </row>
    <row r="227" ht="18.75" customHeight="1">
      <c r="A227" s="56">
        <f t="shared" si="4"/>
        <v>213</v>
      </c>
      <c r="B227" s="50">
        <f t="shared" si="8"/>
        <v>49726</v>
      </c>
      <c r="C227" s="58">
        <f t="shared" si="128"/>
        <v>0.1049</v>
      </c>
      <c r="D227" s="58">
        <f>((1+'AP01'!$C227)^(1/12))-1</f>
        <v>0.00834755088</v>
      </c>
      <c r="E227" s="51">
        <f t="shared" si="126"/>
        <v>2171.371183</v>
      </c>
      <c r="F227" s="51">
        <f>(O226*'AP01'!$P227)*'AP01'!$D227</f>
        <v>1115.359593</v>
      </c>
      <c r="G227" s="51">
        <f>(O226*'AP01'!$P227)/($I$5-A226)</f>
        <v>902.8053347</v>
      </c>
      <c r="H227" s="82">
        <f>(O226*'AP01'!$P227)*'AP01'!$S227</f>
        <v>102.2957891</v>
      </c>
      <c r="I227" s="82">
        <f>'AP01'!$Q227*0.00899%</f>
        <v>40.73305943</v>
      </c>
      <c r="J227" s="51">
        <f t="shared" si="136"/>
        <v>25</v>
      </c>
      <c r="K227" s="51">
        <f t="shared" ref="K227:L227" si="268">K226</f>
        <v>0</v>
      </c>
      <c r="L227" s="51">
        <f t="shared" si="268"/>
        <v>0</v>
      </c>
      <c r="M227" s="51">
        <f>SUM('AP01'!$F227:$L227)</f>
        <v>2186.193776</v>
      </c>
      <c r="N227" s="51">
        <f>O226*('AP01'!$P227-1)</f>
        <v>0</v>
      </c>
      <c r="O227" s="51">
        <f>(O226*'AP01'!$P227)-'AP01'!$G227</f>
        <v>132712.3842</v>
      </c>
      <c r="P227" s="53">
        <f t="shared" si="141"/>
        <v>1</v>
      </c>
      <c r="Q227" s="51">
        <f>(Q226*'AP01'!$P227)</f>
        <v>453092.9859</v>
      </c>
      <c r="R227" s="46">
        <f>DATEDIF($S$7,'AP01'!$B227,"Y")</f>
        <v>50</v>
      </c>
      <c r="S227" s="47">
        <f>VLOOKUP('AP01'!$R227,SEGUROS!$A:$B,2,TRUE)</f>
        <v>0.0007656</v>
      </c>
      <c r="T227" s="51">
        <f>('AP01'!$O227*'AP01'!$P227)*'AP01'!$S227</f>
        <v>101.6046013</v>
      </c>
      <c r="U227" s="51">
        <f>'AP01'!$Q227*0.00899%</f>
        <v>40.73305943</v>
      </c>
      <c r="V227" s="4"/>
      <c r="W227" s="4"/>
      <c r="X227" s="4"/>
      <c r="Y227" s="4"/>
      <c r="Z227" s="4"/>
    </row>
    <row r="228" ht="18.75" customHeight="1">
      <c r="A228" s="56">
        <f t="shared" si="4"/>
        <v>214</v>
      </c>
      <c r="B228" s="50">
        <f t="shared" si="8"/>
        <v>49755</v>
      </c>
      <c r="C228" s="58">
        <f t="shared" si="128"/>
        <v>0.1049</v>
      </c>
      <c r="D228" s="58">
        <f>((1+'AP01'!$C228)^(1/12))-1</f>
        <v>0.00834755088</v>
      </c>
      <c r="E228" s="51">
        <f t="shared" si="126"/>
        <v>2171.371183</v>
      </c>
      <c r="F228" s="51">
        <f>(O227*'AP01'!$P228)*'AP01'!$D228</f>
        <v>1107.82338</v>
      </c>
      <c r="G228" s="51">
        <f>(O227*'AP01'!$P228)/($I$5-A227)</f>
        <v>902.8053347</v>
      </c>
      <c r="H228" s="82">
        <f>(O227*'AP01'!$P228)*'AP01'!$S228</f>
        <v>101.6046013</v>
      </c>
      <c r="I228" s="82">
        <f>'AP01'!$Q228*0.00899%</f>
        <v>40.73305943</v>
      </c>
      <c r="J228" s="51">
        <f t="shared" si="136"/>
        <v>25</v>
      </c>
      <c r="K228" s="51">
        <f t="shared" ref="K228:L228" si="269">K227</f>
        <v>0</v>
      </c>
      <c r="L228" s="51">
        <f t="shared" si="269"/>
        <v>0</v>
      </c>
      <c r="M228" s="51">
        <f>SUM('AP01'!$F228:$L228)</f>
        <v>2177.966375</v>
      </c>
      <c r="N228" s="51">
        <f>O227*('AP01'!$P228-1)</f>
        <v>0</v>
      </c>
      <c r="O228" s="51">
        <f>(O227*'AP01'!$P228)-'AP01'!$G228</f>
        <v>131809.5789</v>
      </c>
      <c r="P228" s="53">
        <f t="shared" si="141"/>
        <v>1</v>
      </c>
      <c r="Q228" s="51">
        <f>(Q227*'AP01'!$P228)</f>
        <v>453092.9859</v>
      </c>
      <c r="R228" s="46">
        <f>DATEDIF($S$7,'AP01'!$B228,"Y")</f>
        <v>50</v>
      </c>
      <c r="S228" s="47">
        <f>VLOOKUP('AP01'!$R228,SEGUROS!$A:$B,2,TRUE)</f>
        <v>0.0007656</v>
      </c>
      <c r="T228" s="51">
        <f>('AP01'!$O228*'AP01'!$P228)*'AP01'!$S228</f>
        <v>100.9134136</v>
      </c>
      <c r="U228" s="51">
        <f>'AP01'!$Q228*0.00899%</f>
        <v>40.73305943</v>
      </c>
      <c r="V228" s="4"/>
      <c r="W228" s="4"/>
      <c r="X228" s="4"/>
      <c r="Y228" s="4"/>
      <c r="Z228" s="4"/>
    </row>
    <row r="229" ht="18.75" customHeight="1">
      <c r="A229" s="56">
        <f t="shared" si="4"/>
        <v>215</v>
      </c>
      <c r="B229" s="50">
        <f t="shared" si="8"/>
        <v>49786</v>
      </c>
      <c r="C229" s="58">
        <f t="shared" si="128"/>
        <v>0.1049</v>
      </c>
      <c r="D229" s="58">
        <f>((1+'AP01'!$C229)^(1/12))-1</f>
        <v>0.00834755088</v>
      </c>
      <c r="E229" s="51">
        <f t="shared" si="126"/>
        <v>2171.371183</v>
      </c>
      <c r="F229" s="51">
        <f>(O228*'AP01'!$P229)*'AP01'!$D229</f>
        <v>1100.287166</v>
      </c>
      <c r="G229" s="51">
        <f>(O228*'AP01'!$P229)/($I$5-A228)</f>
        <v>902.8053347</v>
      </c>
      <c r="H229" s="82">
        <f>(O228*'AP01'!$P229)*'AP01'!$S229</f>
        <v>100.9134136</v>
      </c>
      <c r="I229" s="82">
        <f>'AP01'!$Q229*0.00899%</f>
        <v>40.73305943</v>
      </c>
      <c r="J229" s="51">
        <f t="shared" si="136"/>
        <v>25</v>
      </c>
      <c r="K229" s="51">
        <f t="shared" ref="K229:L229" si="270">K228</f>
        <v>0</v>
      </c>
      <c r="L229" s="51">
        <f t="shared" si="270"/>
        <v>0</v>
      </c>
      <c r="M229" s="51">
        <f>SUM('AP01'!$F229:$L229)</f>
        <v>2169.738974</v>
      </c>
      <c r="N229" s="51">
        <f>O228*('AP01'!$P229-1)</f>
        <v>0</v>
      </c>
      <c r="O229" s="51">
        <f>(O228*'AP01'!$P229)-'AP01'!$G229</f>
        <v>130906.7735</v>
      </c>
      <c r="P229" s="53">
        <f t="shared" si="141"/>
        <v>1</v>
      </c>
      <c r="Q229" s="51">
        <f>(Q228*'AP01'!$P229)</f>
        <v>453092.9859</v>
      </c>
      <c r="R229" s="46">
        <f>DATEDIF($S$7,'AP01'!$B229,"Y")</f>
        <v>50</v>
      </c>
      <c r="S229" s="47">
        <f>VLOOKUP('AP01'!$R229,SEGUROS!$A:$B,2,TRUE)</f>
        <v>0.0007656</v>
      </c>
      <c r="T229" s="51">
        <f>('AP01'!$O229*'AP01'!$P229)*'AP01'!$S229</f>
        <v>100.2222258</v>
      </c>
      <c r="U229" s="51">
        <f>'AP01'!$Q229*0.00899%</f>
        <v>40.73305943</v>
      </c>
      <c r="V229" s="4"/>
      <c r="W229" s="4"/>
      <c r="X229" s="4"/>
      <c r="Y229" s="4"/>
      <c r="Z229" s="4"/>
    </row>
    <row r="230" ht="18.75" customHeight="1">
      <c r="A230" s="56">
        <f t="shared" si="4"/>
        <v>216</v>
      </c>
      <c r="B230" s="50">
        <f t="shared" si="8"/>
        <v>49816</v>
      </c>
      <c r="C230" s="58">
        <f t="shared" si="128"/>
        <v>0.1049</v>
      </c>
      <c r="D230" s="58">
        <f>((1+'AP01'!$C230)^(1/12))-1</f>
        <v>0.00834755088</v>
      </c>
      <c r="E230" s="51">
        <f t="shared" si="126"/>
        <v>2171.371183</v>
      </c>
      <c r="F230" s="51">
        <f>(O229*'AP01'!$P230)*'AP01'!$D230</f>
        <v>1092.750953</v>
      </c>
      <c r="G230" s="51">
        <f>(O229*'AP01'!$P230)/($I$5-A229)</f>
        <v>902.8053347</v>
      </c>
      <c r="H230" s="82">
        <f>(O229*'AP01'!$P230)*'AP01'!$S230</f>
        <v>100.2222258</v>
      </c>
      <c r="I230" s="82">
        <f>'AP01'!$Q230*0.00899%</f>
        <v>40.73305943</v>
      </c>
      <c r="J230" s="51">
        <f t="shared" si="136"/>
        <v>25</v>
      </c>
      <c r="K230" s="51">
        <f t="shared" ref="K230:L230" si="271">K229</f>
        <v>0</v>
      </c>
      <c r="L230" s="51">
        <f t="shared" si="271"/>
        <v>0</v>
      </c>
      <c r="M230" s="51">
        <f>SUM('AP01'!$F230:$L230)</f>
        <v>2161.511573</v>
      </c>
      <c r="N230" s="51">
        <f>O229*('AP01'!$P230-1)</f>
        <v>0</v>
      </c>
      <c r="O230" s="51">
        <f>(O229*'AP01'!$P230)-'AP01'!$G230</f>
        <v>130003.9682</v>
      </c>
      <c r="P230" s="53">
        <f t="shared" si="141"/>
        <v>1</v>
      </c>
      <c r="Q230" s="51">
        <f>(Q229*'AP01'!$P230)</f>
        <v>453092.9859</v>
      </c>
      <c r="R230" s="46">
        <f>DATEDIF($S$7,'AP01'!$B230,"Y")</f>
        <v>50</v>
      </c>
      <c r="S230" s="47">
        <f>VLOOKUP('AP01'!$R230,SEGUROS!$A:$B,2,TRUE)</f>
        <v>0.0007656</v>
      </c>
      <c r="T230" s="51">
        <f>('AP01'!$O230*'AP01'!$P230)*'AP01'!$S230</f>
        <v>99.53103806</v>
      </c>
      <c r="U230" s="51">
        <f>'AP01'!$Q230*0.00899%</f>
        <v>40.73305943</v>
      </c>
      <c r="V230" s="4"/>
      <c r="W230" s="4"/>
      <c r="X230" s="4"/>
      <c r="Y230" s="4"/>
      <c r="Z230" s="4"/>
    </row>
    <row r="231" ht="18.75" customHeight="1">
      <c r="A231" s="56">
        <f t="shared" si="4"/>
        <v>217</v>
      </c>
      <c r="B231" s="50">
        <f t="shared" si="8"/>
        <v>49847</v>
      </c>
      <c r="C231" s="58">
        <f t="shared" si="128"/>
        <v>0.1049</v>
      </c>
      <c r="D231" s="58">
        <f>((1+'AP01'!$C231)^(1/12))-1</f>
        <v>0.00834755088</v>
      </c>
      <c r="E231" s="51">
        <f t="shared" si="126"/>
        <v>2171.371183</v>
      </c>
      <c r="F231" s="51">
        <f>(O230*'AP01'!$P231)*'AP01'!$D231</f>
        <v>1085.214739</v>
      </c>
      <c r="G231" s="51">
        <f>(O230*'AP01'!$P231)/($I$5-A230)</f>
        <v>902.8053347</v>
      </c>
      <c r="H231" s="82">
        <f>(O230*'AP01'!$P231)*'AP01'!$S231</f>
        <v>99.53103806</v>
      </c>
      <c r="I231" s="82">
        <f>'AP01'!$Q231*0.00899%</f>
        <v>40.73305943</v>
      </c>
      <c r="J231" s="51">
        <f t="shared" si="136"/>
        <v>25</v>
      </c>
      <c r="K231" s="51">
        <f t="shared" ref="K231:L231" si="272">K230</f>
        <v>0</v>
      </c>
      <c r="L231" s="51">
        <f t="shared" si="272"/>
        <v>0</v>
      </c>
      <c r="M231" s="51">
        <f>SUM('AP01'!$F231:$L231)</f>
        <v>2153.284171</v>
      </c>
      <c r="N231" s="51">
        <f>O230*('AP01'!$P231-1)</f>
        <v>0</v>
      </c>
      <c r="O231" s="51">
        <f>(O230*'AP01'!$P231)-'AP01'!$G231</f>
        <v>129101.1629</v>
      </c>
      <c r="P231" s="53">
        <f t="shared" si="141"/>
        <v>1</v>
      </c>
      <c r="Q231" s="51">
        <f>(Q230*'AP01'!$P231)</f>
        <v>453092.9859</v>
      </c>
      <c r="R231" s="46">
        <f>DATEDIF($S$7,'AP01'!$B231,"Y")</f>
        <v>50</v>
      </c>
      <c r="S231" s="47">
        <f>VLOOKUP('AP01'!$R231,SEGUROS!$A:$B,2,TRUE)</f>
        <v>0.0007656</v>
      </c>
      <c r="T231" s="51">
        <f>('AP01'!$O231*'AP01'!$P231)*'AP01'!$S231</f>
        <v>98.83985029</v>
      </c>
      <c r="U231" s="51">
        <f>'AP01'!$Q231*0.00899%</f>
        <v>40.73305943</v>
      </c>
      <c r="V231" s="4"/>
      <c r="W231" s="4"/>
      <c r="X231" s="4"/>
      <c r="Y231" s="4"/>
      <c r="Z231" s="4"/>
    </row>
    <row r="232" ht="18.75" customHeight="1">
      <c r="A232" s="56">
        <f t="shared" si="4"/>
        <v>218</v>
      </c>
      <c r="B232" s="50">
        <f t="shared" si="8"/>
        <v>49877</v>
      </c>
      <c r="C232" s="58">
        <f t="shared" si="128"/>
        <v>0.1049</v>
      </c>
      <c r="D232" s="58">
        <f>((1+'AP01'!$C232)^(1/12))-1</f>
        <v>0.00834755088</v>
      </c>
      <c r="E232" s="51">
        <f t="shared" si="126"/>
        <v>2171.371183</v>
      </c>
      <c r="F232" s="51">
        <f>(O231*'AP01'!$P232)*'AP01'!$D232</f>
        <v>1077.678526</v>
      </c>
      <c r="G232" s="51">
        <f>(O231*'AP01'!$P232)/($I$5-A231)</f>
        <v>902.8053347</v>
      </c>
      <c r="H232" s="82">
        <f>(O231*'AP01'!$P232)*'AP01'!$S232</f>
        <v>98.83985029</v>
      </c>
      <c r="I232" s="82">
        <f>'AP01'!$Q232*0.00899%</f>
        <v>40.73305943</v>
      </c>
      <c r="J232" s="51">
        <f t="shared" si="136"/>
        <v>25</v>
      </c>
      <c r="K232" s="51">
        <f t="shared" ref="K232:L232" si="273">K231</f>
        <v>0</v>
      </c>
      <c r="L232" s="51">
        <f t="shared" si="273"/>
        <v>0</v>
      </c>
      <c r="M232" s="51">
        <f>SUM('AP01'!$F232:$L232)</f>
        <v>2145.05677</v>
      </c>
      <c r="N232" s="51">
        <f>O231*('AP01'!$P232-1)</f>
        <v>0</v>
      </c>
      <c r="O232" s="51">
        <f>(O231*'AP01'!$P232)-'AP01'!$G232</f>
        <v>128198.3575</v>
      </c>
      <c r="P232" s="53">
        <f t="shared" si="141"/>
        <v>1</v>
      </c>
      <c r="Q232" s="51">
        <f>(Q231*'AP01'!$P232)</f>
        <v>453092.9859</v>
      </c>
      <c r="R232" s="46">
        <f>DATEDIF($S$7,'AP01'!$B232,"Y")</f>
        <v>50</v>
      </c>
      <c r="S232" s="47">
        <f>VLOOKUP('AP01'!$R232,SEGUROS!$A:$B,2,TRUE)</f>
        <v>0.0007656</v>
      </c>
      <c r="T232" s="51">
        <f>('AP01'!$O232*'AP01'!$P232)*'AP01'!$S232</f>
        <v>98.14866253</v>
      </c>
      <c r="U232" s="51">
        <f>'AP01'!$Q232*0.00899%</f>
        <v>40.73305943</v>
      </c>
      <c r="V232" s="4"/>
      <c r="W232" s="4"/>
      <c r="X232" s="4"/>
      <c r="Y232" s="4"/>
      <c r="Z232" s="4"/>
    </row>
    <row r="233" ht="18.75" customHeight="1">
      <c r="A233" s="56">
        <f t="shared" si="4"/>
        <v>219</v>
      </c>
      <c r="B233" s="50">
        <f t="shared" si="8"/>
        <v>49908</v>
      </c>
      <c r="C233" s="58">
        <f t="shared" si="128"/>
        <v>0.1049</v>
      </c>
      <c r="D233" s="58">
        <f>((1+'AP01'!$C233)^(1/12))-1</f>
        <v>0.00834755088</v>
      </c>
      <c r="E233" s="51">
        <f t="shared" si="126"/>
        <v>2171.371183</v>
      </c>
      <c r="F233" s="51">
        <f>(O232*'AP01'!$P233)*'AP01'!$D233</f>
        <v>1070.142312</v>
      </c>
      <c r="G233" s="51">
        <f>(O232*'AP01'!$P233)/($I$5-A232)</f>
        <v>902.8053347</v>
      </c>
      <c r="H233" s="82">
        <f>(O232*'AP01'!$P233)*'AP01'!$S233</f>
        <v>98.14866253</v>
      </c>
      <c r="I233" s="82">
        <f>'AP01'!$Q233*0.00899%</f>
        <v>40.73305943</v>
      </c>
      <c r="J233" s="51">
        <f t="shared" si="136"/>
        <v>25</v>
      </c>
      <c r="K233" s="51">
        <f t="shared" ref="K233:L233" si="274">K232</f>
        <v>0</v>
      </c>
      <c r="L233" s="51">
        <f t="shared" si="274"/>
        <v>0</v>
      </c>
      <c r="M233" s="51">
        <f>SUM('AP01'!$F233:$L233)</f>
        <v>2136.829369</v>
      </c>
      <c r="N233" s="51">
        <f>O232*('AP01'!$P233-1)</f>
        <v>0</v>
      </c>
      <c r="O233" s="51">
        <f>(O232*'AP01'!$P233)-'AP01'!$G233</f>
        <v>127295.5522</v>
      </c>
      <c r="P233" s="53">
        <f t="shared" si="141"/>
        <v>1</v>
      </c>
      <c r="Q233" s="51">
        <f>(Q232*'AP01'!$P233)</f>
        <v>453092.9859</v>
      </c>
      <c r="R233" s="46">
        <f>DATEDIF($S$7,'AP01'!$B233,"Y")</f>
        <v>50</v>
      </c>
      <c r="S233" s="47">
        <f>VLOOKUP('AP01'!$R233,SEGUROS!$A:$B,2,TRUE)</f>
        <v>0.0007656</v>
      </c>
      <c r="T233" s="51">
        <f>('AP01'!$O233*'AP01'!$P233)*'AP01'!$S233</f>
        <v>97.45747476</v>
      </c>
      <c r="U233" s="51">
        <f>'AP01'!$Q233*0.00899%</f>
        <v>40.73305943</v>
      </c>
      <c r="V233" s="4"/>
      <c r="W233" s="4"/>
      <c r="X233" s="4"/>
      <c r="Y233" s="4"/>
      <c r="Z233" s="4"/>
    </row>
    <row r="234" ht="18.75" customHeight="1">
      <c r="A234" s="56">
        <f t="shared" si="4"/>
        <v>220</v>
      </c>
      <c r="B234" s="50">
        <f t="shared" si="8"/>
        <v>49939</v>
      </c>
      <c r="C234" s="58">
        <f t="shared" si="128"/>
        <v>0.1049</v>
      </c>
      <c r="D234" s="58">
        <f>((1+'AP01'!$C234)^(1/12))-1</f>
        <v>0.00834755088</v>
      </c>
      <c r="E234" s="51">
        <f t="shared" si="126"/>
        <v>2171.371183</v>
      </c>
      <c r="F234" s="51">
        <f>(O233*'AP01'!$P234)*'AP01'!$D234</f>
        <v>1062.606099</v>
      </c>
      <c r="G234" s="51">
        <f>(O233*'AP01'!$P234)/($I$5-A233)</f>
        <v>902.8053347</v>
      </c>
      <c r="H234" s="82">
        <f>(O233*'AP01'!$P234)*'AP01'!$S234</f>
        <v>97.45747476</v>
      </c>
      <c r="I234" s="82">
        <f>'AP01'!$Q234*0.00899%</f>
        <v>40.73305943</v>
      </c>
      <c r="J234" s="51">
        <f t="shared" si="136"/>
        <v>25</v>
      </c>
      <c r="K234" s="51">
        <f t="shared" ref="K234:L234" si="275">K233</f>
        <v>0</v>
      </c>
      <c r="L234" s="51">
        <f t="shared" si="275"/>
        <v>0</v>
      </c>
      <c r="M234" s="51">
        <f>SUM('AP01'!$F234:$L234)</f>
        <v>2128.601968</v>
      </c>
      <c r="N234" s="51">
        <f>O233*('AP01'!$P234-1)</f>
        <v>0</v>
      </c>
      <c r="O234" s="51">
        <f>(O233*'AP01'!$P234)-'AP01'!$G234</f>
        <v>126392.7469</v>
      </c>
      <c r="P234" s="53">
        <f t="shared" si="141"/>
        <v>1</v>
      </c>
      <c r="Q234" s="51">
        <f>(Q233*'AP01'!$P234)</f>
        <v>453092.9859</v>
      </c>
      <c r="R234" s="46">
        <f>DATEDIF($S$7,'AP01'!$B234,"Y")</f>
        <v>50</v>
      </c>
      <c r="S234" s="47">
        <f>VLOOKUP('AP01'!$R234,SEGUROS!$A:$B,2,TRUE)</f>
        <v>0.0007656</v>
      </c>
      <c r="T234" s="51">
        <f>('AP01'!$O234*'AP01'!$P234)*'AP01'!$S234</f>
        <v>96.766287</v>
      </c>
      <c r="U234" s="51">
        <f>'AP01'!$Q234*0.00899%</f>
        <v>40.73305943</v>
      </c>
      <c r="V234" s="4"/>
      <c r="W234" s="4"/>
      <c r="X234" s="4"/>
      <c r="Y234" s="4"/>
      <c r="Z234" s="4"/>
    </row>
    <row r="235" ht="18.75" customHeight="1">
      <c r="A235" s="56">
        <f t="shared" si="4"/>
        <v>221</v>
      </c>
      <c r="B235" s="50">
        <f t="shared" si="8"/>
        <v>49969</v>
      </c>
      <c r="C235" s="58">
        <f t="shared" si="128"/>
        <v>0.1049</v>
      </c>
      <c r="D235" s="58">
        <f>((1+'AP01'!$C235)^(1/12))-1</f>
        <v>0.00834755088</v>
      </c>
      <c r="E235" s="51">
        <f t="shared" si="126"/>
        <v>2171.371183</v>
      </c>
      <c r="F235" s="51">
        <f>(O234*'AP01'!$P235)*'AP01'!$D235</f>
        <v>1055.069885</v>
      </c>
      <c r="G235" s="51">
        <f>(O234*'AP01'!$P235)/($I$5-A234)</f>
        <v>902.8053347</v>
      </c>
      <c r="H235" s="82">
        <f>(O234*'AP01'!$P235)*'AP01'!$S235</f>
        <v>96.766287</v>
      </c>
      <c r="I235" s="82">
        <f>'AP01'!$Q235*0.00899%</f>
        <v>40.73305943</v>
      </c>
      <c r="J235" s="51">
        <f t="shared" si="136"/>
        <v>25</v>
      </c>
      <c r="K235" s="51">
        <f t="shared" ref="K235:L235" si="276">K234</f>
        <v>0</v>
      </c>
      <c r="L235" s="51">
        <f t="shared" si="276"/>
        <v>0</v>
      </c>
      <c r="M235" s="51">
        <f>SUM('AP01'!$F235:$L235)</f>
        <v>2120.374566</v>
      </c>
      <c r="N235" s="51">
        <f>O234*('AP01'!$P235-1)</f>
        <v>0</v>
      </c>
      <c r="O235" s="51">
        <f>(O234*'AP01'!$P235)-'AP01'!$G235</f>
        <v>125489.9415</v>
      </c>
      <c r="P235" s="53">
        <f t="shared" si="141"/>
        <v>1</v>
      </c>
      <c r="Q235" s="51">
        <f>(Q234*'AP01'!$P235)</f>
        <v>453092.9859</v>
      </c>
      <c r="R235" s="46">
        <f>DATEDIF($S$7,'AP01'!$B235,"Y")</f>
        <v>50</v>
      </c>
      <c r="S235" s="47">
        <f>VLOOKUP('AP01'!$R235,SEGUROS!$A:$B,2,TRUE)</f>
        <v>0.0007656</v>
      </c>
      <c r="T235" s="51">
        <f>('AP01'!$O235*'AP01'!$P235)*'AP01'!$S235</f>
        <v>96.07509923</v>
      </c>
      <c r="U235" s="51">
        <f>'AP01'!$Q235*0.00899%</f>
        <v>40.73305943</v>
      </c>
      <c r="V235" s="4"/>
      <c r="W235" s="4"/>
      <c r="X235" s="4"/>
      <c r="Y235" s="4"/>
      <c r="Z235" s="4"/>
    </row>
    <row r="236" ht="18.75" customHeight="1">
      <c r="A236" s="56">
        <f t="shared" si="4"/>
        <v>222</v>
      </c>
      <c r="B236" s="50">
        <f t="shared" si="8"/>
        <v>50000</v>
      </c>
      <c r="C236" s="58">
        <f t="shared" si="128"/>
        <v>0.1049</v>
      </c>
      <c r="D236" s="58">
        <f>((1+'AP01'!$C236)^(1/12))-1</f>
        <v>0.00834755088</v>
      </c>
      <c r="E236" s="51">
        <f t="shared" si="126"/>
        <v>2171.371183</v>
      </c>
      <c r="F236" s="51">
        <f>(O235*'AP01'!$P236)*'AP01'!$D236</f>
        <v>1047.533672</v>
      </c>
      <c r="G236" s="51">
        <f>(O235*'AP01'!$P236)/($I$5-A235)</f>
        <v>902.8053347</v>
      </c>
      <c r="H236" s="82">
        <f>(O235*'AP01'!$P236)*'AP01'!$S236</f>
        <v>96.07509923</v>
      </c>
      <c r="I236" s="82">
        <f>'AP01'!$Q236*0.00899%</f>
        <v>40.73305943</v>
      </c>
      <c r="J236" s="51">
        <f t="shared" si="136"/>
        <v>25</v>
      </c>
      <c r="K236" s="51">
        <f t="shared" ref="K236:L236" si="277">K235</f>
        <v>0</v>
      </c>
      <c r="L236" s="51">
        <f t="shared" si="277"/>
        <v>0</v>
      </c>
      <c r="M236" s="51">
        <f>SUM('AP01'!$F236:$L236)</f>
        <v>2112.147165</v>
      </c>
      <c r="N236" s="51">
        <f>O235*('AP01'!$P236-1)</f>
        <v>0</v>
      </c>
      <c r="O236" s="51">
        <f>(O235*'AP01'!$P236)-'AP01'!$G236</f>
        <v>124587.1362</v>
      </c>
      <c r="P236" s="53">
        <f t="shared" si="141"/>
        <v>1</v>
      </c>
      <c r="Q236" s="51">
        <f>(Q235*'AP01'!$P236)</f>
        <v>453092.9859</v>
      </c>
      <c r="R236" s="46">
        <f>DATEDIF($S$7,'AP01'!$B236,"Y")</f>
        <v>50</v>
      </c>
      <c r="S236" s="47">
        <f>VLOOKUP('AP01'!$R236,SEGUROS!$A:$B,2,TRUE)</f>
        <v>0.0007656</v>
      </c>
      <c r="T236" s="51">
        <f>('AP01'!$O236*'AP01'!$P236)*'AP01'!$S236</f>
        <v>95.38391147</v>
      </c>
      <c r="U236" s="51">
        <f>'AP01'!$Q236*0.00899%</f>
        <v>40.73305943</v>
      </c>
      <c r="V236" s="4"/>
      <c r="W236" s="4"/>
      <c r="X236" s="4"/>
      <c r="Y236" s="4"/>
      <c r="Z236" s="4"/>
    </row>
    <row r="237" ht="18.75" customHeight="1">
      <c r="A237" s="56">
        <f t="shared" si="4"/>
        <v>223</v>
      </c>
      <c r="B237" s="50">
        <f t="shared" si="8"/>
        <v>50030</v>
      </c>
      <c r="C237" s="58">
        <f t="shared" si="128"/>
        <v>0.1049</v>
      </c>
      <c r="D237" s="58">
        <f>((1+'AP01'!$C237)^(1/12))-1</f>
        <v>0.00834755088</v>
      </c>
      <c r="E237" s="51">
        <f t="shared" si="126"/>
        <v>2171.371183</v>
      </c>
      <c r="F237" s="51">
        <f>(O236*'AP01'!$P237)*'AP01'!$D237</f>
        <v>1039.997458</v>
      </c>
      <c r="G237" s="51">
        <f>(O236*'AP01'!$P237)/($I$5-A236)</f>
        <v>902.8053347</v>
      </c>
      <c r="H237" s="82">
        <f>(O236*'AP01'!$P237)*'AP01'!$S237</f>
        <v>109.2130836</v>
      </c>
      <c r="I237" s="82">
        <f>'AP01'!$Q237*0.00899%</f>
        <v>40.73305943</v>
      </c>
      <c r="J237" s="51">
        <f t="shared" si="136"/>
        <v>25</v>
      </c>
      <c r="K237" s="51">
        <f t="shared" ref="K237:L237" si="278">K236</f>
        <v>0</v>
      </c>
      <c r="L237" s="51">
        <f t="shared" si="278"/>
        <v>0</v>
      </c>
      <c r="M237" s="51">
        <f>SUM('AP01'!$F237:$L237)</f>
        <v>2117.748936</v>
      </c>
      <c r="N237" s="51">
        <f>O236*('AP01'!$P237-1)</f>
        <v>0</v>
      </c>
      <c r="O237" s="51">
        <f>(O236*'AP01'!$P237)-'AP01'!$G237</f>
        <v>123684.3309</v>
      </c>
      <c r="P237" s="53">
        <f t="shared" si="141"/>
        <v>1</v>
      </c>
      <c r="Q237" s="51">
        <f>(Q236*'AP01'!$P237)</f>
        <v>453092.9859</v>
      </c>
      <c r="R237" s="46">
        <f>DATEDIF($S$7,'AP01'!$B237,"Y")</f>
        <v>51</v>
      </c>
      <c r="S237" s="47">
        <f>VLOOKUP('AP01'!$R237,SEGUROS!$A:$B,2,TRUE)</f>
        <v>0.0008766</v>
      </c>
      <c r="T237" s="51">
        <f>('AP01'!$O237*'AP01'!$P237)*'AP01'!$S237</f>
        <v>108.4216844</v>
      </c>
      <c r="U237" s="51">
        <f>'AP01'!$Q237*0.00899%</f>
        <v>40.73305943</v>
      </c>
      <c r="V237" s="4"/>
      <c r="W237" s="4"/>
      <c r="X237" s="4"/>
      <c r="Y237" s="4"/>
      <c r="Z237" s="4"/>
    </row>
    <row r="238" ht="18.75" customHeight="1">
      <c r="A238" s="56">
        <f t="shared" si="4"/>
        <v>224</v>
      </c>
      <c r="B238" s="50">
        <f t="shared" si="8"/>
        <v>50061</v>
      </c>
      <c r="C238" s="58">
        <f t="shared" si="128"/>
        <v>0.1049</v>
      </c>
      <c r="D238" s="58">
        <f>((1+'AP01'!$C238)^(1/12))-1</f>
        <v>0.00834755088</v>
      </c>
      <c r="E238" s="51">
        <f t="shared" si="126"/>
        <v>2171.371183</v>
      </c>
      <c r="F238" s="51">
        <f>(O237*'AP01'!$P238)*'AP01'!$D238</f>
        <v>1032.461245</v>
      </c>
      <c r="G238" s="51">
        <f>(O237*'AP01'!$P238)/($I$5-A237)</f>
        <v>902.8053347</v>
      </c>
      <c r="H238" s="82">
        <f>(O237*'AP01'!$P238)*'AP01'!$S238</f>
        <v>108.4216844</v>
      </c>
      <c r="I238" s="82">
        <f>'AP01'!$Q238*0.00899%</f>
        <v>40.73305943</v>
      </c>
      <c r="J238" s="51">
        <f t="shared" si="136"/>
        <v>25</v>
      </c>
      <c r="K238" s="51">
        <f t="shared" ref="K238:L238" si="279">K237</f>
        <v>0</v>
      </c>
      <c r="L238" s="51">
        <f t="shared" si="279"/>
        <v>0</v>
      </c>
      <c r="M238" s="51">
        <f>SUM('AP01'!$F238:$L238)</f>
        <v>2109.421323</v>
      </c>
      <c r="N238" s="51">
        <f>O237*('AP01'!$P238-1)</f>
        <v>0</v>
      </c>
      <c r="O238" s="51">
        <f>(O237*'AP01'!$P238)-'AP01'!$G238</f>
        <v>122781.5255</v>
      </c>
      <c r="P238" s="53">
        <f t="shared" si="141"/>
        <v>1</v>
      </c>
      <c r="Q238" s="51">
        <f>(Q237*'AP01'!$P238)</f>
        <v>453092.9859</v>
      </c>
      <c r="R238" s="46">
        <f>DATEDIF($S$7,'AP01'!$B238,"Y")</f>
        <v>51</v>
      </c>
      <c r="S238" s="47">
        <f>VLOOKUP('AP01'!$R238,SEGUROS!$A:$B,2,TRUE)</f>
        <v>0.0008766</v>
      </c>
      <c r="T238" s="51">
        <f>('AP01'!$O238*'AP01'!$P238)*'AP01'!$S238</f>
        <v>107.6302853</v>
      </c>
      <c r="U238" s="51">
        <f>'AP01'!$Q238*0.00899%</f>
        <v>40.73305943</v>
      </c>
      <c r="V238" s="4"/>
      <c r="W238" s="4"/>
      <c r="X238" s="4"/>
      <c r="Y238" s="4"/>
      <c r="Z238" s="4"/>
    </row>
    <row r="239" ht="18.75" customHeight="1">
      <c r="A239" s="56">
        <f t="shared" si="4"/>
        <v>225</v>
      </c>
      <c r="B239" s="50">
        <f t="shared" si="8"/>
        <v>50092</v>
      </c>
      <c r="C239" s="58">
        <f t="shared" si="128"/>
        <v>0.1049</v>
      </c>
      <c r="D239" s="58">
        <f>((1+'AP01'!$C239)^(1/12))-1</f>
        <v>0.00834755088</v>
      </c>
      <c r="E239" s="51">
        <f t="shared" si="126"/>
        <v>2171.371183</v>
      </c>
      <c r="F239" s="51">
        <f>(O238*'AP01'!$P239)*'AP01'!$D239</f>
        <v>1024.925031</v>
      </c>
      <c r="G239" s="51">
        <f>(O238*'AP01'!$P239)/($I$5-A238)</f>
        <v>902.8053347</v>
      </c>
      <c r="H239" s="82">
        <f>(O238*'AP01'!$P239)*'AP01'!$S239</f>
        <v>107.6302853</v>
      </c>
      <c r="I239" s="82">
        <f>'AP01'!$Q239*0.00899%</f>
        <v>40.73305943</v>
      </c>
      <c r="J239" s="51">
        <f t="shared" si="136"/>
        <v>25</v>
      </c>
      <c r="K239" s="51">
        <f t="shared" ref="K239:L239" si="280">K238</f>
        <v>0</v>
      </c>
      <c r="L239" s="51">
        <f t="shared" si="280"/>
        <v>0</v>
      </c>
      <c r="M239" s="51">
        <f>SUM('AP01'!$F239:$L239)</f>
        <v>2101.093711</v>
      </c>
      <c r="N239" s="51">
        <f>O238*('AP01'!$P239-1)</f>
        <v>0</v>
      </c>
      <c r="O239" s="51">
        <f>(O238*'AP01'!$P239)-'AP01'!$G239</f>
        <v>121878.7202</v>
      </c>
      <c r="P239" s="53">
        <f t="shared" si="141"/>
        <v>1</v>
      </c>
      <c r="Q239" s="51">
        <f>(Q238*'AP01'!$P239)</f>
        <v>453092.9859</v>
      </c>
      <c r="R239" s="46">
        <f>DATEDIF($S$7,'AP01'!$B239,"Y")</f>
        <v>51</v>
      </c>
      <c r="S239" s="47">
        <f>VLOOKUP('AP01'!$R239,SEGUROS!$A:$B,2,TRUE)</f>
        <v>0.0008766</v>
      </c>
      <c r="T239" s="51">
        <f>('AP01'!$O239*'AP01'!$P239)*'AP01'!$S239</f>
        <v>106.8388861</v>
      </c>
      <c r="U239" s="51">
        <f>'AP01'!$Q239*0.00899%</f>
        <v>40.73305943</v>
      </c>
      <c r="V239" s="4"/>
      <c r="W239" s="4"/>
      <c r="X239" s="4"/>
      <c r="Y239" s="4"/>
      <c r="Z239" s="4"/>
    </row>
    <row r="240" ht="18.75" customHeight="1">
      <c r="A240" s="56">
        <f t="shared" si="4"/>
        <v>226</v>
      </c>
      <c r="B240" s="50">
        <f t="shared" si="8"/>
        <v>50120</v>
      </c>
      <c r="C240" s="58">
        <f t="shared" si="128"/>
        <v>0.1049</v>
      </c>
      <c r="D240" s="58">
        <f>((1+'AP01'!$C240)^(1/12))-1</f>
        <v>0.00834755088</v>
      </c>
      <c r="E240" s="51">
        <f t="shared" si="126"/>
        <v>2171.371183</v>
      </c>
      <c r="F240" s="51">
        <f>(O239*'AP01'!$P240)*'AP01'!$D240</f>
        <v>1017.388818</v>
      </c>
      <c r="G240" s="51">
        <f>(O239*'AP01'!$P240)/($I$5-A239)</f>
        <v>902.8053347</v>
      </c>
      <c r="H240" s="82">
        <f>(O239*'AP01'!$P240)*'AP01'!$S240</f>
        <v>106.8388861</v>
      </c>
      <c r="I240" s="82">
        <f>'AP01'!$Q240*0.00899%</f>
        <v>40.73305943</v>
      </c>
      <c r="J240" s="51">
        <f t="shared" si="136"/>
        <v>25</v>
      </c>
      <c r="K240" s="51">
        <f t="shared" ref="K240:L240" si="281">K239</f>
        <v>0</v>
      </c>
      <c r="L240" s="51">
        <f t="shared" si="281"/>
        <v>0</v>
      </c>
      <c r="M240" s="51">
        <f>SUM('AP01'!$F240:$L240)</f>
        <v>2092.766098</v>
      </c>
      <c r="N240" s="51">
        <f>O239*('AP01'!$P240-1)</f>
        <v>0</v>
      </c>
      <c r="O240" s="51">
        <f>(O239*'AP01'!$P240)-'AP01'!$G240</f>
        <v>120975.9149</v>
      </c>
      <c r="P240" s="53">
        <f t="shared" si="141"/>
        <v>1</v>
      </c>
      <c r="Q240" s="51">
        <f>(Q239*'AP01'!$P240)</f>
        <v>453092.9859</v>
      </c>
      <c r="R240" s="46">
        <f>DATEDIF($S$7,'AP01'!$B240,"Y")</f>
        <v>51</v>
      </c>
      <c r="S240" s="47">
        <f>VLOOKUP('AP01'!$R240,SEGUROS!$A:$B,2,TRUE)</f>
        <v>0.0008766</v>
      </c>
      <c r="T240" s="51">
        <f>('AP01'!$O240*'AP01'!$P240)*'AP01'!$S240</f>
        <v>106.047487</v>
      </c>
      <c r="U240" s="51">
        <f>'AP01'!$Q240*0.00899%</f>
        <v>40.73305943</v>
      </c>
      <c r="V240" s="4"/>
      <c r="W240" s="4"/>
      <c r="X240" s="4"/>
      <c r="Y240" s="4"/>
      <c r="Z240" s="4"/>
    </row>
    <row r="241" ht="18.75" customHeight="1">
      <c r="A241" s="56">
        <f t="shared" si="4"/>
        <v>227</v>
      </c>
      <c r="B241" s="50">
        <f t="shared" si="8"/>
        <v>50151</v>
      </c>
      <c r="C241" s="58">
        <f t="shared" si="128"/>
        <v>0.1049</v>
      </c>
      <c r="D241" s="58">
        <f>((1+'AP01'!$C241)^(1/12))-1</f>
        <v>0.00834755088</v>
      </c>
      <c r="E241" s="51">
        <f t="shared" si="126"/>
        <v>2171.371183</v>
      </c>
      <c r="F241" s="51">
        <f>(O240*'AP01'!$P241)*'AP01'!$D241</f>
        <v>1009.852604</v>
      </c>
      <c r="G241" s="51">
        <f>(O240*'AP01'!$P241)/($I$5-A240)</f>
        <v>902.8053347</v>
      </c>
      <c r="H241" s="82">
        <f>(O240*'AP01'!$P241)*'AP01'!$S241</f>
        <v>106.047487</v>
      </c>
      <c r="I241" s="82">
        <f>'AP01'!$Q241*0.00899%</f>
        <v>40.73305943</v>
      </c>
      <c r="J241" s="51">
        <f t="shared" si="136"/>
        <v>25</v>
      </c>
      <c r="K241" s="51">
        <f t="shared" ref="K241:L241" si="282">K240</f>
        <v>0</v>
      </c>
      <c r="L241" s="51">
        <f t="shared" si="282"/>
        <v>0</v>
      </c>
      <c r="M241" s="51">
        <f>SUM('AP01'!$F241:$L241)</f>
        <v>2084.438486</v>
      </c>
      <c r="N241" s="51">
        <f>O240*('AP01'!$P241-1)</f>
        <v>0</v>
      </c>
      <c r="O241" s="51">
        <f>(O240*'AP01'!$P241)-'AP01'!$G241</f>
        <v>120073.1095</v>
      </c>
      <c r="P241" s="53">
        <f t="shared" si="141"/>
        <v>1</v>
      </c>
      <c r="Q241" s="51">
        <f>(Q240*'AP01'!$P241)</f>
        <v>453092.9859</v>
      </c>
      <c r="R241" s="46">
        <f>DATEDIF($S$7,'AP01'!$B241,"Y")</f>
        <v>51</v>
      </c>
      <c r="S241" s="47">
        <f>VLOOKUP('AP01'!$R241,SEGUROS!$A:$B,2,TRUE)</f>
        <v>0.0008766</v>
      </c>
      <c r="T241" s="51">
        <f>('AP01'!$O241*'AP01'!$P241)*'AP01'!$S241</f>
        <v>105.2560878</v>
      </c>
      <c r="U241" s="51">
        <f>'AP01'!$Q241*0.00899%</f>
        <v>40.73305943</v>
      </c>
      <c r="V241" s="4"/>
      <c r="W241" s="4"/>
      <c r="X241" s="4"/>
      <c r="Y241" s="4"/>
      <c r="Z241" s="4"/>
    </row>
    <row r="242" ht="18.75" customHeight="1">
      <c r="A242" s="56">
        <f t="shared" si="4"/>
        <v>228</v>
      </c>
      <c r="B242" s="50">
        <f t="shared" si="8"/>
        <v>50181</v>
      </c>
      <c r="C242" s="58">
        <f t="shared" si="128"/>
        <v>0.1049</v>
      </c>
      <c r="D242" s="58">
        <f>((1+'AP01'!$C242)^(1/12))-1</f>
        <v>0.00834755088</v>
      </c>
      <c r="E242" s="51">
        <f t="shared" si="126"/>
        <v>2171.371183</v>
      </c>
      <c r="F242" s="51">
        <f>(O241*'AP01'!$P242)*'AP01'!$D242</f>
        <v>1002.316391</v>
      </c>
      <c r="G242" s="51">
        <f>(O241*'AP01'!$P242)/($I$5-A241)</f>
        <v>902.8053347</v>
      </c>
      <c r="H242" s="82">
        <f>(O241*'AP01'!$P242)*'AP01'!$S242</f>
        <v>105.2560878</v>
      </c>
      <c r="I242" s="82">
        <f>'AP01'!$Q242*0.00899%</f>
        <v>40.73305943</v>
      </c>
      <c r="J242" s="51">
        <f t="shared" si="136"/>
        <v>25</v>
      </c>
      <c r="K242" s="51">
        <f t="shared" ref="K242:L242" si="283">K241</f>
        <v>0</v>
      </c>
      <c r="L242" s="51">
        <f t="shared" si="283"/>
        <v>0</v>
      </c>
      <c r="M242" s="51">
        <f>SUM('AP01'!$F242:$L242)</f>
        <v>2076.110873</v>
      </c>
      <c r="N242" s="51">
        <f>O241*('AP01'!$P242-1)</f>
        <v>0</v>
      </c>
      <c r="O242" s="51">
        <f>(O241*'AP01'!$P242)-'AP01'!$G242</f>
        <v>119170.3042</v>
      </c>
      <c r="P242" s="53">
        <f t="shared" si="141"/>
        <v>1</v>
      </c>
      <c r="Q242" s="51">
        <f>(Q241*'AP01'!$P242)</f>
        <v>453092.9859</v>
      </c>
      <c r="R242" s="46">
        <f>DATEDIF($S$7,'AP01'!$B242,"Y")</f>
        <v>51</v>
      </c>
      <c r="S242" s="47">
        <f>VLOOKUP('AP01'!$R242,SEGUROS!$A:$B,2,TRUE)</f>
        <v>0.0008766</v>
      </c>
      <c r="T242" s="51">
        <f>('AP01'!$O242*'AP01'!$P242)*'AP01'!$S242</f>
        <v>104.4646886</v>
      </c>
      <c r="U242" s="51">
        <f>'AP01'!$Q242*0.00899%</f>
        <v>40.73305943</v>
      </c>
      <c r="V242" s="4"/>
      <c r="W242" s="4"/>
      <c r="X242" s="4"/>
      <c r="Y242" s="4"/>
      <c r="Z242" s="4"/>
    </row>
    <row r="243" ht="18.75" customHeight="1">
      <c r="A243" s="56">
        <f t="shared" si="4"/>
        <v>229</v>
      </c>
      <c r="B243" s="50">
        <f t="shared" si="8"/>
        <v>50212</v>
      </c>
      <c r="C243" s="58">
        <f t="shared" si="128"/>
        <v>0.1049</v>
      </c>
      <c r="D243" s="58">
        <f>((1+'AP01'!$C243)^(1/12))-1</f>
        <v>0.00834755088</v>
      </c>
      <c r="E243" s="51">
        <f t="shared" si="126"/>
        <v>2171.371183</v>
      </c>
      <c r="F243" s="51">
        <f>(O242*'AP01'!$P243)*'AP01'!$D243</f>
        <v>994.7801776</v>
      </c>
      <c r="G243" s="51">
        <f>(O242*'AP01'!$P243)/($I$5-A242)</f>
        <v>902.8053347</v>
      </c>
      <c r="H243" s="82">
        <f>(O242*'AP01'!$P243)*'AP01'!$S243</f>
        <v>104.4646886</v>
      </c>
      <c r="I243" s="82">
        <f>'AP01'!$Q243*0.00899%</f>
        <v>40.73305943</v>
      </c>
      <c r="J243" s="51">
        <f t="shared" si="136"/>
        <v>25</v>
      </c>
      <c r="K243" s="51">
        <f t="shared" ref="K243:L243" si="284">K242</f>
        <v>0</v>
      </c>
      <c r="L243" s="51">
        <f t="shared" si="284"/>
        <v>0</v>
      </c>
      <c r="M243" s="51">
        <f>SUM('AP01'!$F243:$L243)</f>
        <v>2067.78326</v>
      </c>
      <c r="N243" s="51">
        <f>O242*('AP01'!$P243-1)</f>
        <v>0</v>
      </c>
      <c r="O243" s="51">
        <f>(O242*'AP01'!$P243)-'AP01'!$G243</f>
        <v>118267.4989</v>
      </c>
      <c r="P243" s="53">
        <f t="shared" si="141"/>
        <v>1</v>
      </c>
      <c r="Q243" s="51">
        <f>(Q242*'AP01'!$P243)</f>
        <v>453092.9859</v>
      </c>
      <c r="R243" s="46">
        <f>DATEDIF($S$7,'AP01'!$B243,"Y")</f>
        <v>51</v>
      </c>
      <c r="S243" s="47">
        <f>VLOOKUP('AP01'!$R243,SEGUROS!$A:$B,2,TRUE)</f>
        <v>0.0008766</v>
      </c>
      <c r="T243" s="51">
        <f>('AP01'!$O243*'AP01'!$P243)*'AP01'!$S243</f>
        <v>103.6732895</v>
      </c>
      <c r="U243" s="51">
        <f>'AP01'!$Q243*0.00899%</f>
        <v>40.73305943</v>
      </c>
      <c r="V243" s="4"/>
      <c r="W243" s="4"/>
      <c r="X243" s="4"/>
      <c r="Y243" s="4"/>
      <c r="Z243" s="4"/>
    </row>
    <row r="244" ht="18.75" customHeight="1">
      <c r="A244" s="56">
        <f t="shared" si="4"/>
        <v>230</v>
      </c>
      <c r="B244" s="50">
        <f t="shared" si="8"/>
        <v>50242</v>
      </c>
      <c r="C244" s="58">
        <f t="shared" si="128"/>
        <v>0.1049</v>
      </c>
      <c r="D244" s="58">
        <f>((1+'AP01'!$C244)^(1/12))-1</f>
        <v>0.00834755088</v>
      </c>
      <c r="E244" s="51">
        <f t="shared" si="126"/>
        <v>2171.371183</v>
      </c>
      <c r="F244" s="51">
        <f>(O243*'AP01'!$P244)*'AP01'!$D244</f>
        <v>987.2439641</v>
      </c>
      <c r="G244" s="51">
        <f>(O243*'AP01'!$P244)/($I$5-A243)</f>
        <v>902.8053347</v>
      </c>
      <c r="H244" s="82">
        <f>(O243*'AP01'!$P244)*'AP01'!$S244</f>
        <v>103.6732895</v>
      </c>
      <c r="I244" s="82">
        <f>'AP01'!$Q244*0.00899%</f>
        <v>40.73305943</v>
      </c>
      <c r="J244" s="51">
        <f t="shared" si="136"/>
        <v>25</v>
      </c>
      <c r="K244" s="51">
        <f t="shared" ref="K244:L244" si="285">K243</f>
        <v>0</v>
      </c>
      <c r="L244" s="51">
        <f t="shared" si="285"/>
        <v>0</v>
      </c>
      <c r="M244" s="51">
        <f>SUM('AP01'!$F244:$L244)</f>
        <v>2059.455648</v>
      </c>
      <c r="N244" s="51">
        <f>O243*('AP01'!$P244-1)</f>
        <v>0</v>
      </c>
      <c r="O244" s="51">
        <f>(O243*'AP01'!$P244)-'AP01'!$G244</f>
        <v>117364.6935</v>
      </c>
      <c r="P244" s="53">
        <f t="shared" si="141"/>
        <v>1</v>
      </c>
      <c r="Q244" s="51">
        <f>(Q243*'AP01'!$P244)</f>
        <v>453092.9859</v>
      </c>
      <c r="R244" s="46">
        <f>DATEDIF($S$7,'AP01'!$B244,"Y")</f>
        <v>51</v>
      </c>
      <c r="S244" s="47">
        <f>VLOOKUP('AP01'!$R244,SEGUROS!$A:$B,2,TRUE)</f>
        <v>0.0008766</v>
      </c>
      <c r="T244" s="51">
        <f>('AP01'!$O244*'AP01'!$P244)*'AP01'!$S244</f>
        <v>102.8818903</v>
      </c>
      <c r="U244" s="51">
        <f>'AP01'!$Q244*0.00899%</f>
        <v>40.73305943</v>
      </c>
      <c r="V244" s="4"/>
      <c r="W244" s="4"/>
      <c r="X244" s="4"/>
      <c r="Y244" s="4"/>
      <c r="Z244" s="4"/>
    </row>
    <row r="245" ht="18.75" customHeight="1">
      <c r="A245" s="56">
        <f t="shared" si="4"/>
        <v>231</v>
      </c>
      <c r="B245" s="50">
        <f t="shared" si="8"/>
        <v>50273</v>
      </c>
      <c r="C245" s="58">
        <f t="shared" si="128"/>
        <v>0.1049</v>
      </c>
      <c r="D245" s="58">
        <f>((1+'AP01'!$C245)^(1/12))-1</f>
        <v>0.00834755088</v>
      </c>
      <c r="E245" s="51">
        <f t="shared" si="126"/>
        <v>2171.371183</v>
      </c>
      <c r="F245" s="51">
        <f>(O244*'AP01'!$P245)*'AP01'!$D245</f>
        <v>979.7077506</v>
      </c>
      <c r="G245" s="51">
        <f>(O244*'AP01'!$P245)/($I$5-A244)</f>
        <v>902.8053347</v>
      </c>
      <c r="H245" s="82">
        <f>(O244*'AP01'!$P245)*'AP01'!$S245</f>
        <v>102.8818903</v>
      </c>
      <c r="I245" s="82">
        <f>'AP01'!$Q245*0.00899%</f>
        <v>40.73305943</v>
      </c>
      <c r="J245" s="51">
        <f t="shared" si="136"/>
        <v>25</v>
      </c>
      <c r="K245" s="51">
        <f t="shared" ref="K245:L245" si="286">K244</f>
        <v>0</v>
      </c>
      <c r="L245" s="51">
        <f t="shared" si="286"/>
        <v>0</v>
      </c>
      <c r="M245" s="51">
        <f>SUM('AP01'!$F245:$L245)</f>
        <v>2051.128035</v>
      </c>
      <c r="N245" s="51">
        <f>O244*('AP01'!$P245-1)</f>
        <v>0</v>
      </c>
      <c r="O245" s="51">
        <f>(O244*'AP01'!$P245)-'AP01'!$G245</f>
        <v>116461.8882</v>
      </c>
      <c r="P245" s="53">
        <f t="shared" si="141"/>
        <v>1</v>
      </c>
      <c r="Q245" s="51">
        <f>(Q244*'AP01'!$P245)</f>
        <v>453092.9859</v>
      </c>
      <c r="R245" s="46">
        <f>DATEDIF($S$7,'AP01'!$B245,"Y")</f>
        <v>51</v>
      </c>
      <c r="S245" s="47">
        <f>VLOOKUP('AP01'!$R245,SEGUROS!$A:$B,2,TRUE)</f>
        <v>0.0008766</v>
      </c>
      <c r="T245" s="51">
        <f>('AP01'!$O245*'AP01'!$P245)*'AP01'!$S245</f>
        <v>102.0904912</v>
      </c>
      <c r="U245" s="51">
        <f>'AP01'!$Q245*0.00899%</f>
        <v>40.73305943</v>
      </c>
      <c r="V245" s="4"/>
      <c r="W245" s="4"/>
      <c r="X245" s="4"/>
      <c r="Y245" s="4"/>
      <c r="Z245" s="4"/>
    </row>
    <row r="246" ht="18.75" customHeight="1">
      <c r="A246" s="56">
        <f t="shared" si="4"/>
        <v>232</v>
      </c>
      <c r="B246" s="50">
        <f t="shared" si="8"/>
        <v>50304</v>
      </c>
      <c r="C246" s="58">
        <f t="shared" si="128"/>
        <v>0.1049</v>
      </c>
      <c r="D246" s="58">
        <f>((1+'AP01'!$C246)^(1/12))-1</f>
        <v>0.00834755088</v>
      </c>
      <c r="E246" s="51">
        <f t="shared" si="126"/>
        <v>2171.371183</v>
      </c>
      <c r="F246" s="51">
        <f>(O245*'AP01'!$P246)*'AP01'!$D246</f>
        <v>972.1715372</v>
      </c>
      <c r="G246" s="51">
        <f>(O245*'AP01'!$P246)/($I$5-A245)</f>
        <v>902.8053347</v>
      </c>
      <c r="H246" s="82">
        <f>(O245*'AP01'!$P246)*'AP01'!$S246</f>
        <v>102.0904912</v>
      </c>
      <c r="I246" s="82">
        <f>'AP01'!$Q246*0.00899%</f>
        <v>40.73305943</v>
      </c>
      <c r="J246" s="51">
        <f t="shared" si="136"/>
        <v>25</v>
      </c>
      <c r="K246" s="51">
        <f t="shared" ref="K246:L246" si="287">K245</f>
        <v>0</v>
      </c>
      <c r="L246" s="51">
        <f t="shared" si="287"/>
        <v>0</v>
      </c>
      <c r="M246" s="51">
        <f>SUM('AP01'!$F246:$L246)</f>
        <v>2042.800423</v>
      </c>
      <c r="N246" s="51">
        <f>O245*('AP01'!$P246-1)</f>
        <v>0</v>
      </c>
      <c r="O246" s="51">
        <f>(O245*'AP01'!$P246)-'AP01'!$G246</f>
        <v>115559.0828</v>
      </c>
      <c r="P246" s="53">
        <f t="shared" si="141"/>
        <v>1</v>
      </c>
      <c r="Q246" s="51">
        <f>(Q245*'AP01'!$P246)</f>
        <v>453092.9859</v>
      </c>
      <c r="R246" s="46">
        <f>DATEDIF($S$7,'AP01'!$B246,"Y")</f>
        <v>51</v>
      </c>
      <c r="S246" s="47">
        <f>VLOOKUP('AP01'!$R246,SEGUROS!$A:$B,2,TRUE)</f>
        <v>0.0008766</v>
      </c>
      <c r="T246" s="51">
        <f>('AP01'!$O246*'AP01'!$P246)*'AP01'!$S246</f>
        <v>101.299092</v>
      </c>
      <c r="U246" s="51">
        <f>'AP01'!$Q246*0.00899%</f>
        <v>40.73305943</v>
      </c>
      <c r="V246" s="4"/>
      <c r="W246" s="4"/>
      <c r="X246" s="4"/>
      <c r="Y246" s="4"/>
      <c r="Z246" s="4"/>
    </row>
    <row r="247" ht="18.75" customHeight="1">
      <c r="A247" s="56">
        <f t="shared" si="4"/>
        <v>233</v>
      </c>
      <c r="B247" s="50">
        <f t="shared" si="8"/>
        <v>50334</v>
      </c>
      <c r="C247" s="58">
        <f t="shared" si="128"/>
        <v>0.1049</v>
      </c>
      <c r="D247" s="58">
        <f>((1+'AP01'!$C247)^(1/12))-1</f>
        <v>0.00834755088</v>
      </c>
      <c r="E247" s="51">
        <f t="shared" si="126"/>
        <v>2171.371183</v>
      </c>
      <c r="F247" s="51">
        <f>(O246*'AP01'!$P247)*'AP01'!$D247</f>
        <v>964.6353237</v>
      </c>
      <c r="G247" s="51">
        <f>(O246*'AP01'!$P247)/($I$5-A246)</f>
        <v>902.8053347</v>
      </c>
      <c r="H247" s="82">
        <f>(O246*'AP01'!$P247)*'AP01'!$S247</f>
        <v>101.299092</v>
      </c>
      <c r="I247" s="82">
        <f>'AP01'!$Q247*0.00899%</f>
        <v>40.73305943</v>
      </c>
      <c r="J247" s="51">
        <f t="shared" si="136"/>
        <v>25</v>
      </c>
      <c r="K247" s="51">
        <f t="shared" ref="K247:L247" si="288">K246</f>
        <v>0</v>
      </c>
      <c r="L247" s="51">
        <f t="shared" si="288"/>
        <v>0</v>
      </c>
      <c r="M247" s="51">
        <f>SUM('AP01'!$F247:$L247)</f>
        <v>2034.47281</v>
      </c>
      <c r="N247" s="51">
        <f>O246*('AP01'!$P247-1)</f>
        <v>0</v>
      </c>
      <c r="O247" s="51">
        <f>(O246*'AP01'!$P247)-'AP01'!$G247</f>
        <v>114656.2775</v>
      </c>
      <c r="P247" s="53">
        <f t="shared" si="141"/>
        <v>1</v>
      </c>
      <c r="Q247" s="51">
        <f>(Q246*'AP01'!$P247)</f>
        <v>453092.9859</v>
      </c>
      <c r="R247" s="46">
        <f>DATEDIF($S$7,'AP01'!$B247,"Y")</f>
        <v>51</v>
      </c>
      <c r="S247" s="47">
        <f>VLOOKUP('AP01'!$R247,SEGUROS!$A:$B,2,TRUE)</f>
        <v>0.0008766</v>
      </c>
      <c r="T247" s="51">
        <f>('AP01'!$O247*'AP01'!$P247)*'AP01'!$S247</f>
        <v>100.5076929</v>
      </c>
      <c r="U247" s="51">
        <f>'AP01'!$Q247*0.00899%</f>
        <v>40.73305943</v>
      </c>
      <c r="V247" s="4"/>
      <c r="W247" s="4"/>
      <c r="X247" s="4"/>
      <c r="Y247" s="4"/>
      <c r="Z247" s="4"/>
    </row>
    <row r="248" ht="18.75" customHeight="1">
      <c r="A248" s="56">
        <f t="shared" si="4"/>
        <v>234</v>
      </c>
      <c r="B248" s="50">
        <f t="shared" si="8"/>
        <v>50365</v>
      </c>
      <c r="C248" s="58">
        <f t="shared" si="128"/>
        <v>0.1049</v>
      </c>
      <c r="D248" s="58">
        <f>((1+'AP01'!$C248)^(1/12))-1</f>
        <v>0.00834755088</v>
      </c>
      <c r="E248" s="51">
        <f t="shared" si="126"/>
        <v>2171.371183</v>
      </c>
      <c r="F248" s="51">
        <f>(O247*'AP01'!$P248)*'AP01'!$D248</f>
        <v>957.0991102</v>
      </c>
      <c r="G248" s="51">
        <f>(O247*'AP01'!$P248)/($I$5-A247)</f>
        <v>902.8053347</v>
      </c>
      <c r="H248" s="82">
        <f>(O247*'AP01'!$P248)*'AP01'!$S248</f>
        <v>100.5076929</v>
      </c>
      <c r="I248" s="82">
        <f>'AP01'!$Q248*0.00899%</f>
        <v>40.73305943</v>
      </c>
      <c r="J248" s="51">
        <f t="shared" si="136"/>
        <v>25</v>
      </c>
      <c r="K248" s="51">
        <f t="shared" ref="K248:L248" si="289">K247</f>
        <v>0</v>
      </c>
      <c r="L248" s="51">
        <f t="shared" si="289"/>
        <v>0</v>
      </c>
      <c r="M248" s="51">
        <f>SUM('AP01'!$F248:$L248)</f>
        <v>2026.145197</v>
      </c>
      <c r="N248" s="51">
        <f>O247*('AP01'!$P248-1)</f>
        <v>0</v>
      </c>
      <c r="O248" s="51">
        <f>(O247*'AP01'!$P248)-'AP01'!$G248</f>
        <v>113753.4722</v>
      </c>
      <c r="P248" s="53">
        <f t="shared" si="141"/>
        <v>1</v>
      </c>
      <c r="Q248" s="51">
        <f>(Q247*'AP01'!$P248)</f>
        <v>453092.9859</v>
      </c>
      <c r="R248" s="46">
        <f>DATEDIF($S$7,'AP01'!$B248,"Y")</f>
        <v>51</v>
      </c>
      <c r="S248" s="47">
        <f>VLOOKUP('AP01'!$R248,SEGUROS!$A:$B,2,TRUE)</f>
        <v>0.0008766</v>
      </c>
      <c r="T248" s="51">
        <f>('AP01'!$O248*'AP01'!$P248)*'AP01'!$S248</f>
        <v>99.71629371</v>
      </c>
      <c r="U248" s="51">
        <f>'AP01'!$Q248*0.00899%</f>
        <v>40.73305943</v>
      </c>
      <c r="V248" s="4"/>
      <c r="W248" s="4"/>
      <c r="X248" s="4"/>
      <c r="Y248" s="4"/>
      <c r="Z248" s="4"/>
    </row>
    <row r="249" ht="18.75" customHeight="1">
      <c r="A249" s="56">
        <f t="shared" si="4"/>
        <v>235</v>
      </c>
      <c r="B249" s="50">
        <f t="shared" si="8"/>
        <v>50395</v>
      </c>
      <c r="C249" s="58">
        <f t="shared" si="128"/>
        <v>0.1049</v>
      </c>
      <c r="D249" s="58">
        <f>((1+'AP01'!$C249)^(1/12))-1</f>
        <v>0.00834755088</v>
      </c>
      <c r="E249" s="51">
        <f t="shared" si="126"/>
        <v>2171.371183</v>
      </c>
      <c r="F249" s="51">
        <f>(O248*'AP01'!$P249)*'AP01'!$D249</f>
        <v>949.5628968</v>
      </c>
      <c r="G249" s="51">
        <f>(O248*'AP01'!$P249)/($I$5-A248)</f>
        <v>902.8053347</v>
      </c>
      <c r="H249" s="82">
        <f>(O248*'AP01'!$P249)*'AP01'!$S249</f>
        <v>108.8734482</v>
      </c>
      <c r="I249" s="82">
        <f>'AP01'!$Q249*0.00899%</f>
        <v>40.73305943</v>
      </c>
      <c r="J249" s="51">
        <f t="shared" si="136"/>
        <v>25</v>
      </c>
      <c r="K249" s="51">
        <f t="shared" ref="K249:L249" si="290">K248</f>
        <v>0</v>
      </c>
      <c r="L249" s="51">
        <f t="shared" si="290"/>
        <v>0</v>
      </c>
      <c r="M249" s="51">
        <f>SUM('AP01'!$F249:$L249)</f>
        <v>2026.974739</v>
      </c>
      <c r="N249" s="51">
        <f>O248*('AP01'!$P249-1)</f>
        <v>0</v>
      </c>
      <c r="O249" s="51">
        <f>(O248*'AP01'!$P249)-'AP01'!$G249</f>
        <v>112850.6668</v>
      </c>
      <c r="P249" s="53">
        <f t="shared" si="141"/>
        <v>1</v>
      </c>
      <c r="Q249" s="51">
        <f>(Q248*'AP01'!$P249)</f>
        <v>453092.9859</v>
      </c>
      <c r="R249" s="46">
        <f>DATEDIF($S$7,'AP01'!$B249,"Y")</f>
        <v>52</v>
      </c>
      <c r="S249" s="47">
        <f>VLOOKUP('AP01'!$R249,SEGUROS!$A:$B,2,TRUE)</f>
        <v>0.0009571</v>
      </c>
      <c r="T249" s="51">
        <f>('AP01'!$O249*'AP01'!$P249)*'AP01'!$S249</f>
        <v>108.0093732</v>
      </c>
      <c r="U249" s="51">
        <f>'AP01'!$Q249*0.00899%</f>
        <v>40.73305943</v>
      </c>
      <c r="V249" s="4"/>
      <c r="W249" s="4"/>
      <c r="X249" s="4"/>
      <c r="Y249" s="4"/>
      <c r="Z249" s="4"/>
    </row>
    <row r="250" ht="18.75" customHeight="1">
      <c r="A250" s="56">
        <f t="shared" si="4"/>
        <v>236</v>
      </c>
      <c r="B250" s="50">
        <f t="shared" si="8"/>
        <v>50426</v>
      </c>
      <c r="C250" s="58">
        <f t="shared" si="128"/>
        <v>0.1049</v>
      </c>
      <c r="D250" s="58">
        <f>((1+'AP01'!$C250)^(1/12))-1</f>
        <v>0.00834755088</v>
      </c>
      <c r="E250" s="51">
        <f t="shared" si="126"/>
        <v>2171.371183</v>
      </c>
      <c r="F250" s="51">
        <f>(O249*'AP01'!$P250)*'AP01'!$D250</f>
        <v>942.0266833</v>
      </c>
      <c r="G250" s="51">
        <f>(O249*'AP01'!$P250)/($I$5-A249)</f>
        <v>902.8053347</v>
      </c>
      <c r="H250" s="82">
        <f>(O249*'AP01'!$P250)*'AP01'!$S250</f>
        <v>108.0093732</v>
      </c>
      <c r="I250" s="82">
        <f>'AP01'!$Q250*0.00899%</f>
        <v>40.73305943</v>
      </c>
      <c r="J250" s="51">
        <f t="shared" si="136"/>
        <v>25</v>
      </c>
      <c r="K250" s="51">
        <f t="shared" ref="K250:L250" si="291">K249</f>
        <v>0</v>
      </c>
      <c r="L250" s="51">
        <f t="shared" si="291"/>
        <v>0</v>
      </c>
      <c r="M250" s="51">
        <f>SUM('AP01'!$F250:$L250)</f>
        <v>2018.574451</v>
      </c>
      <c r="N250" s="51">
        <f>O249*('AP01'!$P250-1)</f>
        <v>0</v>
      </c>
      <c r="O250" s="51">
        <f>(O249*'AP01'!$P250)-'AP01'!$G250</f>
        <v>111947.8615</v>
      </c>
      <c r="P250" s="53">
        <f t="shared" si="141"/>
        <v>1</v>
      </c>
      <c r="Q250" s="51">
        <f>(Q249*'AP01'!$P250)</f>
        <v>453092.9859</v>
      </c>
      <c r="R250" s="46">
        <f>DATEDIF($S$7,'AP01'!$B250,"Y")</f>
        <v>52</v>
      </c>
      <c r="S250" s="47">
        <f>VLOOKUP('AP01'!$R250,SEGUROS!$A:$B,2,TRUE)</f>
        <v>0.0009571</v>
      </c>
      <c r="T250" s="51">
        <f>('AP01'!$O250*'AP01'!$P250)*'AP01'!$S250</f>
        <v>107.1452982</v>
      </c>
      <c r="U250" s="51">
        <f>'AP01'!$Q250*0.00899%</f>
        <v>40.73305943</v>
      </c>
      <c r="V250" s="4"/>
      <c r="W250" s="4"/>
      <c r="X250" s="4"/>
      <c r="Y250" s="4"/>
      <c r="Z250" s="4"/>
    </row>
    <row r="251" ht="18.75" customHeight="1">
      <c r="A251" s="56">
        <f t="shared" si="4"/>
        <v>237</v>
      </c>
      <c r="B251" s="50">
        <f t="shared" si="8"/>
        <v>50457</v>
      </c>
      <c r="C251" s="58">
        <f t="shared" si="128"/>
        <v>0.1049</v>
      </c>
      <c r="D251" s="58">
        <f>((1+'AP01'!$C251)^(1/12))-1</f>
        <v>0.00834755088</v>
      </c>
      <c r="E251" s="51">
        <f t="shared" si="126"/>
        <v>2171.371183</v>
      </c>
      <c r="F251" s="51">
        <f>(O250*'AP01'!$P251)*'AP01'!$D251</f>
        <v>934.4904698</v>
      </c>
      <c r="G251" s="51">
        <f>(O250*'AP01'!$P251)/($I$5-A250)</f>
        <v>902.8053347</v>
      </c>
      <c r="H251" s="82">
        <f>(O250*'AP01'!$P251)*'AP01'!$S251</f>
        <v>107.1452982</v>
      </c>
      <c r="I251" s="82">
        <f>'AP01'!$Q251*0.00899%</f>
        <v>40.73305943</v>
      </c>
      <c r="J251" s="51">
        <f t="shared" si="136"/>
        <v>25</v>
      </c>
      <c r="K251" s="51">
        <f t="shared" ref="K251:L251" si="292">K250</f>
        <v>0</v>
      </c>
      <c r="L251" s="51">
        <f t="shared" si="292"/>
        <v>0</v>
      </c>
      <c r="M251" s="51">
        <f>SUM('AP01'!$F251:$L251)</f>
        <v>2010.174162</v>
      </c>
      <c r="N251" s="51">
        <f>O250*('AP01'!$P251-1)</f>
        <v>0</v>
      </c>
      <c r="O251" s="51">
        <f>(O250*'AP01'!$P251)-'AP01'!$G251</f>
        <v>111045.0562</v>
      </c>
      <c r="P251" s="53">
        <f t="shared" si="141"/>
        <v>1</v>
      </c>
      <c r="Q251" s="51">
        <f>(Q250*'AP01'!$P251)</f>
        <v>453092.9859</v>
      </c>
      <c r="R251" s="46">
        <f>DATEDIF($S$7,'AP01'!$B251,"Y")</f>
        <v>52</v>
      </c>
      <c r="S251" s="47">
        <f>VLOOKUP('AP01'!$R251,SEGUROS!$A:$B,2,TRUE)</f>
        <v>0.0009571</v>
      </c>
      <c r="T251" s="51">
        <f>('AP01'!$O251*'AP01'!$P251)*'AP01'!$S251</f>
        <v>106.2812233</v>
      </c>
      <c r="U251" s="51">
        <f>'AP01'!$Q251*0.00899%</f>
        <v>40.73305943</v>
      </c>
      <c r="V251" s="4"/>
      <c r="W251" s="4"/>
      <c r="X251" s="4"/>
      <c r="Y251" s="4"/>
      <c r="Z251" s="4"/>
    </row>
    <row r="252" ht="18.75" customHeight="1">
      <c r="A252" s="56">
        <f t="shared" si="4"/>
        <v>238</v>
      </c>
      <c r="B252" s="50">
        <f t="shared" si="8"/>
        <v>50485</v>
      </c>
      <c r="C252" s="58">
        <f t="shared" si="128"/>
        <v>0.1049</v>
      </c>
      <c r="D252" s="58">
        <f>((1+'AP01'!$C252)^(1/12))-1</f>
        <v>0.00834755088</v>
      </c>
      <c r="E252" s="51">
        <f t="shared" si="126"/>
        <v>2171.371183</v>
      </c>
      <c r="F252" s="51">
        <f>(O251*'AP01'!$P252)*'AP01'!$D252</f>
        <v>926.9542564</v>
      </c>
      <c r="G252" s="51">
        <f>(O251*'AP01'!$P252)/($I$5-A251)</f>
        <v>902.8053347</v>
      </c>
      <c r="H252" s="82">
        <f>(O251*'AP01'!$P252)*'AP01'!$S252</f>
        <v>106.2812233</v>
      </c>
      <c r="I252" s="82">
        <f>'AP01'!$Q252*0.00899%</f>
        <v>40.73305943</v>
      </c>
      <c r="J252" s="51">
        <f t="shared" si="136"/>
        <v>25</v>
      </c>
      <c r="K252" s="51">
        <f t="shared" ref="K252:L252" si="293">K251</f>
        <v>0</v>
      </c>
      <c r="L252" s="51">
        <f t="shared" si="293"/>
        <v>0</v>
      </c>
      <c r="M252" s="51">
        <f>SUM('AP01'!$F252:$L252)</f>
        <v>2001.773874</v>
      </c>
      <c r="N252" s="51">
        <f>O251*('AP01'!$P252-1)</f>
        <v>0</v>
      </c>
      <c r="O252" s="51">
        <f>(O251*'AP01'!$P252)-'AP01'!$G252</f>
        <v>110142.2508</v>
      </c>
      <c r="P252" s="53">
        <f t="shared" si="141"/>
        <v>1</v>
      </c>
      <c r="Q252" s="51">
        <f>(Q251*'AP01'!$P252)</f>
        <v>453092.9859</v>
      </c>
      <c r="R252" s="46">
        <f>DATEDIF($S$7,'AP01'!$B252,"Y")</f>
        <v>52</v>
      </c>
      <c r="S252" s="47">
        <f>VLOOKUP('AP01'!$R252,SEGUROS!$A:$B,2,TRUE)</f>
        <v>0.0009571</v>
      </c>
      <c r="T252" s="51">
        <f>('AP01'!$O252*'AP01'!$P252)*'AP01'!$S252</f>
        <v>105.4171483</v>
      </c>
      <c r="U252" s="51">
        <f>'AP01'!$Q252*0.00899%</f>
        <v>40.73305943</v>
      </c>
      <c r="V252" s="4"/>
      <c r="W252" s="4"/>
      <c r="X252" s="4"/>
      <c r="Y252" s="4"/>
      <c r="Z252" s="4"/>
    </row>
    <row r="253" ht="18.75" customHeight="1">
      <c r="A253" s="56">
        <f t="shared" si="4"/>
        <v>239</v>
      </c>
      <c r="B253" s="50">
        <f t="shared" si="8"/>
        <v>50516</v>
      </c>
      <c r="C253" s="58">
        <f t="shared" si="128"/>
        <v>0.1049</v>
      </c>
      <c r="D253" s="58">
        <f>((1+'AP01'!$C253)^(1/12))-1</f>
        <v>0.00834755088</v>
      </c>
      <c r="E253" s="51">
        <f t="shared" si="126"/>
        <v>2171.371183</v>
      </c>
      <c r="F253" s="51">
        <f>(O252*'AP01'!$P253)*'AP01'!$D253</f>
        <v>919.4180429</v>
      </c>
      <c r="G253" s="51">
        <f>(O252*'AP01'!$P253)/($I$5-A252)</f>
        <v>902.8053347</v>
      </c>
      <c r="H253" s="82">
        <f>(O252*'AP01'!$P253)*'AP01'!$S253</f>
        <v>105.4171483</v>
      </c>
      <c r="I253" s="82">
        <f>'AP01'!$Q253*0.00899%</f>
        <v>40.73305943</v>
      </c>
      <c r="J253" s="51">
        <f t="shared" si="136"/>
        <v>25</v>
      </c>
      <c r="K253" s="51">
        <f t="shared" ref="K253:L253" si="294">K252</f>
        <v>0</v>
      </c>
      <c r="L253" s="51">
        <f t="shared" si="294"/>
        <v>0</v>
      </c>
      <c r="M253" s="51">
        <f>SUM('AP01'!$F253:$L253)</f>
        <v>1993.373585</v>
      </c>
      <c r="N253" s="51">
        <f>O252*('AP01'!$P253-1)</f>
        <v>0</v>
      </c>
      <c r="O253" s="51">
        <f>(O252*'AP01'!$P253)-'AP01'!$G253</f>
        <v>109239.4455</v>
      </c>
      <c r="P253" s="53">
        <f t="shared" si="141"/>
        <v>1</v>
      </c>
      <c r="Q253" s="51">
        <f>(Q252*'AP01'!$P253)</f>
        <v>453092.9859</v>
      </c>
      <c r="R253" s="46">
        <f>DATEDIF($S$7,'AP01'!$B253,"Y")</f>
        <v>52</v>
      </c>
      <c r="S253" s="47">
        <f>VLOOKUP('AP01'!$R253,SEGUROS!$A:$B,2,TRUE)</f>
        <v>0.0009571</v>
      </c>
      <c r="T253" s="51">
        <f>('AP01'!$O253*'AP01'!$P253)*'AP01'!$S253</f>
        <v>104.5530733</v>
      </c>
      <c r="U253" s="51">
        <f>'AP01'!$Q253*0.00899%</f>
        <v>40.73305943</v>
      </c>
      <c r="V253" s="4"/>
      <c r="W253" s="4"/>
      <c r="X253" s="4"/>
      <c r="Y253" s="4"/>
      <c r="Z253" s="4"/>
    </row>
    <row r="254" ht="18.75" customHeight="1">
      <c r="A254" s="56">
        <f t="shared" si="4"/>
        <v>240</v>
      </c>
      <c r="B254" s="50">
        <f t="shared" si="8"/>
        <v>50546</v>
      </c>
      <c r="C254" s="58">
        <f t="shared" si="128"/>
        <v>0.1049</v>
      </c>
      <c r="D254" s="58">
        <f>((1+'AP01'!$C254)^(1/12))-1</f>
        <v>0.00834755088</v>
      </c>
      <c r="E254" s="51">
        <f t="shared" si="126"/>
        <v>2171.371183</v>
      </c>
      <c r="F254" s="51">
        <f>(O253*'AP01'!$P254)*'AP01'!$D254</f>
        <v>911.8818294</v>
      </c>
      <c r="G254" s="51">
        <f>(O253*'AP01'!$P254)/($I$5-A253)</f>
        <v>902.8053347</v>
      </c>
      <c r="H254" s="82">
        <f>(O253*'AP01'!$P254)*'AP01'!$S254</f>
        <v>104.5530733</v>
      </c>
      <c r="I254" s="82">
        <f>'AP01'!$Q254*0.00899%</f>
        <v>40.73305943</v>
      </c>
      <c r="J254" s="51">
        <f t="shared" si="136"/>
        <v>25</v>
      </c>
      <c r="K254" s="51">
        <f t="shared" ref="K254:L254" si="295">K253</f>
        <v>0</v>
      </c>
      <c r="L254" s="51">
        <f t="shared" si="295"/>
        <v>0</v>
      </c>
      <c r="M254" s="51">
        <f>SUM('AP01'!$F254:$L254)</f>
        <v>1984.973297</v>
      </c>
      <c r="N254" s="51">
        <f>O253*('AP01'!$P254-1)</f>
        <v>0</v>
      </c>
      <c r="O254" s="51">
        <f>(O253*'AP01'!$P254)-'AP01'!$G254</f>
        <v>108336.6402</v>
      </c>
      <c r="P254" s="53">
        <f t="shared" si="141"/>
        <v>1</v>
      </c>
      <c r="Q254" s="51">
        <f>(Q253*'AP01'!$P254)</f>
        <v>453092.9859</v>
      </c>
      <c r="R254" s="46">
        <f>DATEDIF($S$7,'AP01'!$B254,"Y")</f>
        <v>52</v>
      </c>
      <c r="S254" s="47">
        <f>VLOOKUP('AP01'!$R254,SEGUROS!$A:$B,2,TRUE)</f>
        <v>0.0009571</v>
      </c>
      <c r="T254" s="51">
        <f>('AP01'!$O254*'AP01'!$P254)*'AP01'!$S254</f>
        <v>103.6889983</v>
      </c>
      <c r="U254" s="51">
        <f>'AP01'!$Q254*0.00899%</f>
        <v>40.73305943</v>
      </c>
      <c r="V254" s="4"/>
      <c r="W254" s="4"/>
      <c r="X254" s="4"/>
      <c r="Y254" s="4"/>
      <c r="Z254" s="4"/>
    </row>
    <row r="255" ht="18.75" customHeight="1">
      <c r="A255" s="56">
        <f t="shared" si="4"/>
        <v>241</v>
      </c>
      <c r="B255" s="50">
        <f t="shared" si="8"/>
        <v>50577</v>
      </c>
      <c r="C255" s="58">
        <f t="shared" si="128"/>
        <v>0.1049</v>
      </c>
      <c r="D255" s="58">
        <f>((1+'AP01'!$C255)^(1/12))-1</f>
        <v>0.00834755088</v>
      </c>
      <c r="E255" s="51">
        <f t="shared" si="126"/>
        <v>2171.371183</v>
      </c>
      <c r="F255" s="51">
        <f>(O254*'AP01'!$P255)*'AP01'!$D255</f>
        <v>904.345616</v>
      </c>
      <c r="G255" s="51">
        <f>(O254*'AP01'!$P255)/($I$5-A254)</f>
        <v>902.8053347</v>
      </c>
      <c r="H255" s="82">
        <f>(O254*'AP01'!$P255)*'AP01'!$S255</f>
        <v>103.6889983</v>
      </c>
      <c r="I255" s="82">
        <f>'AP01'!$Q255*0.00899%</f>
        <v>40.73305943</v>
      </c>
      <c r="J255" s="51">
        <f t="shared" si="136"/>
        <v>25</v>
      </c>
      <c r="K255" s="51">
        <f t="shared" ref="K255:L255" si="296">K254</f>
        <v>0</v>
      </c>
      <c r="L255" s="51">
        <f t="shared" si="296"/>
        <v>0</v>
      </c>
      <c r="M255" s="51">
        <f>SUM('AP01'!$F255:$L255)</f>
        <v>1976.573008</v>
      </c>
      <c r="N255" s="51">
        <f>O254*('AP01'!$P255-1)</f>
        <v>0</v>
      </c>
      <c r="O255" s="51">
        <f>(O254*'AP01'!$P255)-'AP01'!$G255</f>
        <v>107433.8348</v>
      </c>
      <c r="P255" s="53">
        <f t="shared" si="141"/>
        <v>1</v>
      </c>
      <c r="Q255" s="51">
        <f>(Q254*'AP01'!$P255)</f>
        <v>453092.9859</v>
      </c>
      <c r="R255" s="46">
        <f>DATEDIF($S$7,'AP01'!$B255,"Y")</f>
        <v>52</v>
      </c>
      <c r="S255" s="47">
        <f>VLOOKUP('AP01'!$R255,SEGUROS!$A:$B,2,TRUE)</f>
        <v>0.0009571</v>
      </c>
      <c r="T255" s="51">
        <f>('AP01'!$O255*'AP01'!$P255)*'AP01'!$S255</f>
        <v>102.8249233</v>
      </c>
      <c r="U255" s="51">
        <f>'AP01'!$Q255*0.00899%</f>
        <v>40.73305943</v>
      </c>
      <c r="V255" s="4"/>
      <c r="W255" s="4"/>
      <c r="X255" s="4"/>
      <c r="Y255" s="4"/>
      <c r="Z255" s="4"/>
    </row>
    <row r="256" ht="18.75" customHeight="1">
      <c r="A256" s="56">
        <f t="shared" si="4"/>
        <v>242</v>
      </c>
      <c r="B256" s="50">
        <f t="shared" si="8"/>
        <v>50607</v>
      </c>
      <c r="C256" s="58">
        <f t="shared" si="128"/>
        <v>0.1049</v>
      </c>
      <c r="D256" s="58">
        <f>((1+'AP01'!$C256)^(1/12))-1</f>
        <v>0.00834755088</v>
      </c>
      <c r="E256" s="51">
        <f t="shared" si="126"/>
        <v>2171.371183</v>
      </c>
      <c r="F256" s="51">
        <f>(O255*'AP01'!$P256)*'AP01'!$D256</f>
        <v>896.8094025</v>
      </c>
      <c r="G256" s="51">
        <f>(O255*'AP01'!$P256)/($I$5-A255)</f>
        <v>902.8053347</v>
      </c>
      <c r="H256" s="82">
        <f>(O255*'AP01'!$P256)*'AP01'!$S256</f>
        <v>102.8249233</v>
      </c>
      <c r="I256" s="82">
        <f>'AP01'!$Q256*0.00899%</f>
        <v>40.73305943</v>
      </c>
      <c r="J256" s="51">
        <f t="shared" si="136"/>
        <v>25</v>
      </c>
      <c r="K256" s="51">
        <f t="shared" ref="K256:L256" si="297">K255</f>
        <v>0</v>
      </c>
      <c r="L256" s="51">
        <f t="shared" si="297"/>
        <v>0</v>
      </c>
      <c r="M256" s="51">
        <f>SUM('AP01'!$F256:$L256)</f>
        <v>1968.17272</v>
      </c>
      <c r="N256" s="51">
        <f>O255*('AP01'!$P256-1)</f>
        <v>0</v>
      </c>
      <c r="O256" s="51">
        <f>(O255*'AP01'!$P256)-'AP01'!$G256</f>
        <v>106531.0295</v>
      </c>
      <c r="P256" s="53">
        <f t="shared" si="141"/>
        <v>1</v>
      </c>
      <c r="Q256" s="51">
        <f>(Q255*'AP01'!$P256)</f>
        <v>453092.9859</v>
      </c>
      <c r="R256" s="46">
        <f>DATEDIF($S$7,'AP01'!$B256,"Y")</f>
        <v>52</v>
      </c>
      <c r="S256" s="47">
        <f>VLOOKUP('AP01'!$R256,SEGUROS!$A:$B,2,TRUE)</f>
        <v>0.0009571</v>
      </c>
      <c r="T256" s="51">
        <f>('AP01'!$O256*'AP01'!$P256)*'AP01'!$S256</f>
        <v>101.9608483</v>
      </c>
      <c r="U256" s="51">
        <f>'AP01'!$Q256*0.00899%</f>
        <v>40.73305943</v>
      </c>
      <c r="V256" s="4"/>
      <c r="W256" s="4"/>
      <c r="X256" s="4"/>
      <c r="Y256" s="4"/>
      <c r="Z256" s="4"/>
    </row>
    <row r="257" ht="18.75" customHeight="1">
      <c r="A257" s="56">
        <f t="shared" si="4"/>
        <v>243</v>
      </c>
      <c r="B257" s="50">
        <f t="shared" si="8"/>
        <v>50638</v>
      </c>
      <c r="C257" s="58">
        <f t="shared" si="128"/>
        <v>0.1049</v>
      </c>
      <c r="D257" s="58">
        <f>((1+'AP01'!$C257)^(1/12))-1</f>
        <v>0.00834755088</v>
      </c>
      <c r="E257" s="51">
        <f t="shared" si="126"/>
        <v>2171.371183</v>
      </c>
      <c r="F257" s="51">
        <f>(O256*'AP01'!$P257)*'AP01'!$D257</f>
        <v>889.273189</v>
      </c>
      <c r="G257" s="51">
        <f>(O256*'AP01'!$P257)/($I$5-A256)</f>
        <v>902.8053347</v>
      </c>
      <c r="H257" s="82">
        <f>(O256*'AP01'!$P257)*'AP01'!$S257</f>
        <v>101.9608483</v>
      </c>
      <c r="I257" s="82">
        <f>'AP01'!$Q257*0.00899%</f>
        <v>40.73305943</v>
      </c>
      <c r="J257" s="51">
        <f t="shared" si="136"/>
        <v>25</v>
      </c>
      <c r="K257" s="51">
        <f t="shared" ref="K257:L257" si="298">K256</f>
        <v>0</v>
      </c>
      <c r="L257" s="51">
        <f t="shared" si="298"/>
        <v>0</v>
      </c>
      <c r="M257" s="51">
        <f>SUM('AP01'!$F257:$L257)</f>
        <v>1959.772432</v>
      </c>
      <c r="N257" s="51">
        <f>O256*('AP01'!$P257-1)</f>
        <v>0</v>
      </c>
      <c r="O257" s="51">
        <f>(O256*'AP01'!$P257)-'AP01'!$G257</f>
        <v>105628.2242</v>
      </c>
      <c r="P257" s="53">
        <f t="shared" si="141"/>
        <v>1</v>
      </c>
      <c r="Q257" s="51">
        <f>(Q256*'AP01'!$P257)</f>
        <v>453092.9859</v>
      </c>
      <c r="R257" s="46">
        <f>DATEDIF($S$7,'AP01'!$B257,"Y")</f>
        <v>52</v>
      </c>
      <c r="S257" s="47">
        <f>VLOOKUP('AP01'!$R257,SEGUROS!$A:$B,2,TRUE)</f>
        <v>0.0009571</v>
      </c>
      <c r="T257" s="51">
        <f>('AP01'!$O257*'AP01'!$P257)*'AP01'!$S257</f>
        <v>101.0967733</v>
      </c>
      <c r="U257" s="51">
        <f>'AP01'!$Q257*0.00899%</f>
        <v>40.73305943</v>
      </c>
      <c r="V257" s="4"/>
      <c r="W257" s="4"/>
      <c r="X257" s="4"/>
      <c r="Y257" s="4"/>
      <c r="Z257" s="4"/>
    </row>
    <row r="258" ht="18.75" customHeight="1">
      <c r="A258" s="56">
        <f t="shared" si="4"/>
        <v>244</v>
      </c>
      <c r="B258" s="50">
        <f t="shared" si="8"/>
        <v>50669</v>
      </c>
      <c r="C258" s="58">
        <f t="shared" si="128"/>
        <v>0.1049</v>
      </c>
      <c r="D258" s="58">
        <f>((1+'AP01'!$C258)^(1/12))-1</f>
        <v>0.00834755088</v>
      </c>
      <c r="E258" s="51">
        <f t="shared" si="126"/>
        <v>2171.371183</v>
      </c>
      <c r="F258" s="51">
        <f>(O257*'AP01'!$P258)*'AP01'!$D258</f>
        <v>881.7369756</v>
      </c>
      <c r="G258" s="51">
        <f>(O257*'AP01'!$P258)/($I$5-A257)</f>
        <v>902.8053347</v>
      </c>
      <c r="H258" s="82">
        <f>(O257*'AP01'!$P258)*'AP01'!$S258</f>
        <v>101.0967733</v>
      </c>
      <c r="I258" s="82">
        <f>'AP01'!$Q258*0.00899%</f>
        <v>40.73305943</v>
      </c>
      <c r="J258" s="51">
        <f t="shared" si="136"/>
        <v>25</v>
      </c>
      <c r="K258" s="51">
        <f t="shared" ref="K258:L258" si="299">K257</f>
        <v>0</v>
      </c>
      <c r="L258" s="51">
        <f t="shared" si="299"/>
        <v>0</v>
      </c>
      <c r="M258" s="51">
        <f>SUM('AP01'!$F258:$L258)</f>
        <v>1951.372143</v>
      </c>
      <c r="N258" s="51">
        <f>O257*('AP01'!$P258-1)</f>
        <v>0</v>
      </c>
      <c r="O258" s="51">
        <f>(O257*'AP01'!$P258)-'AP01'!$G258</f>
        <v>104725.4188</v>
      </c>
      <c r="P258" s="53">
        <f t="shared" si="141"/>
        <v>1</v>
      </c>
      <c r="Q258" s="51">
        <f>(Q257*'AP01'!$P258)</f>
        <v>453092.9859</v>
      </c>
      <c r="R258" s="46">
        <f>DATEDIF($S$7,'AP01'!$B258,"Y")</f>
        <v>52</v>
      </c>
      <c r="S258" s="47">
        <f>VLOOKUP('AP01'!$R258,SEGUROS!$A:$B,2,TRUE)</f>
        <v>0.0009571</v>
      </c>
      <c r="T258" s="51">
        <f>('AP01'!$O258*'AP01'!$P258)*'AP01'!$S258</f>
        <v>100.2326984</v>
      </c>
      <c r="U258" s="51">
        <f>'AP01'!$Q258*0.00899%</f>
        <v>40.73305943</v>
      </c>
      <c r="V258" s="4"/>
      <c r="W258" s="4"/>
      <c r="X258" s="4"/>
      <c r="Y258" s="4"/>
      <c r="Z258" s="4"/>
    </row>
    <row r="259" ht="18.75" customHeight="1">
      <c r="A259" s="56">
        <f t="shared" si="4"/>
        <v>245</v>
      </c>
      <c r="B259" s="50">
        <f t="shared" si="8"/>
        <v>50699</v>
      </c>
      <c r="C259" s="58">
        <f t="shared" si="128"/>
        <v>0.1049</v>
      </c>
      <c r="D259" s="58">
        <f>((1+'AP01'!$C259)^(1/12))-1</f>
        <v>0.00834755088</v>
      </c>
      <c r="E259" s="51">
        <f t="shared" si="126"/>
        <v>2171.371183</v>
      </c>
      <c r="F259" s="51">
        <f>(O258*'AP01'!$P259)*'AP01'!$D259</f>
        <v>874.2007621</v>
      </c>
      <c r="G259" s="51">
        <f>(O258*'AP01'!$P259)/($I$5-A258)</f>
        <v>902.8053347</v>
      </c>
      <c r="H259" s="82">
        <f>(O258*'AP01'!$P259)*'AP01'!$S259</f>
        <v>100.2326984</v>
      </c>
      <c r="I259" s="82">
        <f>'AP01'!$Q259*0.00899%</f>
        <v>40.73305943</v>
      </c>
      <c r="J259" s="51">
        <f t="shared" si="136"/>
        <v>25</v>
      </c>
      <c r="K259" s="51">
        <f t="shared" ref="K259:L259" si="300">K258</f>
        <v>0</v>
      </c>
      <c r="L259" s="51">
        <f t="shared" si="300"/>
        <v>0</v>
      </c>
      <c r="M259" s="51">
        <f>SUM('AP01'!$F259:$L259)</f>
        <v>1942.971855</v>
      </c>
      <c r="N259" s="51">
        <f>O258*('AP01'!$P259-1)</f>
        <v>0</v>
      </c>
      <c r="O259" s="51">
        <f>(O258*'AP01'!$P259)-'AP01'!$G259</f>
        <v>103822.6135</v>
      </c>
      <c r="P259" s="53">
        <f t="shared" si="141"/>
        <v>1</v>
      </c>
      <c r="Q259" s="51">
        <f>(Q258*'AP01'!$P259)</f>
        <v>453092.9859</v>
      </c>
      <c r="R259" s="46">
        <f>DATEDIF($S$7,'AP01'!$B259,"Y")</f>
        <v>52</v>
      </c>
      <c r="S259" s="47">
        <f>VLOOKUP('AP01'!$R259,SEGUROS!$A:$B,2,TRUE)</f>
        <v>0.0009571</v>
      </c>
      <c r="T259" s="51">
        <f>('AP01'!$O259*'AP01'!$P259)*'AP01'!$S259</f>
        <v>99.36862338</v>
      </c>
      <c r="U259" s="51">
        <f>'AP01'!$Q259*0.00899%</f>
        <v>40.73305943</v>
      </c>
      <c r="V259" s="4"/>
      <c r="W259" s="4"/>
      <c r="X259" s="4"/>
      <c r="Y259" s="4"/>
      <c r="Z259" s="4"/>
    </row>
    <row r="260" ht="18.75" customHeight="1">
      <c r="A260" s="56">
        <f t="shared" si="4"/>
        <v>246</v>
      </c>
      <c r="B260" s="50">
        <f t="shared" si="8"/>
        <v>50730</v>
      </c>
      <c r="C260" s="58">
        <f t="shared" si="128"/>
        <v>0.1049</v>
      </c>
      <c r="D260" s="58">
        <f>((1+'AP01'!$C260)^(1/12))-1</f>
        <v>0.00834755088</v>
      </c>
      <c r="E260" s="51">
        <f t="shared" si="126"/>
        <v>2171.371183</v>
      </c>
      <c r="F260" s="51">
        <f>(O259*'AP01'!$P260)*'AP01'!$D260</f>
        <v>866.6645486</v>
      </c>
      <c r="G260" s="51">
        <f>(O259*'AP01'!$P260)/($I$5-A259)</f>
        <v>902.8053347</v>
      </c>
      <c r="H260" s="82">
        <f>(O259*'AP01'!$P260)*'AP01'!$S260</f>
        <v>99.36862338</v>
      </c>
      <c r="I260" s="82">
        <f>'AP01'!$Q260*0.00899%</f>
        <v>40.73305943</v>
      </c>
      <c r="J260" s="51">
        <f t="shared" si="136"/>
        <v>25</v>
      </c>
      <c r="K260" s="51">
        <f t="shared" ref="K260:L260" si="301">K259</f>
        <v>0</v>
      </c>
      <c r="L260" s="51">
        <f t="shared" si="301"/>
        <v>0</v>
      </c>
      <c r="M260" s="51">
        <f>SUM('AP01'!$F260:$L260)</f>
        <v>1934.571566</v>
      </c>
      <c r="N260" s="51">
        <f>O259*('AP01'!$P260-1)</f>
        <v>0</v>
      </c>
      <c r="O260" s="51">
        <f>(O259*'AP01'!$P260)-'AP01'!$G260</f>
        <v>102919.8082</v>
      </c>
      <c r="P260" s="53">
        <f t="shared" si="141"/>
        <v>1</v>
      </c>
      <c r="Q260" s="51">
        <f>(Q259*'AP01'!$P260)</f>
        <v>453092.9859</v>
      </c>
      <c r="R260" s="46">
        <f>DATEDIF($S$7,'AP01'!$B260,"Y")</f>
        <v>52</v>
      </c>
      <c r="S260" s="47">
        <f>VLOOKUP('AP01'!$R260,SEGUROS!$A:$B,2,TRUE)</f>
        <v>0.0009571</v>
      </c>
      <c r="T260" s="51">
        <f>('AP01'!$O260*'AP01'!$P260)*'AP01'!$S260</f>
        <v>98.50454839</v>
      </c>
      <c r="U260" s="51">
        <f>'AP01'!$Q260*0.00899%</f>
        <v>40.73305943</v>
      </c>
      <c r="V260" s="4"/>
      <c r="W260" s="4"/>
      <c r="X260" s="4"/>
      <c r="Y260" s="4"/>
      <c r="Z260" s="4"/>
    </row>
    <row r="261" ht="18.75" customHeight="1">
      <c r="A261" s="56">
        <f t="shared" si="4"/>
        <v>247</v>
      </c>
      <c r="B261" s="50">
        <f t="shared" si="8"/>
        <v>50760</v>
      </c>
      <c r="C261" s="58">
        <f t="shared" si="128"/>
        <v>0.1049</v>
      </c>
      <c r="D261" s="58">
        <f>((1+'AP01'!$C261)^(1/12))-1</f>
        <v>0.00834755088</v>
      </c>
      <c r="E261" s="51">
        <f t="shared" si="126"/>
        <v>2171.371183</v>
      </c>
      <c r="F261" s="51">
        <f>(O260*'AP01'!$P261)*'AP01'!$D261</f>
        <v>859.1283352</v>
      </c>
      <c r="G261" s="51">
        <f>(O260*'AP01'!$P261)/($I$5-A260)</f>
        <v>902.8053347</v>
      </c>
      <c r="H261" s="82">
        <f>(O260*'AP01'!$P261)*'AP01'!$S261</f>
        <v>107.2424401</v>
      </c>
      <c r="I261" s="82">
        <f>'AP01'!$Q261*0.00899%</f>
        <v>40.73305943</v>
      </c>
      <c r="J261" s="51">
        <f t="shared" si="136"/>
        <v>25</v>
      </c>
      <c r="K261" s="51">
        <f t="shared" ref="K261:L261" si="302">K260</f>
        <v>0</v>
      </c>
      <c r="L261" s="51">
        <f t="shared" si="302"/>
        <v>0</v>
      </c>
      <c r="M261" s="51">
        <f>SUM('AP01'!$F261:$L261)</f>
        <v>1934.909169</v>
      </c>
      <c r="N261" s="51">
        <f>O260*('AP01'!$P261-1)</f>
        <v>0</v>
      </c>
      <c r="O261" s="51">
        <f>(O260*'AP01'!$P261)-'AP01'!$G261</f>
        <v>102017.0028</v>
      </c>
      <c r="P261" s="53">
        <f t="shared" si="141"/>
        <v>1</v>
      </c>
      <c r="Q261" s="51">
        <f>(Q260*'AP01'!$P261)</f>
        <v>453092.9859</v>
      </c>
      <c r="R261" s="46">
        <f>DATEDIF($S$7,'AP01'!$B261,"Y")</f>
        <v>53</v>
      </c>
      <c r="S261" s="47">
        <f>VLOOKUP('AP01'!$R261,SEGUROS!$A:$B,2,TRUE)</f>
        <v>0.001042</v>
      </c>
      <c r="T261" s="51">
        <f>('AP01'!$O261*'AP01'!$P261)*'AP01'!$S261</f>
        <v>106.3017169</v>
      </c>
      <c r="U261" s="51">
        <f>'AP01'!$Q261*0.00899%</f>
        <v>40.73305943</v>
      </c>
      <c r="V261" s="4"/>
      <c r="W261" s="4"/>
      <c r="X261" s="4"/>
      <c r="Y261" s="4"/>
      <c r="Z261" s="4"/>
    </row>
    <row r="262" ht="18.75" customHeight="1">
      <c r="A262" s="56">
        <f t="shared" si="4"/>
        <v>248</v>
      </c>
      <c r="B262" s="50">
        <f t="shared" si="8"/>
        <v>50791</v>
      </c>
      <c r="C262" s="58">
        <f t="shared" si="128"/>
        <v>0.1049</v>
      </c>
      <c r="D262" s="58">
        <f>((1+'AP01'!$C262)^(1/12))-1</f>
        <v>0.00834755088</v>
      </c>
      <c r="E262" s="51">
        <f t="shared" si="126"/>
        <v>2171.371183</v>
      </c>
      <c r="F262" s="51">
        <f>(O261*'AP01'!$P262)*'AP01'!$D262</f>
        <v>851.5921217</v>
      </c>
      <c r="G262" s="51">
        <f>(O261*'AP01'!$P262)/($I$5-A261)</f>
        <v>902.8053347</v>
      </c>
      <c r="H262" s="82">
        <f>(O261*'AP01'!$P262)*'AP01'!$S262</f>
        <v>106.3017169</v>
      </c>
      <c r="I262" s="82">
        <f>'AP01'!$Q262*0.00899%</f>
        <v>40.73305943</v>
      </c>
      <c r="J262" s="51">
        <f t="shared" si="136"/>
        <v>25</v>
      </c>
      <c r="K262" s="51">
        <f t="shared" ref="K262:L262" si="303">K261</f>
        <v>0</v>
      </c>
      <c r="L262" s="51">
        <f t="shared" si="303"/>
        <v>0</v>
      </c>
      <c r="M262" s="51">
        <f>SUM('AP01'!$F262:$L262)</f>
        <v>1926.432233</v>
      </c>
      <c r="N262" s="51">
        <f>O261*('AP01'!$P262-1)</f>
        <v>0</v>
      </c>
      <c r="O262" s="51">
        <f>(O261*'AP01'!$P262)-'AP01'!$G262</f>
        <v>101114.1975</v>
      </c>
      <c r="P262" s="53">
        <f t="shared" si="141"/>
        <v>1</v>
      </c>
      <c r="Q262" s="51">
        <f>(Q261*'AP01'!$P262)</f>
        <v>453092.9859</v>
      </c>
      <c r="R262" s="46">
        <f>DATEDIF($S$7,'AP01'!$B262,"Y")</f>
        <v>53</v>
      </c>
      <c r="S262" s="47">
        <f>VLOOKUP('AP01'!$R262,SEGUROS!$A:$B,2,TRUE)</f>
        <v>0.001042</v>
      </c>
      <c r="T262" s="51">
        <f>('AP01'!$O262*'AP01'!$P262)*'AP01'!$S262</f>
        <v>105.3609938</v>
      </c>
      <c r="U262" s="51">
        <f>'AP01'!$Q262*0.00899%</f>
        <v>40.73305943</v>
      </c>
      <c r="V262" s="4"/>
      <c r="W262" s="4"/>
      <c r="X262" s="4"/>
      <c r="Y262" s="4"/>
      <c r="Z262" s="4"/>
    </row>
    <row r="263" ht="18.75" customHeight="1">
      <c r="A263" s="56">
        <f t="shared" si="4"/>
        <v>249</v>
      </c>
      <c r="B263" s="50">
        <f t="shared" si="8"/>
        <v>50822</v>
      </c>
      <c r="C263" s="58">
        <f t="shared" si="128"/>
        <v>0.1049</v>
      </c>
      <c r="D263" s="58">
        <f>((1+'AP01'!$C263)^(1/12))-1</f>
        <v>0.00834755088</v>
      </c>
      <c r="E263" s="51">
        <f t="shared" si="126"/>
        <v>2171.371183</v>
      </c>
      <c r="F263" s="51">
        <f>(O262*'AP01'!$P263)*'AP01'!$D263</f>
        <v>844.0559082</v>
      </c>
      <c r="G263" s="51">
        <f>(O262*'AP01'!$P263)/($I$5-A262)</f>
        <v>902.8053347</v>
      </c>
      <c r="H263" s="82">
        <f>(O262*'AP01'!$P263)*'AP01'!$S263</f>
        <v>105.3609938</v>
      </c>
      <c r="I263" s="82">
        <f>'AP01'!$Q263*0.00899%</f>
        <v>40.73305943</v>
      </c>
      <c r="J263" s="51">
        <f t="shared" si="136"/>
        <v>25</v>
      </c>
      <c r="K263" s="51">
        <f t="shared" ref="K263:L263" si="304">K262</f>
        <v>0</v>
      </c>
      <c r="L263" s="51">
        <f t="shared" si="304"/>
        <v>0</v>
      </c>
      <c r="M263" s="51">
        <f>SUM('AP01'!$F263:$L263)</f>
        <v>1917.955296</v>
      </c>
      <c r="N263" s="51">
        <f>O262*('AP01'!$P263-1)</f>
        <v>0</v>
      </c>
      <c r="O263" s="51">
        <f>(O262*'AP01'!$P263)-'AP01'!$G263</f>
        <v>100211.3922</v>
      </c>
      <c r="P263" s="53">
        <f t="shared" si="141"/>
        <v>1</v>
      </c>
      <c r="Q263" s="51">
        <f>(Q262*'AP01'!$P263)</f>
        <v>453092.9859</v>
      </c>
      <c r="R263" s="46">
        <f>DATEDIF($S$7,'AP01'!$B263,"Y")</f>
        <v>53</v>
      </c>
      <c r="S263" s="47">
        <f>VLOOKUP('AP01'!$R263,SEGUROS!$A:$B,2,TRUE)</f>
        <v>0.001042</v>
      </c>
      <c r="T263" s="51">
        <f>('AP01'!$O263*'AP01'!$P263)*'AP01'!$S263</f>
        <v>104.4202706</v>
      </c>
      <c r="U263" s="51">
        <f>'AP01'!$Q263*0.00899%</f>
        <v>40.73305943</v>
      </c>
      <c r="V263" s="4"/>
      <c r="W263" s="4"/>
      <c r="X263" s="4"/>
      <c r="Y263" s="4"/>
      <c r="Z263" s="4"/>
    </row>
    <row r="264" ht="18.75" customHeight="1">
      <c r="A264" s="56">
        <f t="shared" si="4"/>
        <v>250</v>
      </c>
      <c r="B264" s="50">
        <f t="shared" si="8"/>
        <v>50850</v>
      </c>
      <c r="C264" s="58">
        <f t="shared" si="128"/>
        <v>0.1049</v>
      </c>
      <c r="D264" s="58">
        <f>((1+'AP01'!$C264)^(1/12))-1</f>
        <v>0.00834755088</v>
      </c>
      <c r="E264" s="51">
        <f t="shared" si="126"/>
        <v>2171.371183</v>
      </c>
      <c r="F264" s="51">
        <f>(O263*'AP01'!$P264)*'AP01'!$D264</f>
        <v>836.5196948</v>
      </c>
      <c r="G264" s="51">
        <f>(O263*'AP01'!$P264)/($I$5-A263)</f>
        <v>902.8053347</v>
      </c>
      <c r="H264" s="82">
        <f>(O263*'AP01'!$P264)*'AP01'!$S264</f>
        <v>104.4202706</v>
      </c>
      <c r="I264" s="82">
        <f>'AP01'!$Q264*0.00899%</f>
        <v>40.73305943</v>
      </c>
      <c r="J264" s="51">
        <f t="shared" si="136"/>
        <v>25</v>
      </c>
      <c r="K264" s="51">
        <f t="shared" ref="K264:L264" si="305">K263</f>
        <v>0</v>
      </c>
      <c r="L264" s="51">
        <f t="shared" si="305"/>
        <v>0</v>
      </c>
      <c r="M264" s="51">
        <f>SUM('AP01'!$F264:$L264)</f>
        <v>1909.47836</v>
      </c>
      <c r="N264" s="51">
        <f>O263*('AP01'!$P264-1)</f>
        <v>0</v>
      </c>
      <c r="O264" s="51">
        <f>(O263*'AP01'!$P264)-'AP01'!$G264</f>
        <v>99308.58682</v>
      </c>
      <c r="P264" s="53">
        <f t="shared" si="141"/>
        <v>1</v>
      </c>
      <c r="Q264" s="51">
        <f>(Q263*'AP01'!$P264)</f>
        <v>453092.9859</v>
      </c>
      <c r="R264" s="46">
        <f>DATEDIF($S$7,'AP01'!$B264,"Y")</f>
        <v>53</v>
      </c>
      <c r="S264" s="47">
        <f>VLOOKUP('AP01'!$R264,SEGUROS!$A:$B,2,TRUE)</f>
        <v>0.001042</v>
      </c>
      <c r="T264" s="51">
        <f>('AP01'!$O264*'AP01'!$P264)*'AP01'!$S264</f>
        <v>103.4795475</v>
      </c>
      <c r="U264" s="51">
        <f>'AP01'!$Q264*0.00899%</f>
        <v>40.73305943</v>
      </c>
      <c r="V264" s="4"/>
      <c r="W264" s="4"/>
      <c r="X264" s="4"/>
      <c r="Y264" s="4"/>
      <c r="Z264" s="4"/>
    </row>
    <row r="265" ht="18.75" customHeight="1">
      <c r="A265" s="56">
        <f t="shared" si="4"/>
        <v>251</v>
      </c>
      <c r="B265" s="50">
        <f t="shared" si="8"/>
        <v>50881</v>
      </c>
      <c r="C265" s="58">
        <f t="shared" si="128"/>
        <v>0.1049</v>
      </c>
      <c r="D265" s="58">
        <f>((1+'AP01'!$C265)^(1/12))-1</f>
        <v>0.00834755088</v>
      </c>
      <c r="E265" s="51">
        <f t="shared" si="126"/>
        <v>2171.371183</v>
      </c>
      <c r="F265" s="51">
        <f>(O264*'AP01'!$P265)*'AP01'!$D265</f>
        <v>828.9834813</v>
      </c>
      <c r="G265" s="51">
        <f>(O264*'AP01'!$P265)/($I$5-A264)</f>
        <v>902.8053347</v>
      </c>
      <c r="H265" s="82">
        <f>(O264*'AP01'!$P265)*'AP01'!$S265</f>
        <v>103.4795475</v>
      </c>
      <c r="I265" s="82">
        <f>'AP01'!$Q265*0.00899%</f>
        <v>40.73305943</v>
      </c>
      <c r="J265" s="51">
        <f t="shared" si="136"/>
        <v>25</v>
      </c>
      <c r="K265" s="51">
        <f t="shared" ref="K265:L265" si="306">K264</f>
        <v>0</v>
      </c>
      <c r="L265" s="51">
        <f t="shared" si="306"/>
        <v>0</v>
      </c>
      <c r="M265" s="51">
        <f>SUM('AP01'!$F265:$L265)</f>
        <v>1901.001423</v>
      </c>
      <c r="N265" s="51">
        <f>O264*('AP01'!$P265-1)</f>
        <v>0</v>
      </c>
      <c r="O265" s="51">
        <f>(O264*'AP01'!$P265)-'AP01'!$G265</f>
        <v>98405.78149</v>
      </c>
      <c r="P265" s="53">
        <f t="shared" si="141"/>
        <v>1</v>
      </c>
      <c r="Q265" s="51">
        <f>(Q264*'AP01'!$P265)</f>
        <v>453092.9859</v>
      </c>
      <c r="R265" s="46">
        <f>DATEDIF($S$7,'AP01'!$B265,"Y")</f>
        <v>53</v>
      </c>
      <c r="S265" s="47">
        <f>VLOOKUP('AP01'!$R265,SEGUROS!$A:$B,2,TRUE)</f>
        <v>0.001042</v>
      </c>
      <c r="T265" s="51">
        <f>('AP01'!$O265*'AP01'!$P265)*'AP01'!$S265</f>
        <v>102.5388243</v>
      </c>
      <c r="U265" s="51">
        <f>'AP01'!$Q265*0.00899%</f>
        <v>40.73305943</v>
      </c>
      <c r="V265" s="4"/>
      <c r="W265" s="4"/>
      <c r="X265" s="4"/>
      <c r="Y265" s="4"/>
      <c r="Z265" s="4"/>
    </row>
    <row r="266" ht="18.75" customHeight="1">
      <c r="A266" s="56">
        <f t="shared" si="4"/>
        <v>252</v>
      </c>
      <c r="B266" s="50">
        <f t="shared" si="8"/>
        <v>50911</v>
      </c>
      <c r="C266" s="58">
        <f t="shared" si="128"/>
        <v>0.1049</v>
      </c>
      <c r="D266" s="58">
        <f>((1+'AP01'!$C266)^(1/12))-1</f>
        <v>0.00834755088</v>
      </c>
      <c r="E266" s="51">
        <f t="shared" si="126"/>
        <v>2171.371183</v>
      </c>
      <c r="F266" s="51">
        <f>(O265*'AP01'!$P266)*'AP01'!$D266</f>
        <v>821.4472678</v>
      </c>
      <c r="G266" s="51">
        <f>(O265*'AP01'!$P266)/($I$5-A265)</f>
        <v>902.8053347</v>
      </c>
      <c r="H266" s="82">
        <f>(O265*'AP01'!$P266)*'AP01'!$S266</f>
        <v>102.5388243</v>
      </c>
      <c r="I266" s="82">
        <f>'AP01'!$Q266*0.00899%</f>
        <v>40.73305943</v>
      </c>
      <c r="J266" s="51">
        <f t="shared" si="136"/>
        <v>25</v>
      </c>
      <c r="K266" s="51">
        <f t="shared" ref="K266:L266" si="307">K265</f>
        <v>0</v>
      </c>
      <c r="L266" s="51">
        <f t="shared" si="307"/>
        <v>0</v>
      </c>
      <c r="M266" s="51">
        <f>SUM('AP01'!$F266:$L266)</f>
        <v>1892.524486</v>
      </c>
      <c r="N266" s="51">
        <f>O265*('AP01'!$P266-1)</f>
        <v>0</v>
      </c>
      <c r="O266" s="51">
        <f>(O265*'AP01'!$P266)-'AP01'!$G266</f>
        <v>97502.97615</v>
      </c>
      <c r="P266" s="53">
        <f t="shared" si="141"/>
        <v>1</v>
      </c>
      <c r="Q266" s="51">
        <f>(Q265*'AP01'!$P266)</f>
        <v>453092.9859</v>
      </c>
      <c r="R266" s="46">
        <f>DATEDIF($S$7,'AP01'!$B266,"Y")</f>
        <v>53</v>
      </c>
      <c r="S266" s="47">
        <f>VLOOKUP('AP01'!$R266,SEGUROS!$A:$B,2,TRUE)</f>
        <v>0.001042</v>
      </c>
      <c r="T266" s="51">
        <f>('AP01'!$O266*'AP01'!$P266)*'AP01'!$S266</f>
        <v>101.5981012</v>
      </c>
      <c r="U266" s="51">
        <f>'AP01'!$Q266*0.00899%</f>
        <v>40.73305943</v>
      </c>
      <c r="V266" s="4"/>
      <c r="W266" s="4"/>
      <c r="X266" s="4"/>
      <c r="Y266" s="4"/>
      <c r="Z266" s="4"/>
    </row>
    <row r="267" ht="18.75" customHeight="1">
      <c r="A267" s="56">
        <f t="shared" si="4"/>
        <v>253</v>
      </c>
      <c r="B267" s="50">
        <f t="shared" si="8"/>
        <v>50942</v>
      </c>
      <c r="C267" s="58">
        <f t="shared" si="128"/>
        <v>0.1049</v>
      </c>
      <c r="D267" s="58">
        <f>((1+'AP01'!$C267)^(1/12))-1</f>
        <v>0.00834755088</v>
      </c>
      <c r="E267" s="51">
        <f t="shared" si="126"/>
        <v>2171.371183</v>
      </c>
      <c r="F267" s="51">
        <f>(O266*'AP01'!$P267)*'AP01'!$D267</f>
        <v>813.9110544</v>
      </c>
      <c r="G267" s="51">
        <f>(O266*'AP01'!$P267)/($I$5-A266)</f>
        <v>902.8053347</v>
      </c>
      <c r="H267" s="82">
        <f>(O266*'AP01'!$P267)*'AP01'!$S267</f>
        <v>101.5981012</v>
      </c>
      <c r="I267" s="82">
        <f>'AP01'!$Q267*0.00899%</f>
        <v>40.73305943</v>
      </c>
      <c r="J267" s="51">
        <f t="shared" si="136"/>
        <v>25</v>
      </c>
      <c r="K267" s="51">
        <f t="shared" ref="K267:L267" si="308">K266</f>
        <v>0</v>
      </c>
      <c r="L267" s="51">
        <f t="shared" si="308"/>
        <v>0</v>
      </c>
      <c r="M267" s="51">
        <f>SUM('AP01'!$F267:$L267)</f>
        <v>1884.04755</v>
      </c>
      <c r="N267" s="51">
        <f>O266*('AP01'!$P267-1)</f>
        <v>0</v>
      </c>
      <c r="O267" s="51">
        <f>(O266*'AP01'!$P267)-'AP01'!$G267</f>
        <v>96600.17082</v>
      </c>
      <c r="P267" s="53">
        <f t="shared" si="141"/>
        <v>1</v>
      </c>
      <c r="Q267" s="51">
        <f>(Q266*'AP01'!$P267)</f>
        <v>453092.9859</v>
      </c>
      <c r="R267" s="46">
        <f>DATEDIF($S$7,'AP01'!$B267,"Y")</f>
        <v>53</v>
      </c>
      <c r="S267" s="47">
        <f>VLOOKUP('AP01'!$R267,SEGUROS!$A:$B,2,TRUE)</f>
        <v>0.001042</v>
      </c>
      <c r="T267" s="51">
        <f>('AP01'!$O267*'AP01'!$P267)*'AP01'!$S267</f>
        <v>100.657378</v>
      </c>
      <c r="U267" s="51">
        <f>'AP01'!$Q267*0.00899%</f>
        <v>40.73305943</v>
      </c>
      <c r="V267" s="4"/>
      <c r="W267" s="4"/>
      <c r="X267" s="4"/>
      <c r="Y267" s="4"/>
      <c r="Z267" s="4"/>
    </row>
    <row r="268" ht="18.75" customHeight="1">
      <c r="A268" s="56">
        <f t="shared" si="4"/>
        <v>254</v>
      </c>
      <c r="B268" s="50">
        <f t="shared" si="8"/>
        <v>50972</v>
      </c>
      <c r="C268" s="58">
        <f t="shared" si="128"/>
        <v>0.1049</v>
      </c>
      <c r="D268" s="58">
        <f>((1+'AP01'!$C268)^(1/12))-1</f>
        <v>0.00834755088</v>
      </c>
      <c r="E268" s="51">
        <f t="shared" si="126"/>
        <v>2171.371183</v>
      </c>
      <c r="F268" s="51">
        <f>(O267*'AP01'!$P268)*'AP01'!$D268</f>
        <v>806.3748409</v>
      </c>
      <c r="G268" s="51">
        <f>(O267*'AP01'!$P268)/($I$5-A267)</f>
        <v>902.8053347</v>
      </c>
      <c r="H268" s="82">
        <f>(O267*'AP01'!$P268)*'AP01'!$S268</f>
        <v>100.657378</v>
      </c>
      <c r="I268" s="82">
        <f>'AP01'!$Q268*0.00899%</f>
        <v>40.73305943</v>
      </c>
      <c r="J268" s="51">
        <f t="shared" si="136"/>
        <v>25</v>
      </c>
      <c r="K268" s="51">
        <f t="shared" ref="K268:L268" si="309">K267</f>
        <v>0</v>
      </c>
      <c r="L268" s="51">
        <f t="shared" si="309"/>
        <v>0</v>
      </c>
      <c r="M268" s="51">
        <f>SUM('AP01'!$F268:$L268)</f>
        <v>1875.570613</v>
      </c>
      <c r="N268" s="51">
        <f>O267*('AP01'!$P268-1)</f>
        <v>0</v>
      </c>
      <c r="O268" s="51">
        <f>(O267*'AP01'!$P268)-'AP01'!$G268</f>
        <v>95697.36548</v>
      </c>
      <c r="P268" s="53">
        <f t="shared" si="141"/>
        <v>1</v>
      </c>
      <c r="Q268" s="51">
        <f>(Q267*'AP01'!$P268)</f>
        <v>453092.9859</v>
      </c>
      <c r="R268" s="46">
        <f>DATEDIF($S$7,'AP01'!$B268,"Y")</f>
        <v>53</v>
      </c>
      <c r="S268" s="47">
        <f>VLOOKUP('AP01'!$R268,SEGUROS!$A:$B,2,TRUE)</f>
        <v>0.001042</v>
      </c>
      <c r="T268" s="51">
        <f>('AP01'!$O268*'AP01'!$P268)*'AP01'!$S268</f>
        <v>99.71665483</v>
      </c>
      <c r="U268" s="51">
        <f>'AP01'!$Q268*0.00899%</f>
        <v>40.73305943</v>
      </c>
      <c r="V268" s="4"/>
      <c r="W268" s="4"/>
      <c r="X268" s="4"/>
      <c r="Y268" s="4"/>
      <c r="Z268" s="4"/>
    </row>
    <row r="269" ht="18.75" customHeight="1">
      <c r="A269" s="56">
        <f t="shared" si="4"/>
        <v>255</v>
      </c>
      <c r="B269" s="50">
        <f t="shared" si="8"/>
        <v>51003</v>
      </c>
      <c r="C269" s="58">
        <f t="shared" si="128"/>
        <v>0.1049</v>
      </c>
      <c r="D269" s="58">
        <f>((1+'AP01'!$C269)^(1/12))-1</f>
        <v>0.00834755088</v>
      </c>
      <c r="E269" s="51">
        <f t="shared" si="126"/>
        <v>2171.371183</v>
      </c>
      <c r="F269" s="51">
        <f>(O268*'AP01'!$P269)*'AP01'!$D269</f>
        <v>798.8386274</v>
      </c>
      <c r="G269" s="51">
        <f>(O268*'AP01'!$P269)/($I$5-A268)</f>
        <v>902.8053347</v>
      </c>
      <c r="H269" s="82">
        <f>(O268*'AP01'!$P269)*'AP01'!$S269</f>
        <v>99.71665483</v>
      </c>
      <c r="I269" s="82">
        <f>'AP01'!$Q269*0.00899%</f>
        <v>40.73305943</v>
      </c>
      <c r="J269" s="51">
        <f t="shared" si="136"/>
        <v>25</v>
      </c>
      <c r="K269" s="51">
        <f t="shared" ref="K269:L269" si="310">K268</f>
        <v>0</v>
      </c>
      <c r="L269" s="51">
        <f t="shared" si="310"/>
        <v>0</v>
      </c>
      <c r="M269" s="51">
        <f>SUM('AP01'!$F269:$L269)</f>
        <v>1867.093676</v>
      </c>
      <c r="N269" s="51">
        <f>O268*('AP01'!$P269-1)</f>
        <v>0</v>
      </c>
      <c r="O269" s="51">
        <f>(O268*'AP01'!$P269)-'AP01'!$G269</f>
        <v>94794.56015</v>
      </c>
      <c r="P269" s="53">
        <f t="shared" si="141"/>
        <v>1</v>
      </c>
      <c r="Q269" s="51">
        <f>(Q268*'AP01'!$P269)</f>
        <v>453092.9859</v>
      </c>
      <c r="R269" s="46">
        <f>DATEDIF($S$7,'AP01'!$B269,"Y")</f>
        <v>53</v>
      </c>
      <c r="S269" s="47">
        <f>VLOOKUP('AP01'!$R269,SEGUROS!$A:$B,2,TRUE)</f>
        <v>0.001042</v>
      </c>
      <c r="T269" s="51">
        <f>('AP01'!$O269*'AP01'!$P269)*'AP01'!$S269</f>
        <v>98.77593167</v>
      </c>
      <c r="U269" s="51">
        <f>'AP01'!$Q269*0.00899%</f>
        <v>40.73305943</v>
      </c>
      <c r="V269" s="4"/>
      <c r="W269" s="4"/>
      <c r="X269" s="4"/>
      <c r="Y269" s="4"/>
      <c r="Z269" s="4"/>
    </row>
    <row r="270" ht="18.75" customHeight="1">
      <c r="A270" s="56">
        <f t="shared" si="4"/>
        <v>256</v>
      </c>
      <c r="B270" s="50">
        <f t="shared" si="8"/>
        <v>51034</v>
      </c>
      <c r="C270" s="58">
        <f t="shared" si="128"/>
        <v>0.1049</v>
      </c>
      <c r="D270" s="58">
        <f>((1+'AP01'!$C270)^(1/12))-1</f>
        <v>0.00834755088</v>
      </c>
      <c r="E270" s="51">
        <f t="shared" si="126"/>
        <v>2171.371183</v>
      </c>
      <c r="F270" s="51">
        <f>(O269*'AP01'!$P270)*'AP01'!$D270</f>
        <v>791.302414</v>
      </c>
      <c r="G270" s="51">
        <f>(O269*'AP01'!$P270)/($I$5-A269)</f>
        <v>902.8053347</v>
      </c>
      <c r="H270" s="82">
        <f>(O269*'AP01'!$P270)*'AP01'!$S270</f>
        <v>98.77593167</v>
      </c>
      <c r="I270" s="82">
        <f>'AP01'!$Q270*0.00899%</f>
        <v>40.73305943</v>
      </c>
      <c r="J270" s="51">
        <f t="shared" si="136"/>
        <v>25</v>
      </c>
      <c r="K270" s="51">
        <f t="shared" ref="K270:L270" si="311">K269</f>
        <v>0</v>
      </c>
      <c r="L270" s="51">
        <f t="shared" si="311"/>
        <v>0</v>
      </c>
      <c r="M270" s="51">
        <f>SUM('AP01'!$F270:$L270)</f>
        <v>1858.61674</v>
      </c>
      <c r="N270" s="51">
        <f>O269*('AP01'!$P270-1)</f>
        <v>0</v>
      </c>
      <c r="O270" s="51">
        <f>(O269*'AP01'!$P270)-'AP01'!$G270</f>
        <v>93891.75481</v>
      </c>
      <c r="P270" s="53">
        <f t="shared" si="141"/>
        <v>1</v>
      </c>
      <c r="Q270" s="51">
        <f>(Q269*'AP01'!$P270)</f>
        <v>453092.9859</v>
      </c>
      <c r="R270" s="46">
        <f>DATEDIF($S$7,'AP01'!$B270,"Y")</f>
        <v>53</v>
      </c>
      <c r="S270" s="47">
        <f>VLOOKUP('AP01'!$R270,SEGUROS!$A:$B,2,TRUE)</f>
        <v>0.001042</v>
      </c>
      <c r="T270" s="51">
        <f>('AP01'!$O270*'AP01'!$P270)*'AP01'!$S270</f>
        <v>97.83520851</v>
      </c>
      <c r="U270" s="51">
        <f>'AP01'!$Q270*0.00899%</f>
        <v>40.73305943</v>
      </c>
      <c r="V270" s="4"/>
      <c r="W270" s="4"/>
      <c r="X270" s="4"/>
      <c r="Y270" s="4"/>
      <c r="Z270" s="4"/>
    </row>
    <row r="271" ht="18.75" customHeight="1">
      <c r="A271" s="56">
        <f t="shared" si="4"/>
        <v>257</v>
      </c>
      <c r="B271" s="50">
        <f t="shared" si="8"/>
        <v>51064</v>
      </c>
      <c r="C271" s="58">
        <f t="shared" si="128"/>
        <v>0.1049</v>
      </c>
      <c r="D271" s="58">
        <f>((1+'AP01'!$C271)^(1/12))-1</f>
        <v>0.00834755088</v>
      </c>
      <c r="E271" s="51">
        <f t="shared" si="126"/>
        <v>2171.371183</v>
      </c>
      <c r="F271" s="51">
        <f>(O270*'AP01'!$P271)*'AP01'!$D271</f>
        <v>783.7662005</v>
      </c>
      <c r="G271" s="51">
        <f>(O270*'AP01'!$P271)/($I$5-A270)</f>
        <v>902.8053347</v>
      </c>
      <c r="H271" s="82">
        <f>(O270*'AP01'!$P271)*'AP01'!$S271</f>
        <v>97.83520851</v>
      </c>
      <c r="I271" s="82">
        <f>'AP01'!$Q271*0.00899%</f>
        <v>40.73305943</v>
      </c>
      <c r="J271" s="51">
        <f t="shared" si="136"/>
        <v>25</v>
      </c>
      <c r="K271" s="51">
        <f t="shared" ref="K271:L271" si="312">K270</f>
        <v>0</v>
      </c>
      <c r="L271" s="51">
        <f t="shared" si="312"/>
        <v>0</v>
      </c>
      <c r="M271" s="51">
        <f>SUM('AP01'!$F271:$L271)</f>
        <v>1850.139803</v>
      </c>
      <c r="N271" s="51">
        <f>O270*('AP01'!$P271-1)</f>
        <v>0</v>
      </c>
      <c r="O271" s="51">
        <f>(O270*'AP01'!$P271)-'AP01'!$G271</f>
        <v>92988.94948</v>
      </c>
      <c r="P271" s="53">
        <f t="shared" si="141"/>
        <v>1</v>
      </c>
      <c r="Q271" s="51">
        <f>(Q270*'AP01'!$P271)</f>
        <v>453092.9859</v>
      </c>
      <c r="R271" s="46">
        <f>DATEDIF($S$7,'AP01'!$B271,"Y")</f>
        <v>53</v>
      </c>
      <c r="S271" s="47">
        <f>VLOOKUP('AP01'!$R271,SEGUROS!$A:$B,2,TRUE)</f>
        <v>0.001042</v>
      </c>
      <c r="T271" s="51">
        <f>('AP01'!$O271*'AP01'!$P271)*'AP01'!$S271</f>
        <v>96.89448536</v>
      </c>
      <c r="U271" s="51">
        <f>'AP01'!$Q271*0.00899%</f>
        <v>40.73305943</v>
      </c>
      <c r="V271" s="4"/>
      <c r="W271" s="4"/>
      <c r="X271" s="4"/>
      <c r="Y271" s="4"/>
      <c r="Z271" s="4"/>
    </row>
    <row r="272" ht="18.75" customHeight="1">
      <c r="A272" s="56">
        <f t="shared" si="4"/>
        <v>258</v>
      </c>
      <c r="B272" s="50">
        <f t="shared" si="8"/>
        <v>51095</v>
      </c>
      <c r="C272" s="58">
        <f t="shared" si="128"/>
        <v>0.1049</v>
      </c>
      <c r="D272" s="58">
        <f>((1+'AP01'!$C272)^(1/12))-1</f>
        <v>0.00834755088</v>
      </c>
      <c r="E272" s="51">
        <f t="shared" si="126"/>
        <v>2171.371183</v>
      </c>
      <c r="F272" s="51">
        <f>(O271*'AP01'!$P272)*'AP01'!$D272</f>
        <v>776.229987</v>
      </c>
      <c r="G272" s="51">
        <f>(O271*'AP01'!$P272)/($I$5-A271)</f>
        <v>902.8053347</v>
      </c>
      <c r="H272" s="82">
        <f>(O271*'AP01'!$P272)*'AP01'!$S272</f>
        <v>96.89448536</v>
      </c>
      <c r="I272" s="82">
        <f>'AP01'!$Q272*0.00899%</f>
        <v>40.73305943</v>
      </c>
      <c r="J272" s="51">
        <f t="shared" si="136"/>
        <v>25</v>
      </c>
      <c r="K272" s="51">
        <f t="shared" ref="K272:L272" si="313">K271</f>
        <v>0</v>
      </c>
      <c r="L272" s="51">
        <f t="shared" si="313"/>
        <v>0</v>
      </c>
      <c r="M272" s="51">
        <f>SUM('AP01'!$F272:$L272)</f>
        <v>1841.662867</v>
      </c>
      <c r="N272" s="51">
        <f>O271*('AP01'!$P272-1)</f>
        <v>0</v>
      </c>
      <c r="O272" s="51">
        <f>(O271*'AP01'!$P272)-'AP01'!$G272</f>
        <v>92086.14414</v>
      </c>
      <c r="P272" s="53">
        <f t="shared" si="141"/>
        <v>1</v>
      </c>
      <c r="Q272" s="51">
        <f>(Q271*'AP01'!$P272)</f>
        <v>453092.9859</v>
      </c>
      <c r="R272" s="46">
        <f>DATEDIF($S$7,'AP01'!$B272,"Y")</f>
        <v>53</v>
      </c>
      <c r="S272" s="47">
        <f>VLOOKUP('AP01'!$R272,SEGUROS!$A:$B,2,TRUE)</f>
        <v>0.001042</v>
      </c>
      <c r="T272" s="51">
        <f>('AP01'!$O272*'AP01'!$P272)*'AP01'!$S272</f>
        <v>95.9537622</v>
      </c>
      <c r="U272" s="51">
        <f>'AP01'!$Q272*0.00899%</f>
        <v>40.73305943</v>
      </c>
      <c r="V272" s="4"/>
      <c r="W272" s="4"/>
      <c r="X272" s="4"/>
      <c r="Y272" s="4"/>
      <c r="Z272" s="4"/>
    </row>
    <row r="273" ht="18.75" customHeight="1">
      <c r="A273" s="56">
        <f t="shared" si="4"/>
        <v>259</v>
      </c>
      <c r="B273" s="50">
        <f t="shared" si="8"/>
        <v>51125</v>
      </c>
      <c r="C273" s="58">
        <f t="shared" si="128"/>
        <v>0.1049</v>
      </c>
      <c r="D273" s="58">
        <f>((1+'AP01'!$C273)^(1/12))-1</f>
        <v>0.00834755088</v>
      </c>
      <c r="E273" s="51">
        <f t="shared" si="126"/>
        <v>2171.371183</v>
      </c>
      <c r="F273" s="51">
        <f>(O272*'AP01'!$P273)*'AP01'!$D273</f>
        <v>768.6937736</v>
      </c>
      <c r="G273" s="51">
        <f>(O272*'AP01'!$P273)/($I$5-A272)</f>
        <v>902.8053347</v>
      </c>
      <c r="H273" s="82">
        <f>(O272*'AP01'!$P273)*'AP01'!$S273</f>
        <v>104.2415152</v>
      </c>
      <c r="I273" s="82">
        <f>'AP01'!$Q273*0.00899%</f>
        <v>40.73305943</v>
      </c>
      <c r="J273" s="51">
        <f t="shared" si="136"/>
        <v>25</v>
      </c>
      <c r="K273" s="51">
        <f t="shared" ref="K273:L273" si="314">K272</f>
        <v>0</v>
      </c>
      <c r="L273" s="51">
        <f t="shared" si="314"/>
        <v>0</v>
      </c>
      <c r="M273" s="51">
        <f>SUM('AP01'!$F273:$L273)</f>
        <v>1841.473683</v>
      </c>
      <c r="N273" s="51">
        <f>O272*('AP01'!$P273-1)</f>
        <v>0</v>
      </c>
      <c r="O273" s="51">
        <f>(O272*'AP01'!$P273)-'AP01'!$G273</f>
        <v>91183.33881</v>
      </c>
      <c r="P273" s="53">
        <f t="shared" si="141"/>
        <v>1</v>
      </c>
      <c r="Q273" s="51">
        <f>(Q272*'AP01'!$P273)</f>
        <v>453092.9859</v>
      </c>
      <c r="R273" s="46">
        <f>DATEDIF($S$7,'AP01'!$B273,"Y")</f>
        <v>54</v>
      </c>
      <c r="S273" s="47">
        <f>VLOOKUP('AP01'!$R273,SEGUROS!$A:$B,2,TRUE)</f>
        <v>0.001132</v>
      </c>
      <c r="T273" s="51">
        <f>('AP01'!$O273*'AP01'!$P273)*'AP01'!$S273</f>
        <v>103.2195395</v>
      </c>
      <c r="U273" s="51">
        <f>'AP01'!$Q273*0.00899%</f>
        <v>40.73305943</v>
      </c>
      <c r="V273" s="4"/>
      <c r="W273" s="4"/>
      <c r="X273" s="4"/>
      <c r="Y273" s="4"/>
      <c r="Z273" s="4"/>
    </row>
    <row r="274" ht="18.75" customHeight="1">
      <c r="A274" s="56">
        <f t="shared" si="4"/>
        <v>260</v>
      </c>
      <c r="B274" s="50">
        <f t="shared" si="8"/>
        <v>51156</v>
      </c>
      <c r="C274" s="58">
        <f t="shared" si="128"/>
        <v>0.1049</v>
      </c>
      <c r="D274" s="58">
        <f>((1+'AP01'!$C274)^(1/12))-1</f>
        <v>0.00834755088</v>
      </c>
      <c r="E274" s="51">
        <f t="shared" si="126"/>
        <v>2171.371183</v>
      </c>
      <c r="F274" s="51">
        <f>(O273*'AP01'!$P274)*'AP01'!$D274</f>
        <v>761.1575601</v>
      </c>
      <c r="G274" s="51">
        <f>(O273*'AP01'!$P274)/($I$5-A273)</f>
        <v>902.8053347</v>
      </c>
      <c r="H274" s="82">
        <f>(O273*'AP01'!$P274)*'AP01'!$S274</f>
        <v>103.2195395</v>
      </c>
      <c r="I274" s="82">
        <f>'AP01'!$Q274*0.00899%</f>
        <v>40.73305943</v>
      </c>
      <c r="J274" s="51">
        <f t="shared" si="136"/>
        <v>25</v>
      </c>
      <c r="K274" s="51">
        <f t="shared" ref="K274:L274" si="315">K273</f>
        <v>0</v>
      </c>
      <c r="L274" s="51">
        <f t="shared" si="315"/>
        <v>0</v>
      </c>
      <c r="M274" s="51">
        <f>SUM('AP01'!$F274:$L274)</f>
        <v>1832.915494</v>
      </c>
      <c r="N274" s="51">
        <f>O273*('AP01'!$P274-1)</f>
        <v>0</v>
      </c>
      <c r="O274" s="51">
        <f>(O273*'AP01'!$P274)-'AP01'!$G274</f>
        <v>90280.53347</v>
      </c>
      <c r="P274" s="53">
        <f t="shared" si="141"/>
        <v>1</v>
      </c>
      <c r="Q274" s="51">
        <f>(Q273*'AP01'!$P274)</f>
        <v>453092.9859</v>
      </c>
      <c r="R274" s="46">
        <f>DATEDIF($S$7,'AP01'!$B274,"Y")</f>
        <v>54</v>
      </c>
      <c r="S274" s="47">
        <f>VLOOKUP('AP01'!$R274,SEGUROS!$A:$B,2,TRUE)</f>
        <v>0.001132</v>
      </c>
      <c r="T274" s="51">
        <f>('AP01'!$O274*'AP01'!$P274)*'AP01'!$S274</f>
        <v>102.1975639</v>
      </c>
      <c r="U274" s="51">
        <f>'AP01'!$Q274*0.00899%</f>
        <v>40.73305943</v>
      </c>
      <c r="V274" s="4"/>
      <c r="W274" s="4"/>
      <c r="X274" s="4"/>
      <c r="Y274" s="4"/>
      <c r="Z274" s="4"/>
    </row>
    <row r="275" ht="18.75" customHeight="1">
      <c r="A275" s="56">
        <f t="shared" si="4"/>
        <v>261</v>
      </c>
      <c r="B275" s="50">
        <f t="shared" si="8"/>
        <v>51187</v>
      </c>
      <c r="C275" s="58">
        <f t="shared" si="128"/>
        <v>0.1049</v>
      </c>
      <c r="D275" s="58">
        <f>((1+'AP01'!$C275)^(1/12))-1</f>
        <v>0.00834755088</v>
      </c>
      <c r="E275" s="51">
        <f t="shared" si="126"/>
        <v>2171.371183</v>
      </c>
      <c r="F275" s="51">
        <f>(O274*'AP01'!$P275)*'AP01'!$D275</f>
        <v>753.6213466</v>
      </c>
      <c r="G275" s="51">
        <f>(O274*'AP01'!$P275)/($I$5-A274)</f>
        <v>902.8053347</v>
      </c>
      <c r="H275" s="82">
        <f>(O274*'AP01'!$P275)*'AP01'!$S275</f>
        <v>102.1975639</v>
      </c>
      <c r="I275" s="82">
        <f>'AP01'!$Q275*0.00899%</f>
        <v>40.73305943</v>
      </c>
      <c r="J275" s="51">
        <f t="shared" si="136"/>
        <v>25</v>
      </c>
      <c r="K275" s="51">
        <f t="shared" ref="K275:L275" si="316">K274</f>
        <v>0</v>
      </c>
      <c r="L275" s="51">
        <f t="shared" si="316"/>
        <v>0</v>
      </c>
      <c r="M275" s="51">
        <f>SUM('AP01'!$F275:$L275)</f>
        <v>1824.357305</v>
      </c>
      <c r="N275" s="51">
        <f>O274*('AP01'!$P275-1)</f>
        <v>0</v>
      </c>
      <c r="O275" s="51">
        <f>(O274*'AP01'!$P275)-'AP01'!$G275</f>
        <v>89377.72814</v>
      </c>
      <c r="P275" s="53">
        <f t="shared" si="141"/>
        <v>1</v>
      </c>
      <c r="Q275" s="51">
        <f>(Q274*'AP01'!$P275)</f>
        <v>453092.9859</v>
      </c>
      <c r="R275" s="46">
        <f>DATEDIF($S$7,'AP01'!$B275,"Y")</f>
        <v>54</v>
      </c>
      <c r="S275" s="47">
        <f>VLOOKUP('AP01'!$R275,SEGUROS!$A:$B,2,TRUE)</f>
        <v>0.001132</v>
      </c>
      <c r="T275" s="51">
        <f>('AP01'!$O275*'AP01'!$P275)*'AP01'!$S275</f>
        <v>101.1755883</v>
      </c>
      <c r="U275" s="51">
        <f>'AP01'!$Q275*0.00899%</f>
        <v>40.73305943</v>
      </c>
      <c r="V275" s="4"/>
      <c r="W275" s="4"/>
      <c r="X275" s="4"/>
      <c r="Y275" s="4"/>
      <c r="Z275" s="4"/>
    </row>
    <row r="276" ht="18.75" customHeight="1">
      <c r="A276" s="56">
        <f t="shared" si="4"/>
        <v>262</v>
      </c>
      <c r="B276" s="50">
        <f t="shared" si="8"/>
        <v>51216</v>
      </c>
      <c r="C276" s="58">
        <f t="shared" si="128"/>
        <v>0.1049</v>
      </c>
      <c r="D276" s="58">
        <f>((1+'AP01'!$C276)^(1/12))-1</f>
        <v>0.00834755088</v>
      </c>
      <c r="E276" s="51">
        <f t="shared" si="126"/>
        <v>2171.371183</v>
      </c>
      <c r="F276" s="51">
        <f>(O275*'AP01'!$P276)*'AP01'!$D276</f>
        <v>746.0851332</v>
      </c>
      <c r="G276" s="51">
        <f>(O275*'AP01'!$P276)/($I$5-A275)</f>
        <v>902.8053347</v>
      </c>
      <c r="H276" s="82">
        <f>(O275*'AP01'!$P276)*'AP01'!$S276</f>
        <v>101.1755883</v>
      </c>
      <c r="I276" s="82">
        <f>'AP01'!$Q276*0.00899%</f>
        <v>40.73305943</v>
      </c>
      <c r="J276" s="51">
        <f t="shared" si="136"/>
        <v>25</v>
      </c>
      <c r="K276" s="51">
        <f t="shared" ref="K276:L276" si="317">K275</f>
        <v>0</v>
      </c>
      <c r="L276" s="51">
        <f t="shared" si="317"/>
        <v>0</v>
      </c>
      <c r="M276" s="51">
        <f>SUM('AP01'!$F276:$L276)</f>
        <v>1815.799116</v>
      </c>
      <c r="N276" s="51">
        <f>O275*('AP01'!$P276-1)</f>
        <v>0</v>
      </c>
      <c r="O276" s="51">
        <f>(O275*'AP01'!$P276)-'AP01'!$G276</f>
        <v>88474.9228</v>
      </c>
      <c r="P276" s="53">
        <f t="shared" si="141"/>
        <v>1</v>
      </c>
      <c r="Q276" s="51">
        <f>(Q275*'AP01'!$P276)</f>
        <v>453092.9859</v>
      </c>
      <c r="R276" s="46">
        <f>DATEDIF($S$7,'AP01'!$B276,"Y")</f>
        <v>54</v>
      </c>
      <c r="S276" s="47">
        <f>VLOOKUP('AP01'!$R276,SEGUROS!$A:$B,2,TRUE)</f>
        <v>0.001132</v>
      </c>
      <c r="T276" s="51">
        <f>('AP01'!$O276*'AP01'!$P276)*'AP01'!$S276</f>
        <v>100.1536126</v>
      </c>
      <c r="U276" s="51">
        <f>'AP01'!$Q276*0.00899%</f>
        <v>40.73305943</v>
      </c>
      <c r="V276" s="4"/>
      <c r="W276" s="4"/>
      <c r="X276" s="4"/>
      <c r="Y276" s="4"/>
      <c r="Z276" s="4"/>
    </row>
    <row r="277" ht="18.75" customHeight="1">
      <c r="A277" s="56">
        <f t="shared" si="4"/>
        <v>263</v>
      </c>
      <c r="B277" s="50">
        <f t="shared" si="8"/>
        <v>51247</v>
      </c>
      <c r="C277" s="58">
        <f t="shared" si="128"/>
        <v>0.1049</v>
      </c>
      <c r="D277" s="58">
        <f>((1+'AP01'!$C277)^(1/12))-1</f>
        <v>0.00834755088</v>
      </c>
      <c r="E277" s="51">
        <f t="shared" si="126"/>
        <v>2171.371183</v>
      </c>
      <c r="F277" s="51">
        <f>(O276*'AP01'!$P277)*'AP01'!$D277</f>
        <v>738.5489197</v>
      </c>
      <c r="G277" s="51">
        <f>(O276*'AP01'!$P277)/($I$5-A276)</f>
        <v>902.8053347</v>
      </c>
      <c r="H277" s="82">
        <f>(O276*'AP01'!$P277)*'AP01'!$S277</f>
        <v>100.1536126</v>
      </c>
      <c r="I277" s="82">
        <f>'AP01'!$Q277*0.00899%</f>
        <v>40.73305943</v>
      </c>
      <c r="J277" s="51">
        <f t="shared" si="136"/>
        <v>25</v>
      </c>
      <c r="K277" s="51">
        <f t="shared" ref="K277:L277" si="318">K276</f>
        <v>0</v>
      </c>
      <c r="L277" s="51">
        <f t="shared" si="318"/>
        <v>0</v>
      </c>
      <c r="M277" s="51">
        <f>SUM('AP01'!$F277:$L277)</f>
        <v>1807.240926</v>
      </c>
      <c r="N277" s="51">
        <f>O276*('AP01'!$P277-1)</f>
        <v>0</v>
      </c>
      <c r="O277" s="51">
        <f>(O276*'AP01'!$P277)-'AP01'!$G277</f>
        <v>87572.11747</v>
      </c>
      <c r="P277" s="53">
        <f t="shared" si="141"/>
        <v>1</v>
      </c>
      <c r="Q277" s="51">
        <f>(Q276*'AP01'!$P277)</f>
        <v>453092.9859</v>
      </c>
      <c r="R277" s="46">
        <f>DATEDIF($S$7,'AP01'!$B277,"Y")</f>
        <v>54</v>
      </c>
      <c r="S277" s="47">
        <f>VLOOKUP('AP01'!$R277,SEGUROS!$A:$B,2,TRUE)</f>
        <v>0.001132</v>
      </c>
      <c r="T277" s="51">
        <f>('AP01'!$O277*'AP01'!$P277)*'AP01'!$S277</f>
        <v>99.13163698</v>
      </c>
      <c r="U277" s="51">
        <f>'AP01'!$Q277*0.00899%</f>
        <v>40.73305943</v>
      </c>
      <c r="V277" s="4"/>
      <c r="W277" s="4"/>
      <c r="X277" s="4"/>
      <c r="Y277" s="4"/>
      <c r="Z277" s="4"/>
    </row>
    <row r="278" ht="18.75" customHeight="1">
      <c r="A278" s="56">
        <f t="shared" si="4"/>
        <v>264</v>
      </c>
      <c r="B278" s="50">
        <f t="shared" si="8"/>
        <v>51277</v>
      </c>
      <c r="C278" s="58">
        <f t="shared" si="128"/>
        <v>0.1049</v>
      </c>
      <c r="D278" s="58">
        <f>((1+'AP01'!$C278)^(1/12))-1</f>
        <v>0.00834755088</v>
      </c>
      <c r="E278" s="51">
        <f t="shared" si="126"/>
        <v>2171.371183</v>
      </c>
      <c r="F278" s="51">
        <f>(O277*'AP01'!$P278)*'AP01'!$D278</f>
        <v>731.0127062</v>
      </c>
      <c r="G278" s="51">
        <f>(O277*'AP01'!$P278)/($I$5-A277)</f>
        <v>902.8053347</v>
      </c>
      <c r="H278" s="82">
        <f>(O277*'AP01'!$P278)*'AP01'!$S278</f>
        <v>99.13163698</v>
      </c>
      <c r="I278" s="82">
        <f>'AP01'!$Q278*0.00899%</f>
        <v>40.73305943</v>
      </c>
      <c r="J278" s="51">
        <f t="shared" si="136"/>
        <v>25</v>
      </c>
      <c r="K278" s="51">
        <f t="shared" ref="K278:L278" si="319">K277</f>
        <v>0</v>
      </c>
      <c r="L278" s="51">
        <f t="shared" si="319"/>
        <v>0</v>
      </c>
      <c r="M278" s="51">
        <f>SUM('AP01'!$F278:$L278)</f>
        <v>1798.682737</v>
      </c>
      <c r="N278" s="51">
        <f>O277*('AP01'!$P278-1)</f>
        <v>0</v>
      </c>
      <c r="O278" s="51">
        <f>(O277*'AP01'!$P278)-'AP01'!$G278</f>
        <v>86669.31213</v>
      </c>
      <c r="P278" s="53">
        <f t="shared" si="141"/>
        <v>1</v>
      </c>
      <c r="Q278" s="51">
        <f>(Q277*'AP01'!$P278)</f>
        <v>453092.9859</v>
      </c>
      <c r="R278" s="46">
        <f>DATEDIF($S$7,'AP01'!$B278,"Y")</f>
        <v>54</v>
      </c>
      <c r="S278" s="47">
        <f>VLOOKUP('AP01'!$R278,SEGUROS!$A:$B,2,TRUE)</f>
        <v>0.001132</v>
      </c>
      <c r="T278" s="51">
        <f>('AP01'!$O278*'AP01'!$P278)*'AP01'!$S278</f>
        <v>98.10966134</v>
      </c>
      <c r="U278" s="51">
        <f>'AP01'!$Q278*0.00899%</f>
        <v>40.73305943</v>
      </c>
      <c r="V278" s="4"/>
      <c r="W278" s="4"/>
      <c r="X278" s="4"/>
      <c r="Y278" s="4"/>
      <c r="Z278" s="4"/>
    </row>
    <row r="279" ht="18.75" customHeight="1">
      <c r="A279" s="56">
        <f t="shared" si="4"/>
        <v>265</v>
      </c>
      <c r="B279" s="50">
        <f t="shared" si="8"/>
        <v>51308</v>
      </c>
      <c r="C279" s="58">
        <f t="shared" si="128"/>
        <v>0.1049</v>
      </c>
      <c r="D279" s="58">
        <f>((1+'AP01'!$C279)^(1/12))-1</f>
        <v>0.00834755088</v>
      </c>
      <c r="E279" s="51">
        <f t="shared" si="126"/>
        <v>2171.371183</v>
      </c>
      <c r="F279" s="51">
        <f>(O278*'AP01'!$P279)*'AP01'!$D279</f>
        <v>723.4764928</v>
      </c>
      <c r="G279" s="51">
        <f>(O278*'AP01'!$P279)/($I$5-A278)</f>
        <v>902.8053347</v>
      </c>
      <c r="H279" s="82">
        <f>(O278*'AP01'!$P279)*'AP01'!$S279</f>
        <v>98.10966134</v>
      </c>
      <c r="I279" s="82">
        <f>'AP01'!$Q279*0.00899%</f>
        <v>40.73305943</v>
      </c>
      <c r="J279" s="51">
        <f t="shared" si="136"/>
        <v>25</v>
      </c>
      <c r="K279" s="51">
        <f t="shared" ref="K279:L279" si="320">K278</f>
        <v>0</v>
      </c>
      <c r="L279" s="51">
        <f t="shared" si="320"/>
        <v>0</v>
      </c>
      <c r="M279" s="51">
        <f>SUM('AP01'!$F279:$L279)</f>
        <v>1790.124548</v>
      </c>
      <c r="N279" s="51">
        <f>O278*('AP01'!$P279-1)</f>
        <v>0</v>
      </c>
      <c r="O279" s="51">
        <f>(O278*'AP01'!$P279)-'AP01'!$G279</f>
        <v>85766.5068</v>
      </c>
      <c r="P279" s="53">
        <f t="shared" si="141"/>
        <v>1</v>
      </c>
      <c r="Q279" s="51">
        <f>(Q278*'AP01'!$P279)</f>
        <v>453092.9859</v>
      </c>
      <c r="R279" s="46">
        <f>DATEDIF($S$7,'AP01'!$B279,"Y")</f>
        <v>54</v>
      </c>
      <c r="S279" s="47">
        <f>VLOOKUP('AP01'!$R279,SEGUROS!$A:$B,2,TRUE)</f>
        <v>0.001132</v>
      </c>
      <c r="T279" s="51">
        <f>('AP01'!$O279*'AP01'!$P279)*'AP01'!$S279</f>
        <v>97.0876857</v>
      </c>
      <c r="U279" s="51">
        <f>'AP01'!$Q279*0.00899%</f>
        <v>40.73305943</v>
      </c>
      <c r="V279" s="4"/>
      <c r="W279" s="4"/>
      <c r="X279" s="4"/>
      <c r="Y279" s="4"/>
      <c r="Z279" s="4"/>
    </row>
    <row r="280" ht="18.75" customHeight="1">
      <c r="A280" s="56">
        <f t="shared" si="4"/>
        <v>266</v>
      </c>
      <c r="B280" s="50">
        <f t="shared" si="8"/>
        <v>51338</v>
      </c>
      <c r="C280" s="58">
        <f t="shared" si="128"/>
        <v>0.1049</v>
      </c>
      <c r="D280" s="58">
        <f>((1+'AP01'!$C280)^(1/12))-1</f>
        <v>0.00834755088</v>
      </c>
      <c r="E280" s="51">
        <f t="shared" si="126"/>
        <v>2171.371183</v>
      </c>
      <c r="F280" s="51">
        <f>(O279*'AP01'!$P280)*'AP01'!$D280</f>
        <v>715.9402793</v>
      </c>
      <c r="G280" s="51">
        <f>(O279*'AP01'!$P280)/($I$5-A279)</f>
        <v>902.8053347</v>
      </c>
      <c r="H280" s="82">
        <f>(O279*'AP01'!$P280)*'AP01'!$S280</f>
        <v>97.0876857</v>
      </c>
      <c r="I280" s="82">
        <f>'AP01'!$Q280*0.00899%</f>
        <v>40.73305943</v>
      </c>
      <c r="J280" s="51">
        <f t="shared" si="136"/>
        <v>25</v>
      </c>
      <c r="K280" s="51">
        <f t="shared" ref="K280:L280" si="321">K279</f>
        <v>0</v>
      </c>
      <c r="L280" s="51">
        <f t="shared" si="321"/>
        <v>0</v>
      </c>
      <c r="M280" s="51">
        <f>SUM('AP01'!$F280:$L280)</f>
        <v>1781.566359</v>
      </c>
      <c r="N280" s="51">
        <f>O279*('AP01'!$P280-1)</f>
        <v>0</v>
      </c>
      <c r="O280" s="51">
        <f>(O279*'AP01'!$P280)-'AP01'!$G280</f>
        <v>84863.70147</v>
      </c>
      <c r="P280" s="53">
        <f t="shared" si="141"/>
        <v>1</v>
      </c>
      <c r="Q280" s="51">
        <f>(Q279*'AP01'!$P280)</f>
        <v>453092.9859</v>
      </c>
      <c r="R280" s="46">
        <f>DATEDIF($S$7,'AP01'!$B280,"Y")</f>
        <v>54</v>
      </c>
      <c r="S280" s="47">
        <f>VLOOKUP('AP01'!$R280,SEGUROS!$A:$B,2,TRUE)</f>
        <v>0.001132</v>
      </c>
      <c r="T280" s="51">
        <f>('AP01'!$O280*'AP01'!$P280)*'AP01'!$S280</f>
        <v>96.06571006</v>
      </c>
      <c r="U280" s="51">
        <f>'AP01'!$Q280*0.00899%</f>
        <v>40.73305943</v>
      </c>
      <c r="V280" s="4"/>
      <c r="W280" s="4"/>
      <c r="X280" s="4"/>
      <c r="Y280" s="4"/>
      <c r="Z280" s="4"/>
    </row>
    <row r="281" ht="18.75" customHeight="1">
      <c r="A281" s="56">
        <f t="shared" si="4"/>
        <v>267</v>
      </c>
      <c r="B281" s="50">
        <f t="shared" si="8"/>
        <v>51369</v>
      </c>
      <c r="C281" s="58">
        <f t="shared" si="128"/>
        <v>0.1049</v>
      </c>
      <c r="D281" s="58">
        <f>((1+'AP01'!$C281)^(1/12))-1</f>
        <v>0.00834755088</v>
      </c>
      <c r="E281" s="51">
        <f t="shared" si="126"/>
        <v>2171.371183</v>
      </c>
      <c r="F281" s="51">
        <f>(O280*'AP01'!$P281)*'AP01'!$D281</f>
        <v>708.4040658</v>
      </c>
      <c r="G281" s="51">
        <f>(O280*'AP01'!$P281)/($I$5-A280)</f>
        <v>902.8053347</v>
      </c>
      <c r="H281" s="82">
        <f>(O280*'AP01'!$P281)*'AP01'!$S281</f>
        <v>96.06571006</v>
      </c>
      <c r="I281" s="82">
        <f>'AP01'!$Q281*0.00899%</f>
        <v>40.73305943</v>
      </c>
      <c r="J281" s="51">
        <f t="shared" si="136"/>
        <v>25</v>
      </c>
      <c r="K281" s="51">
        <f t="shared" ref="K281:L281" si="322">K280</f>
        <v>0</v>
      </c>
      <c r="L281" s="51">
        <f t="shared" si="322"/>
        <v>0</v>
      </c>
      <c r="M281" s="51">
        <f>SUM('AP01'!$F281:$L281)</f>
        <v>1773.00817</v>
      </c>
      <c r="N281" s="51">
        <f>O280*('AP01'!$P281-1)</f>
        <v>0</v>
      </c>
      <c r="O281" s="51">
        <f>(O280*'AP01'!$P281)-'AP01'!$G281</f>
        <v>83960.89613</v>
      </c>
      <c r="P281" s="53">
        <f t="shared" si="141"/>
        <v>1</v>
      </c>
      <c r="Q281" s="51">
        <f>(Q280*'AP01'!$P281)</f>
        <v>453092.9859</v>
      </c>
      <c r="R281" s="46">
        <f>DATEDIF($S$7,'AP01'!$B281,"Y")</f>
        <v>54</v>
      </c>
      <c r="S281" s="47">
        <f>VLOOKUP('AP01'!$R281,SEGUROS!$A:$B,2,TRUE)</f>
        <v>0.001132</v>
      </c>
      <c r="T281" s="51">
        <f>('AP01'!$O281*'AP01'!$P281)*'AP01'!$S281</f>
        <v>95.04373442</v>
      </c>
      <c r="U281" s="51">
        <f>'AP01'!$Q281*0.00899%</f>
        <v>40.73305943</v>
      </c>
      <c r="V281" s="4"/>
      <c r="W281" s="4"/>
      <c r="X281" s="4"/>
      <c r="Y281" s="4"/>
      <c r="Z281" s="4"/>
    </row>
    <row r="282" ht="18.75" customHeight="1">
      <c r="A282" s="56">
        <f t="shared" si="4"/>
        <v>268</v>
      </c>
      <c r="B282" s="50">
        <f t="shared" si="8"/>
        <v>51400</v>
      </c>
      <c r="C282" s="58">
        <f t="shared" si="128"/>
        <v>0.1049</v>
      </c>
      <c r="D282" s="58">
        <f>((1+'AP01'!$C282)^(1/12))-1</f>
        <v>0.00834755088</v>
      </c>
      <c r="E282" s="51">
        <f t="shared" si="126"/>
        <v>2171.371183</v>
      </c>
      <c r="F282" s="51">
        <f>(O281*'AP01'!$P282)*'AP01'!$D282</f>
        <v>700.8678524</v>
      </c>
      <c r="G282" s="51">
        <f>(O281*'AP01'!$P282)/($I$5-A281)</f>
        <v>902.8053347</v>
      </c>
      <c r="H282" s="82">
        <f>(O281*'AP01'!$P282)*'AP01'!$S282</f>
        <v>95.04373442</v>
      </c>
      <c r="I282" s="82">
        <f>'AP01'!$Q282*0.00899%</f>
        <v>40.73305943</v>
      </c>
      <c r="J282" s="51">
        <f t="shared" si="136"/>
        <v>25</v>
      </c>
      <c r="K282" s="51">
        <f t="shared" ref="K282:L282" si="323">K281</f>
        <v>0</v>
      </c>
      <c r="L282" s="51">
        <f t="shared" si="323"/>
        <v>0</v>
      </c>
      <c r="M282" s="51">
        <f>SUM('AP01'!$F282:$L282)</f>
        <v>1764.449981</v>
      </c>
      <c r="N282" s="51">
        <f>O281*('AP01'!$P282-1)</f>
        <v>0</v>
      </c>
      <c r="O282" s="51">
        <f>(O281*'AP01'!$P282)-'AP01'!$G282</f>
        <v>83058.0908</v>
      </c>
      <c r="P282" s="53">
        <f t="shared" si="141"/>
        <v>1</v>
      </c>
      <c r="Q282" s="51">
        <f>(Q281*'AP01'!$P282)</f>
        <v>453092.9859</v>
      </c>
      <c r="R282" s="46">
        <f>DATEDIF($S$7,'AP01'!$B282,"Y")</f>
        <v>54</v>
      </c>
      <c r="S282" s="47">
        <f>VLOOKUP('AP01'!$R282,SEGUROS!$A:$B,2,TRUE)</f>
        <v>0.001132</v>
      </c>
      <c r="T282" s="51">
        <f>('AP01'!$O282*'AP01'!$P282)*'AP01'!$S282</f>
        <v>94.02175878</v>
      </c>
      <c r="U282" s="51">
        <f>'AP01'!$Q282*0.00899%</f>
        <v>40.73305943</v>
      </c>
      <c r="V282" s="4"/>
      <c r="W282" s="4"/>
      <c r="X282" s="4"/>
      <c r="Y282" s="4"/>
      <c r="Z282" s="4"/>
    </row>
    <row r="283" ht="18.75" customHeight="1">
      <c r="A283" s="56">
        <f t="shared" si="4"/>
        <v>269</v>
      </c>
      <c r="B283" s="50">
        <f t="shared" si="8"/>
        <v>51430</v>
      </c>
      <c r="C283" s="58">
        <f t="shared" si="128"/>
        <v>0.1049</v>
      </c>
      <c r="D283" s="58">
        <f>((1+'AP01'!$C283)^(1/12))-1</f>
        <v>0.00834755088</v>
      </c>
      <c r="E283" s="51">
        <f t="shared" si="126"/>
        <v>2171.371183</v>
      </c>
      <c r="F283" s="51">
        <f>(O282*'AP01'!$P283)*'AP01'!$D283</f>
        <v>693.3316389</v>
      </c>
      <c r="G283" s="51">
        <f>(O282*'AP01'!$P283)/($I$5-A282)</f>
        <v>902.8053347</v>
      </c>
      <c r="H283" s="82">
        <f>(O282*'AP01'!$P283)*'AP01'!$S283</f>
        <v>94.02175878</v>
      </c>
      <c r="I283" s="82">
        <f>'AP01'!$Q283*0.00899%</f>
        <v>40.73305943</v>
      </c>
      <c r="J283" s="51">
        <f t="shared" si="136"/>
        <v>25</v>
      </c>
      <c r="K283" s="51">
        <f t="shared" ref="K283:L283" si="324">K282</f>
        <v>0</v>
      </c>
      <c r="L283" s="51">
        <f t="shared" si="324"/>
        <v>0</v>
      </c>
      <c r="M283" s="51">
        <f>SUM('AP01'!$F283:$L283)</f>
        <v>1755.891792</v>
      </c>
      <c r="N283" s="51">
        <f>O282*('AP01'!$P283-1)</f>
        <v>0</v>
      </c>
      <c r="O283" s="51">
        <f>(O282*'AP01'!$P283)-'AP01'!$G283</f>
        <v>82155.28546</v>
      </c>
      <c r="P283" s="53">
        <f t="shared" si="141"/>
        <v>1</v>
      </c>
      <c r="Q283" s="51">
        <f>(Q282*'AP01'!$P283)</f>
        <v>453092.9859</v>
      </c>
      <c r="R283" s="46">
        <f>DATEDIF($S$7,'AP01'!$B283,"Y")</f>
        <v>54</v>
      </c>
      <c r="S283" s="47">
        <f>VLOOKUP('AP01'!$R283,SEGUROS!$A:$B,2,TRUE)</f>
        <v>0.001132</v>
      </c>
      <c r="T283" s="51">
        <f>('AP01'!$O283*'AP01'!$P283)*'AP01'!$S283</f>
        <v>92.99978314</v>
      </c>
      <c r="U283" s="51">
        <f>'AP01'!$Q283*0.00899%</f>
        <v>40.73305943</v>
      </c>
      <c r="V283" s="4"/>
      <c r="W283" s="4"/>
      <c r="X283" s="4"/>
      <c r="Y283" s="4"/>
      <c r="Z283" s="4"/>
    </row>
    <row r="284" ht="18.75" customHeight="1">
      <c r="A284" s="56">
        <f t="shared" si="4"/>
        <v>270</v>
      </c>
      <c r="B284" s="50">
        <f t="shared" si="8"/>
        <v>51461</v>
      </c>
      <c r="C284" s="58">
        <f t="shared" si="128"/>
        <v>0.1049</v>
      </c>
      <c r="D284" s="58">
        <f>((1+'AP01'!$C284)^(1/12))-1</f>
        <v>0.00834755088</v>
      </c>
      <c r="E284" s="51">
        <f t="shared" si="126"/>
        <v>2171.371183</v>
      </c>
      <c r="F284" s="51">
        <f>(O283*'AP01'!$P284)*'AP01'!$D284</f>
        <v>685.7954254</v>
      </c>
      <c r="G284" s="51">
        <f>(O283*'AP01'!$P284)/($I$5-A283)</f>
        <v>902.8053347</v>
      </c>
      <c r="H284" s="82">
        <f>(O283*'AP01'!$P284)*'AP01'!$S284</f>
        <v>92.99978314</v>
      </c>
      <c r="I284" s="82">
        <f>'AP01'!$Q284*0.00899%</f>
        <v>40.73305943</v>
      </c>
      <c r="J284" s="51">
        <f t="shared" si="136"/>
        <v>25</v>
      </c>
      <c r="K284" s="51">
        <f t="shared" ref="K284:L284" si="325">K283</f>
        <v>0</v>
      </c>
      <c r="L284" s="51">
        <f t="shared" si="325"/>
        <v>0</v>
      </c>
      <c r="M284" s="51">
        <f>SUM('AP01'!$F284:$L284)</f>
        <v>1747.333603</v>
      </c>
      <c r="N284" s="51">
        <f>O283*('AP01'!$P284-1)</f>
        <v>0</v>
      </c>
      <c r="O284" s="51">
        <f>(O283*'AP01'!$P284)-'AP01'!$G284</f>
        <v>81252.48013</v>
      </c>
      <c r="P284" s="53">
        <f t="shared" si="141"/>
        <v>1</v>
      </c>
      <c r="Q284" s="51">
        <f>(Q283*'AP01'!$P284)</f>
        <v>453092.9859</v>
      </c>
      <c r="R284" s="46">
        <f>DATEDIF($S$7,'AP01'!$B284,"Y")</f>
        <v>54</v>
      </c>
      <c r="S284" s="47">
        <f>VLOOKUP('AP01'!$R284,SEGUROS!$A:$B,2,TRUE)</f>
        <v>0.001132</v>
      </c>
      <c r="T284" s="51">
        <f>('AP01'!$O284*'AP01'!$P284)*'AP01'!$S284</f>
        <v>91.9778075</v>
      </c>
      <c r="U284" s="51">
        <f>'AP01'!$Q284*0.00899%</f>
        <v>40.73305943</v>
      </c>
      <c r="V284" s="4"/>
      <c r="W284" s="4"/>
      <c r="X284" s="4"/>
      <c r="Y284" s="4"/>
      <c r="Z284" s="4"/>
    </row>
    <row r="285" ht="18.75" customHeight="1">
      <c r="A285" s="56">
        <f t="shared" si="4"/>
        <v>271</v>
      </c>
      <c r="B285" s="50">
        <f t="shared" si="8"/>
        <v>51491</v>
      </c>
      <c r="C285" s="58">
        <f t="shared" si="128"/>
        <v>0.1049</v>
      </c>
      <c r="D285" s="58">
        <f>((1+'AP01'!$C285)^(1/12))-1</f>
        <v>0.00834755088</v>
      </c>
      <c r="E285" s="51">
        <f t="shared" si="126"/>
        <v>2171.371183</v>
      </c>
      <c r="F285" s="51">
        <f>(O284*'AP01'!$P285)*'AP01'!$D285</f>
        <v>678.259212</v>
      </c>
      <c r="G285" s="51">
        <f>(O284*'AP01'!$P285)/($I$5-A284)</f>
        <v>902.8053347</v>
      </c>
      <c r="H285" s="82">
        <f>(O284*'AP01'!$P285)*'AP01'!$S285</f>
        <v>99.78617084</v>
      </c>
      <c r="I285" s="82">
        <f>'AP01'!$Q285*0.00899%</f>
        <v>40.73305943</v>
      </c>
      <c r="J285" s="51">
        <f t="shared" si="136"/>
        <v>25</v>
      </c>
      <c r="K285" s="51">
        <f t="shared" ref="K285:L285" si="326">K284</f>
        <v>0</v>
      </c>
      <c r="L285" s="51">
        <f t="shared" si="326"/>
        <v>0</v>
      </c>
      <c r="M285" s="51">
        <f>SUM('AP01'!$F285:$L285)</f>
        <v>1746.583777</v>
      </c>
      <c r="N285" s="51">
        <f>O284*('AP01'!$P285-1)</f>
        <v>0</v>
      </c>
      <c r="O285" s="51">
        <f>(O284*'AP01'!$P285)-'AP01'!$G285</f>
        <v>80349.67479</v>
      </c>
      <c r="P285" s="53">
        <f t="shared" si="141"/>
        <v>1</v>
      </c>
      <c r="Q285" s="51">
        <f>(Q284*'AP01'!$P285)</f>
        <v>453092.9859</v>
      </c>
      <c r="R285" s="46">
        <f>DATEDIF($S$7,'AP01'!$B285,"Y")</f>
        <v>55</v>
      </c>
      <c r="S285" s="47">
        <f>VLOOKUP('AP01'!$R285,SEGUROS!$A:$B,2,TRUE)</f>
        <v>0.0012281</v>
      </c>
      <c r="T285" s="51">
        <f>('AP01'!$O285*'AP01'!$P285)*'AP01'!$S285</f>
        <v>98.67743561</v>
      </c>
      <c r="U285" s="51">
        <f>'AP01'!$Q285*0.00899%</f>
        <v>40.73305943</v>
      </c>
      <c r="V285" s="4"/>
      <c r="W285" s="4"/>
      <c r="X285" s="4"/>
      <c r="Y285" s="4"/>
      <c r="Z285" s="4"/>
    </row>
    <row r="286" ht="18.75" customHeight="1">
      <c r="A286" s="56">
        <f t="shared" si="4"/>
        <v>272</v>
      </c>
      <c r="B286" s="50">
        <f t="shared" si="8"/>
        <v>51522</v>
      </c>
      <c r="C286" s="58">
        <f t="shared" si="128"/>
        <v>0.1049</v>
      </c>
      <c r="D286" s="58">
        <f>((1+'AP01'!$C286)^(1/12))-1</f>
        <v>0.00834755088</v>
      </c>
      <c r="E286" s="51">
        <f t="shared" si="126"/>
        <v>2171.371183</v>
      </c>
      <c r="F286" s="51">
        <f>(O285*'AP01'!$P286)*'AP01'!$D286</f>
        <v>670.7229985</v>
      </c>
      <c r="G286" s="51">
        <f>(O285*'AP01'!$P286)/($I$5-A285)</f>
        <v>902.8053347</v>
      </c>
      <c r="H286" s="82">
        <f>(O285*'AP01'!$P286)*'AP01'!$S286</f>
        <v>98.67743561</v>
      </c>
      <c r="I286" s="82">
        <f>'AP01'!$Q286*0.00899%</f>
        <v>40.73305943</v>
      </c>
      <c r="J286" s="51">
        <f t="shared" si="136"/>
        <v>25</v>
      </c>
      <c r="K286" s="51">
        <f t="shared" ref="K286:L286" si="327">K285</f>
        <v>0</v>
      </c>
      <c r="L286" s="51">
        <f t="shared" si="327"/>
        <v>0</v>
      </c>
      <c r="M286" s="51">
        <f>SUM('AP01'!$F286:$L286)</f>
        <v>1737.938828</v>
      </c>
      <c r="N286" s="51">
        <f>O285*('AP01'!$P286-1)</f>
        <v>0</v>
      </c>
      <c r="O286" s="51">
        <f>(O285*'AP01'!$P286)-'AP01'!$G286</f>
        <v>79446.86946</v>
      </c>
      <c r="P286" s="53">
        <f t="shared" si="141"/>
        <v>1</v>
      </c>
      <c r="Q286" s="51">
        <f>(Q285*'AP01'!$P286)</f>
        <v>453092.9859</v>
      </c>
      <c r="R286" s="46">
        <f>DATEDIF($S$7,'AP01'!$B286,"Y")</f>
        <v>55</v>
      </c>
      <c r="S286" s="47">
        <f>VLOOKUP('AP01'!$R286,SEGUROS!$A:$B,2,TRUE)</f>
        <v>0.0012281</v>
      </c>
      <c r="T286" s="51">
        <f>('AP01'!$O286*'AP01'!$P286)*'AP01'!$S286</f>
        <v>97.56870038</v>
      </c>
      <c r="U286" s="51">
        <f>'AP01'!$Q286*0.00899%</f>
        <v>40.73305943</v>
      </c>
      <c r="V286" s="4"/>
      <c r="W286" s="4"/>
      <c r="X286" s="4"/>
      <c r="Y286" s="4"/>
      <c r="Z286" s="4"/>
    </row>
    <row r="287" ht="18.75" customHeight="1">
      <c r="A287" s="56">
        <f t="shared" si="4"/>
        <v>273</v>
      </c>
      <c r="B287" s="50">
        <f t="shared" si="8"/>
        <v>51553</v>
      </c>
      <c r="C287" s="58">
        <f t="shared" si="128"/>
        <v>0.1049</v>
      </c>
      <c r="D287" s="58">
        <f>((1+'AP01'!$C287)^(1/12))-1</f>
        <v>0.00834755088</v>
      </c>
      <c r="E287" s="51">
        <f t="shared" si="126"/>
        <v>2171.371183</v>
      </c>
      <c r="F287" s="51">
        <f>(O286*'AP01'!$P287)*'AP01'!$D287</f>
        <v>663.186785</v>
      </c>
      <c r="G287" s="51">
        <f>(O286*'AP01'!$P287)/($I$5-A286)</f>
        <v>902.8053347</v>
      </c>
      <c r="H287" s="82">
        <f>(O286*'AP01'!$P287)*'AP01'!$S287</f>
        <v>97.56870038</v>
      </c>
      <c r="I287" s="82">
        <f>'AP01'!$Q287*0.00899%</f>
        <v>40.73305943</v>
      </c>
      <c r="J287" s="51">
        <f t="shared" si="136"/>
        <v>25</v>
      </c>
      <c r="K287" s="51">
        <f t="shared" ref="K287:L287" si="328">K286</f>
        <v>0</v>
      </c>
      <c r="L287" s="51">
        <f t="shared" si="328"/>
        <v>0</v>
      </c>
      <c r="M287" s="51">
        <f>SUM('AP01'!$F287:$L287)</f>
        <v>1729.29388</v>
      </c>
      <c r="N287" s="51">
        <f>O286*('AP01'!$P287-1)</f>
        <v>0</v>
      </c>
      <c r="O287" s="51">
        <f>(O286*'AP01'!$P287)-'AP01'!$G287</f>
        <v>78544.06412</v>
      </c>
      <c r="P287" s="53">
        <f t="shared" si="141"/>
        <v>1</v>
      </c>
      <c r="Q287" s="51">
        <f>(Q286*'AP01'!$P287)</f>
        <v>453092.9859</v>
      </c>
      <c r="R287" s="46">
        <f>DATEDIF($S$7,'AP01'!$B287,"Y")</f>
        <v>55</v>
      </c>
      <c r="S287" s="47">
        <f>VLOOKUP('AP01'!$R287,SEGUROS!$A:$B,2,TRUE)</f>
        <v>0.0012281</v>
      </c>
      <c r="T287" s="51">
        <f>('AP01'!$O287*'AP01'!$P287)*'AP01'!$S287</f>
        <v>96.45996515</v>
      </c>
      <c r="U287" s="51">
        <f>'AP01'!$Q287*0.00899%</f>
        <v>40.73305943</v>
      </c>
      <c r="V287" s="4"/>
      <c r="W287" s="4"/>
      <c r="X287" s="4"/>
      <c r="Y287" s="4"/>
      <c r="Z287" s="4"/>
    </row>
    <row r="288" ht="18.75" customHeight="1">
      <c r="A288" s="56">
        <f t="shared" si="4"/>
        <v>274</v>
      </c>
      <c r="B288" s="50">
        <f t="shared" si="8"/>
        <v>51581</v>
      </c>
      <c r="C288" s="58">
        <f t="shared" si="128"/>
        <v>0.1049</v>
      </c>
      <c r="D288" s="58">
        <f>((1+'AP01'!$C288)^(1/12))-1</f>
        <v>0.00834755088</v>
      </c>
      <c r="E288" s="51">
        <f t="shared" si="126"/>
        <v>2171.371183</v>
      </c>
      <c r="F288" s="51">
        <f>(O287*'AP01'!$P288)*'AP01'!$D288</f>
        <v>655.6505716</v>
      </c>
      <c r="G288" s="51">
        <f>(O287*'AP01'!$P288)/($I$5-A287)</f>
        <v>902.8053347</v>
      </c>
      <c r="H288" s="82">
        <f>(O287*'AP01'!$P288)*'AP01'!$S288</f>
        <v>96.45996515</v>
      </c>
      <c r="I288" s="82">
        <f>'AP01'!$Q288*0.00899%</f>
        <v>40.73305943</v>
      </c>
      <c r="J288" s="51">
        <f t="shared" si="136"/>
        <v>25</v>
      </c>
      <c r="K288" s="51">
        <f t="shared" ref="K288:L288" si="329">K287</f>
        <v>0</v>
      </c>
      <c r="L288" s="51">
        <f t="shared" si="329"/>
        <v>0</v>
      </c>
      <c r="M288" s="51">
        <f>SUM('AP01'!$F288:$L288)</f>
        <v>1720.648931</v>
      </c>
      <c r="N288" s="51">
        <f>O287*('AP01'!$P288-1)</f>
        <v>0</v>
      </c>
      <c r="O288" s="51">
        <f>(O287*'AP01'!$P288)-'AP01'!$G288</f>
        <v>77641.25879</v>
      </c>
      <c r="P288" s="53">
        <f t="shared" si="141"/>
        <v>1</v>
      </c>
      <c r="Q288" s="51">
        <f>(Q287*'AP01'!$P288)</f>
        <v>453092.9859</v>
      </c>
      <c r="R288" s="46">
        <f>DATEDIF($S$7,'AP01'!$B288,"Y")</f>
        <v>55</v>
      </c>
      <c r="S288" s="47">
        <f>VLOOKUP('AP01'!$R288,SEGUROS!$A:$B,2,TRUE)</f>
        <v>0.0012281</v>
      </c>
      <c r="T288" s="51">
        <f>('AP01'!$O288*'AP01'!$P288)*'AP01'!$S288</f>
        <v>95.35122992</v>
      </c>
      <c r="U288" s="51">
        <f>'AP01'!$Q288*0.00899%</f>
        <v>40.73305943</v>
      </c>
      <c r="V288" s="4"/>
      <c r="W288" s="4"/>
      <c r="X288" s="4"/>
      <c r="Y288" s="4"/>
      <c r="Z288" s="4"/>
    </row>
    <row r="289" ht="18.75" customHeight="1">
      <c r="A289" s="56">
        <f t="shared" si="4"/>
        <v>275</v>
      </c>
      <c r="B289" s="50">
        <f t="shared" si="8"/>
        <v>51612</v>
      </c>
      <c r="C289" s="58">
        <f t="shared" si="128"/>
        <v>0.1049</v>
      </c>
      <c r="D289" s="58">
        <f>((1+'AP01'!$C289)^(1/12))-1</f>
        <v>0.00834755088</v>
      </c>
      <c r="E289" s="51">
        <f t="shared" si="126"/>
        <v>2171.371183</v>
      </c>
      <c r="F289" s="51">
        <f>(O288*'AP01'!$P289)*'AP01'!$D289</f>
        <v>648.1143581</v>
      </c>
      <c r="G289" s="51">
        <f>(O288*'AP01'!$P289)/($I$5-A288)</f>
        <v>902.8053347</v>
      </c>
      <c r="H289" s="82">
        <f>(O288*'AP01'!$P289)*'AP01'!$S289</f>
        <v>95.35122992</v>
      </c>
      <c r="I289" s="82">
        <f>'AP01'!$Q289*0.00899%</f>
        <v>40.73305943</v>
      </c>
      <c r="J289" s="51">
        <f t="shared" si="136"/>
        <v>25</v>
      </c>
      <c r="K289" s="51">
        <f t="shared" ref="K289:L289" si="330">K288</f>
        <v>0</v>
      </c>
      <c r="L289" s="51">
        <f t="shared" si="330"/>
        <v>0</v>
      </c>
      <c r="M289" s="51">
        <f>SUM('AP01'!$F289:$L289)</f>
        <v>1712.003982</v>
      </c>
      <c r="N289" s="51">
        <f>O288*('AP01'!$P289-1)</f>
        <v>0</v>
      </c>
      <c r="O289" s="51">
        <f>(O288*'AP01'!$P289)-'AP01'!$G289</f>
        <v>76738.45345</v>
      </c>
      <c r="P289" s="53">
        <f t="shared" si="141"/>
        <v>1</v>
      </c>
      <c r="Q289" s="51">
        <f>(Q288*'AP01'!$P289)</f>
        <v>453092.9859</v>
      </c>
      <c r="R289" s="46">
        <f>DATEDIF($S$7,'AP01'!$B289,"Y")</f>
        <v>55</v>
      </c>
      <c r="S289" s="47">
        <f>VLOOKUP('AP01'!$R289,SEGUROS!$A:$B,2,TRUE)</f>
        <v>0.0012281</v>
      </c>
      <c r="T289" s="51">
        <f>('AP01'!$O289*'AP01'!$P289)*'AP01'!$S289</f>
        <v>94.24249469</v>
      </c>
      <c r="U289" s="51">
        <f>'AP01'!$Q289*0.00899%</f>
        <v>40.73305943</v>
      </c>
      <c r="V289" s="4"/>
      <c r="W289" s="4"/>
      <c r="X289" s="4"/>
      <c r="Y289" s="4"/>
      <c r="Z289" s="4"/>
    </row>
    <row r="290" ht="18.75" customHeight="1">
      <c r="A290" s="56">
        <f t="shared" si="4"/>
        <v>276</v>
      </c>
      <c r="B290" s="50">
        <f t="shared" si="8"/>
        <v>51642</v>
      </c>
      <c r="C290" s="58">
        <f t="shared" si="128"/>
        <v>0.1049</v>
      </c>
      <c r="D290" s="58">
        <f>((1+'AP01'!$C290)^(1/12))-1</f>
        <v>0.00834755088</v>
      </c>
      <c r="E290" s="51">
        <f t="shared" si="126"/>
        <v>2171.371183</v>
      </c>
      <c r="F290" s="51">
        <f>(O289*'AP01'!$P290)*'AP01'!$D290</f>
        <v>640.5781446</v>
      </c>
      <c r="G290" s="51">
        <f>(O289*'AP01'!$P290)/($I$5-A289)</f>
        <v>902.8053347</v>
      </c>
      <c r="H290" s="82">
        <f>(O289*'AP01'!$P290)*'AP01'!$S290</f>
        <v>94.24249469</v>
      </c>
      <c r="I290" s="82">
        <f>'AP01'!$Q290*0.00899%</f>
        <v>40.73305943</v>
      </c>
      <c r="J290" s="51">
        <f t="shared" si="136"/>
        <v>25</v>
      </c>
      <c r="K290" s="51">
        <f t="shared" ref="K290:L290" si="331">K289</f>
        <v>0</v>
      </c>
      <c r="L290" s="51">
        <f t="shared" si="331"/>
        <v>0</v>
      </c>
      <c r="M290" s="51">
        <f>SUM('AP01'!$F290:$L290)</f>
        <v>1703.359033</v>
      </c>
      <c r="N290" s="51">
        <f>O289*('AP01'!$P290-1)</f>
        <v>0</v>
      </c>
      <c r="O290" s="51">
        <f>(O289*'AP01'!$P290)-'AP01'!$G290</f>
        <v>75835.64812</v>
      </c>
      <c r="P290" s="53">
        <f t="shared" si="141"/>
        <v>1</v>
      </c>
      <c r="Q290" s="51">
        <f>(Q289*'AP01'!$P290)</f>
        <v>453092.9859</v>
      </c>
      <c r="R290" s="46">
        <f>DATEDIF($S$7,'AP01'!$B290,"Y")</f>
        <v>55</v>
      </c>
      <c r="S290" s="47">
        <f>VLOOKUP('AP01'!$R290,SEGUROS!$A:$B,2,TRUE)</f>
        <v>0.0012281</v>
      </c>
      <c r="T290" s="51">
        <f>('AP01'!$O290*'AP01'!$P290)*'AP01'!$S290</f>
        <v>93.13375945</v>
      </c>
      <c r="U290" s="51">
        <f>'AP01'!$Q290*0.00899%</f>
        <v>40.73305943</v>
      </c>
      <c r="V290" s="4"/>
      <c r="W290" s="4"/>
      <c r="X290" s="4"/>
      <c r="Y290" s="4"/>
      <c r="Z290" s="4"/>
    </row>
    <row r="291" ht="18.75" customHeight="1">
      <c r="A291" s="56">
        <f t="shared" si="4"/>
        <v>277</v>
      </c>
      <c r="B291" s="50">
        <f t="shared" si="8"/>
        <v>51673</v>
      </c>
      <c r="C291" s="58">
        <f t="shared" si="128"/>
        <v>0.1049</v>
      </c>
      <c r="D291" s="58">
        <f>((1+'AP01'!$C291)^(1/12))-1</f>
        <v>0.00834755088</v>
      </c>
      <c r="E291" s="51">
        <f t="shared" si="126"/>
        <v>2171.371183</v>
      </c>
      <c r="F291" s="51">
        <f>(O290*'AP01'!$P291)*'AP01'!$D291</f>
        <v>633.0419312</v>
      </c>
      <c r="G291" s="51">
        <f>(O290*'AP01'!$P291)/($I$5-A290)</f>
        <v>902.8053347</v>
      </c>
      <c r="H291" s="82">
        <f>(O290*'AP01'!$P291)*'AP01'!$S291</f>
        <v>93.13375945</v>
      </c>
      <c r="I291" s="82">
        <f>'AP01'!$Q291*0.00899%</f>
        <v>40.73305943</v>
      </c>
      <c r="J291" s="51">
        <f t="shared" si="136"/>
        <v>25</v>
      </c>
      <c r="K291" s="51">
        <f t="shared" ref="K291:L291" si="332">K290</f>
        <v>0</v>
      </c>
      <c r="L291" s="51">
        <f t="shared" si="332"/>
        <v>0</v>
      </c>
      <c r="M291" s="51">
        <f>SUM('AP01'!$F291:$L291)</f>
        <v>1694.714085</v>
      </c>
      <c r="N291" s="51">
        <f>O290*('AP01'!$P291-1)</f>
        <v>0</v>
      </c>
      <c r="O291" s="51">
        <f>(O290*'AP01'!$P291)-'AP01'!$G291</f>
        <v>74932.84278</v>
      </c>
      <c r="P291" s="53">
        <f t="shared" si="141"/>
        <v>1</v>
      </c>
      <c r="Q291" s="51">
        <f>(Q290*'AP01'!$P291)</f>
        <v>453092.9859</v>
      </c>
      <c r="R291" s="46">
        <f>DATEDIF($S$7,'AP01'!$B291,"Y")</f>
        <v>55</v>
      </c>
      <c r="S291" s="47">
        <f>VLOOKUP('AP01'!$R291,SEGUROS!$A:$B,2,TRUE)</f>
        <v>0.0012281</v>
      </c>
      <c r="T291" s="51">
        <f>('AP01'!$O291*'AP01'!$P291)*'AP01'!$S291</f>
        <v>92.02502422</v>
      </c>
      <c r="U291" s="51">
        <f>'AP01'!$Q291*0.00899%</f>
        <v>40.73305943</v>
      </c>
      <c r="V291" s="4"/>
      <c r="W291" s="4"/>
      <c r="X291" s="4"/>
      <c r="Y291" s="4"/>
      <c r="Z291" s="4"/>
    </row>
    <row r="292" ht="18.75" customHeight="1">
      <c r="A292" s="56">
        <f t="shared" si="4"/>
        <v>278</v>
      </c>
      <c r="B292" s="50">
        <f t="shared" si="8"/>
        <v>51703</v>
      </c>
      <c r="C292" s="58">
        <f t="shared" si="128"/>
        <v>0.1049</v>
      </c>
      <c r="D292" s="58">
        <f>((1+'AP01'!$C292)^(1/12))-1</f>
        <v>0.00834755088</v>
      </c>
      <c r="E292" s="51">
        <f t="shared" si="126"/>
        <v>2171.371183</v>
      </c>
      <c r="F292" s="51">
        <f>(O291*'AP01'!$P292)*'AP01'!$D292</f>
        <v>625.5057177</v>
      </c>
      <c r="G292" s="51">
        <f>(O291*'AP01'!$P292)/($I$5-A291)</f>
        <v>902.8053347</v>
      </c>
      <c r="H292" s="82">
        <f>(O291*'AP01'!$P292)*'AP01'!$S292</f>
        <v>92.02502422</v>
      </c>
      <c r="I292" s="82">
        <f>'AP01'!$Q292*0.00899%</f>
        <v>40.73305943</v>
      </c>
      <c r="J292" s="51">
        <f t="shared" si="136"/>
        <v>25</v>
      </c>
      <c r="K292" s="51">
        <f t="shared" ref="K292:L292" si="333">K291</f>
        <v>0</v>
      </c>
      <c r="L292" s="51">
        <f t="shared" si="333"/>
        <v>0</v>
      </c>
      <c r="M292" s="51">
        <f>SUM('AP01'!$F292:$L292)</f>
        <v>1686.069136</v>
      </c>
      <c r="N292" s="51">
        <f>O291*('AP01'!$P292-1)</f>
        <v>0</v>
      </c>
      <c r="O292" s="51">
        <f>(O291*'AP01'!$P292)-'AP01'!$G292</f>
        <v>74030.03745</v>
      </c>
      <c r="P292" s="53">
        <f t="shared" si="141"/>
        <v>1</v>
      </c>
      <c r="Q292" s="51">
        <f>(Q291*'AP01'!$P292)</f>
        <v>453092.9859</v>
      </c>
      <c r="R292" s="46">
        <f>DATEDIF($S$7,'AP01'!$B292,"Y")</f>
        <v>55</v>
      </c>
      <c r="S292" s="47">
        <f>VLOOKUP('AP01'!$R292,SEGUROS!$A:$B,2,TRUE)</f>
        <v>0.0012281</v>
      </c>
      <c r="T292" s="51">
        <f>('AP01'!$O292*'AP01'!$P292)*'AP01'!$S292</f>
        <v>90.91628899</v>
      </c>
      <c r="U292" s="51">
        <f>'AP01'!$Q292*0.00899%</f>
        <v>40.73305943</v>
      </c>
      <c r="V292" s="4"/>
      <c r="W292" s="4"/>
      <c r="X292" s="4"/>
      <c r="Y292" s="4"/>
      <c r="Z292" s="4"/>
    </row>
    <row r="293" ht="18.75" customHeight="1">
      <c r="A293" s="56">
        <f t="shared" si="4"/>
        <v>279</v>
      </c>
      <c r="B293" s="50">
        <f t="shared" si="8"/>
        <v>51734</v>
      </c>
      <c r="C293" s="58">
        <f t="shared" si="128"/>
        <v>0.1049</v>
      </c>
      <c r="D293" s="58">
        <f>((1+'AP01'!$C293)^(1/12))-1</f>
        <v>0.00834755088</v>
      </c>
      <c r="E293" s="51">
        <f t="shared" si="126"/>
        <v>2171.371183</v>
      </c>
      <c r="F293" s="51">
        <f>(O292*'AP01'!$P293)*'AP01'!$D293</f>
        <v>617.9695042</v>
      </c>
      <c r="G293" s="51">
        <f>(O292*'AP01'!$P293)/($I$5-A292)</f>
        <v>902.8053347</v>
      </c>
      <c r="H293" s="82">
        <f>(O292*'AP01'!$P293)*'AP01'!$S293</f>
        <v>90.91628899</v>
      </c>
      <c r="I293" s="82">
        <f>'AP01'!$Q293*0.00899%</f>
        <v>40.73305943</v>
      </c>
      <c r="J293" s="51">
        <f t="shared" si="136"/>
        <v>25</v>
      </c>
      <c r="K293" s="51">
        <f t="shared" ref="K293:L293" si="334">K292</f>
        <v>0</v>
      </c>
      <c r="L293" s="51">
        <f t="shared" si="334"/>
        <v>0</v>
      </c>
      <c r="M293" s="51">
        <f>SUM('AP01'!$F293:$L293)</f>
        <v>1677.424187</v>
      </c>
      <c r="N293" s="51">
        <f>O292*('AP01'!$P293-1)</f>
        <v>0</v>
      </c>
      <c r="O293" s="51">
        <f>(O292*'AP01'!$P293)-'AP01'!$G293</f>
        <v>73127.23211</v>
      </c>
      <c r="P293" s="53">
        <f t="shared" si="141"/>
        <v>1</v>
      </c>
      <c r="Q293" s="51">
        <f>(Q292*'AP01'!$P293)</f>
        <v>453092.9859</v>
      </c>
      <c r="R293" s="46">
        <f>DATEDIF($S$7,'AP01'!$B293,"Y")</f>
        <v>55</v>
      </c>
      <c r="S293" s="47">
        <f>VLOOKUP('AP01'!$R293,SEGUROS!$A:$B,2,TRUE)</f>
        <v>0.0012281</v>
      </c>
      <c r="T293" s="51">
        <f>('AP01'!$O293*'AP01'!$P293)*'AP01'!$S293</f>
        <v>89.80755376</v>
      </c>
      <c r="U293" s="51">
        <f>'AP01'!$Q293*0.00899%</f>
        <v>40.73305943</v>
      </c>
      <c r="V293" s="4"/>
      <c r="W293" s="4"/>
      <c r="X293" s="4"/>
      <c r="Y293" s="4"/>
      <c r="Z293" s="4"/>
    </row>
    <row r="294" ht="18.75" customHeight="1">
      <c r="A294" s="56">
        <f t="shared" si="4"/>
        <v>280</v>
      </c>
      <c r="B294" s="50">
        <f t="shared" si="8"/>
        <v>51765</v>
      </c>
      <c r="C294" s="58">
        <f t="shared" si="128"/>
        <v>0.1049</v>
      </c>
      <c r="D294" s="58">
        <f>((1+'AP01'!$C294)^(1/12))-1</f>
        <v>0.00834755088</v>
      </c>
      <c r="E294" s="51">
        <f t="shared" si="126"/>
        <v>2171.371183</v>
      </c>
      <c r="F294" s="51">
        <f>(O293*'AP01'!$P294)*'AP01'!$D294</f>
        <v>610.4332908</v>
      </c>
      <c r="G294" s="51">
        <f>(O293*'AP01'!$P294)/($I$5-A293)</f>
        <v>902.8053347</v>
      </c>
      <c r="H294" s="82">
        <f>(O293*'AP01'!$P294)*'AP01'!$S294</f>
        <v>89.80755376</v>
      </c>
      <c r="I294" s="82">
        <f>'AP01'!$Q294*0.00899%</f>
        <v>40.73305943</v>
      </c>
      <c r="J294" s="51">
        <f t="shared" si="136"/>
        <v>25</v>
      </c>
      <c r="K294" s="51">
        <f t="shared" ref="K294:L294" si="335">K293</f>
        <v>0</v>
      </c>
      <c r="L294" s="51">
        <f t="shared" si="335"/>
        <v>0</v>
      </c>
      <c r="M294" s="51">
        <f>SUM('AP01'!$F294:$L294)</f>
        <v>1668.779239</v>
      </c>
      <c r="N294" s="51">
        <f>O293*('AP01'!$P294-1)</f>
        <v>0</v>
      </c>
      <c r="O294" s="51">
        <f>(O293*'AP01'!$P294)-'AP01'!$G294</f>
        <v>72224.42678</v>
      </c>
      <c r="P294" s="53">
        <f t="shared" si="141"/>
        <v>1</v>
      </c>
      <c r="Q294" s="51">
        <f>(Q293*'AP01'!$P294)</f>
        <v>453092.9859</v>
      </c>
      <c r="R294" s="46">
        <f>DATEDIF($S$7,'AP01'!$B294,"Y")</f>
        <v>55</v>
      </c>
      <c r="S294" s="47">
        <f>VLOOKUP('AP01'!$R294,SEGUROS!$A:$B,2,TRUE)</f>
        <v>0.0012281</v>
      </c>
      <c r="T294" s="51">
        <f>('AP01'!$O294*'AP01'!$P294)*'AP01'!$S294</f>
        <v>88.69881853</v>
      </c>
      <c r="U294" s="51">
        <f>'AP01'!$Q294*0.00899%</f>
        <v>40.73305943</v>
      </c>
      <c r="V294" s="4"/>
      <c r="W294" s="4"/>
      <c r="X294" s="4"/>
      <c r="Y294" s="4"/>
      <c r="Z294" s="4"/>
    </row>
    <row r="295" ht="18.75" customHeight="1">
      <c r="A295" s="56">
        <f t="shared" si="4"/>
        <v>281</v>
      </c>
      <c r="B295" s="50">
        <f t="shared" si="8"/>
        <v>51795</v>
      </c>
      <c r="C295" s="58">
        <f t="shared" si="128"/>
        <v>0.1049</v>
      </c>
      <c r="D295" s="58">
        <f>((1+'AP01'!$C295)^(1/12))-1</f>
        <v>0.00834755088</v>
      </c>
      <c r="E295" s="51">
        <f t="shared" si="126"/>
        <v>2171.371183</v>
      </c>
      <c r="F295" s="51">
        <f>(O294*'AP01'!$P295)*'AP01'!$D295</f>
        <v>602.8970773</v>
      </c>
      <c r="G295" s="51">
        <f>(O294*'AP01'!$P295)/($I$5-A294)</f>
        <v>902.8053347</v>
      </c>
      <c r="H295" s="82">
        <f>(O294*'AP01'!$P295)*'AP01'!$S295</f>
        <v>88.69881853</v>
      </c>
      <c r="I295" s="82">
        <f>'AP01'!$Q295*0.00899%</f>
        <v>40.73305943</v>
      </c>
      <c r="J295" s="51">
        <f t="shared" si="136"/>
        <v>25</v>
      </c>
      <c r="K295" s="51">
        <f t="shared" ref="K295:L295" si="336">K294</f>
        <v>0</v>
      </c>
      <c r="L295" s="51">
        <f t="shared" si="336"/>
        <v>0</v>
      </c>
      <c r="M295" s="51">
        <f>SUM('AP01'!$F295:$L295)</f>
        <v>1660.13429</v>
      </c>
      <c r="N295" s="51">
        <f>O294*('AP01'!$P295-1)</f>
        <v>0</v>
      </c>
      <c r="O295" s="51">
        <f>(O294*'AP01'!$P295)-'AP01'!$G295</f>
        <v>71321.62144</v>
      </c>
      <c r="P295" s="53">
        <f t="shared" si="141"/>
        <v>1</v>
      </c>
      <c r="Q295" s="51">
        <f>(Q294*'AP01'!$P295)</f>
        <v>453092.9859</v>
      </c>
      <c r="R295" s="46">
        <f>DATEDIF($S$7,'AP01'!$B295,"Y")</f>
        <v>55</v>
      </c>
      <c r="S295" s="47">
        <f>VLOOKUP('AP01'!$R295,SEGUROS!$A:$B,2,TRUE)</f>
        <v>0.0012281</v>
      </c>
      <c r="T295" s="51">
        <f>('AP01'!$O295*'AP01'!$P295)*'AP01'!$S295</f>
        <v>87.5900833</v>
      </c>
      <c r="U295" s="51">
        <f>'AP01'!$Q295*0.00899%</f>
        <v>40.73305943</v>
      </c>
      <c r="V295" s="4"/>
      <c r="W295" s="4"/>
      <c r="X295" s="4"/>
      <c r="Y295" s="4"/>
      <c r="Z295" s="4"/>
    </row>
    <row r="296" ht="18.75" customHeight="1">
      <c r="A296" s="56">
        <f t="shared" si="4"/>
        <v>282</v>
      </c>
      <c r="B296" s="50">
        <f t="shared" si="8"/>
        <v>51826</v>
      </c>
      <c r="C296" s="58">
        <f t="shared" si="128"/>
        <v>0.1049</v>
      </c>
      <c r="D296" s="58">
        <f>((1+'AP01'!$C296)^(1/12))-1</f>
        <v>0.00834755088</v>
      </c>
      <c r="E296" s="51">
        <f t="shared" si="126"/>
        <v>2171.371183</v>
      </c>
      <c r="F296" s="51">
        <f>(O295*'AP01'!$P296)*'AP01'!$D296</f>
        <v>595.3608638</v>
      </c>
      <c r="G296" s="51">
        <f>(O295*'AP01'!$P296)/($I$5-A295)</f>
        <v>902.8053347</v>
      </c>
      <c r="H296" s="82">
        <f>(O295*'AP01'!$P296)*'AP01'!$S296</f>
        <v>87.5900833</v>
      </c>
      <c r="I296" s="82">
        <f>'AP01'!$Q296*0.00899%</f>
        <v>40.73305943</v>
      </c>
      <c r="J296" s="51">
        <f t="shared" si="136"/>
        <v>25</v>
      </c>
      <c r="K296" s="51">
        <f t="shared" ref="K296:L296" si="337">K295</f>
        <v>0</v>
      </c>
      <c r="L296" s="51">
        <f t="shared" si="337"/>
        <v>0</v>
      </c>
      <c r="M296" s="51">
        <f>SUM('AP01'!$F296:$L296)</f>
        <v>1651.489341</v>
      </c>
      <c r="N296" s="51">
        <f>O295*('AP01'!$P296-1)</f>
        <v>0</v>
      </c>
      <c r="O296" s="51">
        <f>(O295*'AP01'!$P296)-'AP01'!$G296</f>
        <v>70418.81611</v>
      </c>
      <c r="P296" s="53">
        <f t="shared" si="141"/>
        <v>1</v>
      </c>
      <c r="Q296" s="51">
        <f>(Q295*'AP01'!$P296)</f>
        <v>453092.9859</v>
      </c>
      <c r="R296" s="46">
        <f>DATEDIF($S$7,'AP01'!$B296,"Y")</f>
        <v>55</v>
      </c>
      <c r="S296" s="47">
        <f>VLOOKUP('AP01'!$R296,SEGUROS!$A:$B,2,TRUE)</f>
        <v>0.0012281</v>
      </c>
      <c r="T296" s="51">
        <f>('AP01'!$O296*'AP01'!$P296)*'AP01'!$S296</f>
        <v>86.48134806</v>
      </c>
      <c r="U296" s="51">
        <f>'AP01'!$Q296*0.00899%</f>
        <v>40.73305943</v>
      </c>
      <c r="V296" s="4"/>
      <c r="W296" s="4"/>
      <c r="X296" s="4"/>
      <c r="Y296" s="4"/>
      <c r="Z296" s="4"/>
    </row>
    <row r="297" ht="18.75" customHeight="1">
      <c r="A297" s="56">
        <f t="shared" si="4"/>
        <v>283</v>
      </c>
      <c r="B297" s="50">
        <f t="shared" si="8"/>
        <v>51856</v>
      </c>
      <c r="C297" s="58">
        <f t="shared" si="128"/>
        <v>0.1049</v>
      </c>
      <c r="D297" s="58">
        <f>((1+'AP01'!$C297)^(1/12))-1</f>
        <v>0.00834755088</v>
      </c>
      <c r="E297" s="51">
        <f t="shared" si="126"/>
        <v>2171.371183</v>
      </c>
      <c r="F297" s="51">
        <f>(O296*'AP01'!$P297)*'AP01'!$D297</f>
        <v>587.8246504</v>
      </c>
      <c r="G297" s="51">
        <f>(O296*'AP01'!$P297)/($I$5-A296)</f>
        <v>902.8053347</v>
      </c>
      <c r="H297" s="82">
        <f>(O296*'AP01'!$P297)*'AP01'!$S297</f>
        <v>105.3817583</v>
      </c>
      <c r="I297" s="82">
        <f>'AP01'!$Q297*0.00899%</f>
        <v>40.73305943</v>
      </c>
      <c r="J297" s="51">
        <f t="shared" si="136"/>
        <v>25</v>
      </c>
      <c r="K297" s="51">
        <f t="shared" ref="K297:L297" si="338">K296</f>
        <v>0</v>
      </c>
      <c r="L297" s="51">
        <f t="shared" si="338"/>
        <v>0</v>
      </c>
      <c r="M297" s="51">
        <f>SUM('AP01'!$F297:$L297)</f>
        <v>1661.744803</v>
      </c>
      <c r="N297" s="51">
        <f>O296*('AP01'!$P297-1)</f>
        <v>0</v>
      </c>
      <c r="O297" s="51">
        <f>(O296*'AP01'!$P297)-'AP01'!$G297</f>
        <v>69516.01077</v>
      </c>
      <c r="P297" s="53">
        <f t="shared" si="141"/>
        <v>1</v>
      </c>
      <c r="Q297" s="51">
        <f>(Q296*'AP01'!$P297)</f>
        <v>453092.9859</v>
      </c>
      <c r="R297" s="46">
        <f>DATEDIF($S$7,'AP01'!$B297,"Y")</f>
        <v>56</v>
      </c>
      <c r="S297" s="47">
        <f>VLOOKUP('AP01'!$R297,SEGUROS!$A:$B,2,TRUE)</f>
        <v>0.0014965</v>
      </c>
      <c r="T297" s="51">
        <f>('AP01'!$O297*'AP01'!$P297)*'AP01'!$S297</f>
        <v>104.0307101</v>
      </c>
      <c r="U297" s="51">
        <f>'AP01'!$Q297*0.00899%</f>
        <v>40.73305943</v>
      </c>
      <c r="V297" s="4"/>
      <c r="W297" s="4"/>
      <c r="X297" s="4"/>
      <c r="Y297" s="4"/>
      <c r="Z297" s="4"/>
    </row>
    <row r="298" ht="18.75" customHeight="1">
      <c r="A298" s="56">
        <f t="shared" si="4"/>
        <v>284</v>
      </c>
      <c r="B298" s="50">
        <f t="shared" si="8"/>
        <v>51887</v>
      </c>
      <c r="C298" s="58">
        <f t="shared" si="128"/>
        <v>0.1049</v>
      </c>
      <c r="D298" s="58">
        <f>((1+'AP01'!$C298)^(1/12))-1</f>
        <v>0.00834755088</v>
      </c>
      <c r="E298" s="51">
        <f t="shared" si="126"/>
        <v>2171.371183</v>
      </c>
      <c r="F298" s="51">
        <f>(O297*'AP01'!$P298)*'AP01'!$D298</f>
        <v>580.2884369</v>
      </c>
      <c r="G298" s="51">
        <f>(O297*'AP01'!$P298)/($I$5-A297)</f>
        <v>902.8053347</v>
      </c>
      <c r="H298" s="82">
        <f>(O297*'AP01'!$P298)*'AP01'!$S298</f>
        <v>104.0307101</v>
      </c>
      <c r="I298" s="82">
        <f>'AP01'!$Q298*0.00899%</f>
        <v>40.73305943</v>
      </c>
      <c r="J298" s="51">
        <f t="shared" si="136"/>
        <v>25</v>
      </c>
      <c r="K298" s="51">
        <f t="shared" ref="K298:L298" si="339">K297</f>
        <v>0</v>
      </c>
      <c r="L298" s="51">
        <f t="shared" si="339"/>
        <v>0</v>
      </c>
      <c r="M298" s="51">
        <f>SUM('AP01'!$F298:$L298)</f>
        <v>1652.857541</v>
      </c>
      <c r="N298" s="51">
        <f>O297*('AP01'!$P298-1)</f>
        <v>0</v>
      </c>
      <c r="O298" s="51">
        <f>(O297*'AP01'!$P298)-'AP01'!$G298</f>
        <v>68613.20544</v>
      </c>
      <c r="P298" s="53">
        <f t="shared" si="141"/>
        <v>1</v>
      </c>
      <c r="Q298" s="51">
        <f>(Q297*'AP01'!$P298)</f>
        <v>453092.9859</v>
      </c>
      <c r="R298" s="46">
        <f>DATEDIF($S$7,'AP01'!$B298,"Y")</f>
        <v>56</v>
      </c>
      <c r="S298" s="47">
        <f>VLOOKUP('AP01'!$R298,SEGUROS!$A:$B,2,TRUE)</f>
        <v>0.0014965</v>
      </c>
      <c r="T298" s="51">
        <f>('AP01'!$O298*'AP01'!$P298)*'AP01'!$S298</f>
        <v>102.6796619</v>
      </c>
      <c r="U298" s="51">
        <f>'AP01'!$Q298*0.00899%</f>
        <v>40.73305943</v>
      </c>
      <c r="V298" s="4"/>
      <c r="W298" s="4"/>
      <c r="X298" s="4"/>
      <c r="Y298" s="4"/>
      <c r="Z298" s="4"/>
    </row>
    <row r="299" ht="18.75" customHeight="1">
      <c r="A299" s="56">
        <f t="shared" si="4"/>
        <v>285</v>
      </c>
      <c r="B299" s="50">
        <f t="shared" si="8"/>
        <v>51918</v>
      </c>
      <c r="C299" s="58">
        <f t="shared" si="128"/>
        <v>0.1049</v>
      </c>
      <c r="D299" s="58">
        <f>((1+'AP01'!$C299)^(1/12))-1</f>
        <v>0.00834755088</v>
      </c>
      <c r="E299" s="51">
        <f t="shared" si="126"/>
        <v>2171.371183</v>
      </c>
      <c r="F299" s="51">
        <f>(O298*'AP01'!$P299)*'AP01'!$D299</f>
        <v>572.7522234</v>
      </c>
      <c r="G299" s="51">
        <f>(O298*'AP01'!$P299)/($I$5-A298)</f>
        <v>902.8053347</v>
      </c>
      <c r="H299" s="82">
        <f>(O298*'AP01'!$P299)*'AP01'!$S299</f>
        <v>102.6796619</v>
      </c>
      <c r="I299" s="82">
        <f>'AP01'!$Q299*0.00899%</f>
        <v>40.73305943</v>
      </c>
      <c r="J299" s="51">
        <f t="shared" si="136"/>
        <v>25</v>
      </c>
      <c r="K299" s="51">
        <f t="shared" ref="K299:L299" si="340">K298</f>
        <v>0</v>
      </c>
      <c r="L299" s="51">
        <f t="shared" si="340"/>
        <v>0</v>
      </c>
      <c r="M299" s="51">
        <f>SUM('AP01'!$F299:$L299)</f>
        <v>1643.97028</v>
      </c>
      <c r="N299" s="51">
        <f>O298*('AP01'!$P299-1)</f>
        <v>0</v>
      </c>
      <c r="O299" s="51">
        <f>(O298*'AP01'!$P299)-'AP01'!$G299</f>
        <v>67710.40011</v>
      </c>
      <c r="P299" s="53">
        <f t="shared" si="141"/>
        <v>1</v>
      </c>
      <c r="Q299" s="51">
        <f>(Q298*'AP01'!$P299)</f>
        <v>453092.9859</v>
      </c>
      <c r="R299" s="46">
        <f>DATEDIF($S$7,'AP01'!$B299,"Y")</f>
        <v>56</v>
      </c>
      <c r="S299" s="47">
        <f>VLOOKUP('AP01'!$R299,SEGUROS!$A:$B,2,TRUE)</f>
        <v>0.0014965</v>
      </c>
      <c r="T299" s="51">
        <f>('AP01'!$O299*'AP01'!$P299)*'AP01'!$S299</f>
        <v>101.3286138</v>
      </c>
      <c r="U299" s="51">
        <f>'AP01'!$Q299*0.00899%</f>
        <v>40.73305943</v>
      </c>
      <c r="V299" s="4"/>
      <c r="W299" s="4"/>
      <c r="X299" s="4"/>
      <c r="Y299" s="4"/>
      <c r="Z299" s="4"/>
    </row>
    <row r="300" ht="18.75" customHeight="1">
      <c r="A300" s="56">
        <f t="shared" si="4"/>
        <v>286</v>
      </c>
      <c r="B300" s="50">
        <f t="shared" si="8"/>
        <v>51946</v>
      </c>
      <c r="C300" s="58">
        <f t="shared" si="128"/>
        <v>0.1049</v>
      </c>
      <c r="D300" s="58">
        <f>((1+'AP01'!$C300)^(1/12))-1</f>
        <v>0.00834755088</v>
      </c>
      <c r="E300" s="51">
        <f t="shared" si="126"/>
        <v>2171.371183</v>
      </c>
      <c r="F300" s="51">
        <f>(O299*'AP01'!$P300)*'AP01'!$D300</f>
        <v>565.21601</v>
      </c>
      <c r="G300" s="51">
        <f>(O299*'AP01'!$P300)/($I$5-A299)</f>
        <v>902.8053347</v>
      </c>
      <c r="H300" s="82">
        <f>(O299*'AP01'!$P300)*'AP01'!$S300</f>
        <v>101.3286138</v>
      </c>
      <c r="I300" s="82">
        <f>'AP01'!$Q300*0.00899%</f>
        <v>40.73305943</v>
      </c>
      <c r="J300" s="51">
        <f t="shared" si="136"/>
        <v>25</v>
      </c>
      <c r="K300" s="51">
        <f t="shared" ref="K300:L300" si="341">K299</f>
        <v>0</v>
      </c>
      <c r="L300" s="51">
        <f t="shared" si="341"/>
        <v>0</v>
      </c>
      <c r="M300" s="51">
        <f>SUM('AP01'!$F300:$L300)</f>
        <v>1635.083018</v>
      </c>
      <c r="N300" s="51">
        <f>O299*('AP01'!$P300-1)</f>
        <v>0</v>
      </c>
      <c r="O300" s="51">
        <f>(O299*'AP01'!$P300)-'AP01'!$G300</f>
        <v>66807.59477</v>
      </c>
      <c r="P300" s="53">
        <f t="shared" si="141"/>
        <v>1</v>
      </c>
      <c r="Q300" s="51">
        <f>(Q299*'AP01'!$P300)</f>
        <v>453092.9859</v>
      </c>
      <c r="R300" s="46">
        <f>DATEDIF($S$7,'AP01'!$B300,"Y")</f>
        <v>56</v>
      </c>
      <c r="S300" s="47">
        <f>VLOOKUP('AP01'!$R300,SEGUROS!$A:$B,2,TRUE)</f>
        <v>0.0014965</v>
      </c>
      <c r="T300" s="51">
        <f>('AP01'!$O300*'AP01'!$P300)*'AP01'!$S300</f>
        <v>99.97756557</v>
      </c>
      <c r="U300" s="51">
        <f>'AP01'!$Q300*0.00899%</f>
        <v>40.73305943</v>
      </c>
      <c r="V300" s="4"/>
      <c r="W300" s="4"/>
      <c r="X300" s="4"/>
      <c r="Y300" s="4"/>
      <c r="Z300" s="4"/>
    </row>
    <row r="301" ht="18.75" customHeight="1">
      <c r="A301" s="56">
        <f t="shared" si="4"/>
        <v>287</v>
      </c>
      <c r="B301" s="50">
        <f t="shared" si="8"/>
        <v>51977</v>
      </c>
      <c r="C301" s="58">
        <f t="shared" si="128"/>
        <v>0.1049</v>
      </c>
      <c r="D301" s="58">
        <f>((1+'AP01'!$C301)^(1/12))-1</f>
        <v>0.00834755088</v>
      </c>
      <c r="E301" s="51">
        <f t="shared" si="126"/>
        <v>2171.371183</v>
      </c>
      <c r="F301" s="51">
        <f>(O300*'AP01'!$P301)*'AP01'!$D301</f>
        <v>557.6797965</v>
      </c>
      <c r="G301" s="51">
        <f>(O300*'AP01'!$P301)/($I$5-A300)</f>
        <v>902.8053347</v>
      </c>
      <c r="H301" s="82">
        <f>(O300*'AP01'!$P301)*'AP01'!$S301</f>
        <v>99.97756557</v>
      </c>
      <c r="I301" s="82">
        <f>'AP01'!$Q301*0.00899%</f>
        <v>40.73305943</v>
      </c>
      <c r="J301" s="51">
        <f t="shared" si="136"/>
        <v>25</v>
      </c>
      <c r="K301" s="51">
        <f t="shared" ref="K301:L301" si="342">K300</f>
        <v>0</v>
      </c>
      <c r="L301" s="51">
        <f t="shared" si="342"/>
        <v>0</v>
      </c>
      <c r="M301" s="51">
        <f>SUM('AP01'!$F301:$L301)</f>
        <v>1626.195756</v>
      </c>
      <c r="N301" s="51">
        <f>O300*('AP01'!$P301-1)</f>
        <v>0</v>
      </c>
      <c r="O301" s="51">
        <f>(O300*'AP01'!$P301)-'AP01'!$G301</f>
        <v>65904.78944</v>
      </c>
      <c r="P301" s="53">
        <f t="shared" si="141"/>
        <v>1</v>
      </c>
      <c r="Q301" s="51">
        <f>(Q300*'AP01'!$P301)</f>
        <v>453092.9859</v>
      </c>
      <c r="R301" s="46">
        <f>DATEDIF($S$7,'AP01'!$B301,"Y")</f>
        <v>56</v>
      </c>
      <c r="S301" s="47">
        <f>VLOOKUP('AP01'!$R301,SEGUROS!$A:$B,2,TRUE)</f>
        <v>0.0014965</v>
      </c>
      <c r="T301" s="51">
        <f>('AP01'!$O301*'AP01'!$P301)*'AP01'!$S301</f>
        <v>98.62651739</v>
      </c>
      <c r="U301" s="51">
        <f>'AP01'!$Q301*0.00899%</f>
        <v>40.73305943</v>
      </c>
      <c r="V301" s="4"/>
      <c r="W301" s="4"/>
      <c r="X301" s="4"/>
      <c r="Y301" s="4"/>
      <c r="Z301" s="4"/>
    </row>
    <row r="302" ht="18.75" customHeight="1">
      <c r="A302" s="56">
        <f t="shared" si="4"/>
        <v>288</v>
      </c>
      <c r="B302" s="50">
        <f t="shared" si="8"/>
        <v>52007</v>
      </c>
      <c r="C302" s="58">
        <f t="shared" si="128"/>
        <v>0.1049</v>
      </c>
      <c r="D302" s="58">
        <f>((1+'AP01'!$C302)^(1/12))-1</f>
        <v>0.00834755088</v>
      </c>
      <c r="E302" s="51">
        <f t="shared" si="126"/>
        <v>2171.371183</v>
      </c>
      <c r="F302" s="51">
        <f>(O301*'AP01'!$P302)*'AP01'!$D302</f>
        <v>550.143583</v>
      </c>
      <c r="G302" s="51">
        <f>(O301*'AP01'!$P302)/($I$5-A301)</f>
        <v>902.8053347</v>
      </c>
      <c r="H302" s="82">
        <f>(O301*'AP01'!$P302)*'AP01'!$S302</f>
        <v>98.62651739</v>
      </c>
      <c r="I302" s="82">
        <f>'AP01'!$Q302*0.00899%</f>
        <v>40.73305943</v>
      </c>
      <c r="J302" s="51">
        <f t="shared" si="136"/>
        <v>25</v>
      </c>
      <c r="K302" s="51">
        <f t="shared" ref="K302:L302" si="343">K301</f>
        <v>0</v>
      </c>
      <c r="L302" s="51">
        <f t="shared" si="343"/>
        <v>0</v>
      </c>
      <c r="M302" s="51">
        <f>SUM('AP01'!$F302:$L302)</f>
        <v>1617.308495</v>
      </c>
      <c r="N302" s="51">
        <f>O301*('AP01'!$P302-1)</f>
        <v>0</v>
      </c>
      <c r="O302" s="51">
        <f>(O301*'AP01'!$P302)-'AP01'!$G302</f>
        <v>65001.9841</v>
      </c>
      <c r="P302" s="53">
        <f t="shared" si="141"/>
        <v>1</v>
      </c>
      <c r="Q302" s="51">
        <f>(Q301*'AP01'!$P302)</f>
        <v>453092.9859</v>
      </c>
      <c r="R302" s="46">
        <f>DATEDIF($S$7,'AP01'!$B302,"Y")</f>
        <v>56</v>
      </c>
      <c r="S302" s="47">
        <f>VLOOKUP('AP01'!$R302,SEGUROS!$A:$B,2,TRUE)</f>
        <v>0.0014965</v>
      </c>
      <c r="T302" s="51">
        <f>('AP01'!$O302*'AP01'!$P302)*'AP01'!$S302</f>
        <v>97.27546921</v>
      </c>
      <c r="U302" s="51">
        <f>'AP01'!$Q302*0.00899%</f>
        <v>40.73305943</v>
      </c>
      <c r="V302" s="4"/>
      <c r="W302" s="4"/>
      <c r="X302" s="4"/>
      <c r="Y302" s="4"/>
      <c r="Z302" s="4"/>
    </row>
    <row r="303" ht="18.75" customHeight="1">
      <c r="A303" s="56">
        <f t="shared" si="4"/>
        <v>289</v>
      </c>
      <c r="B303" s="50">
        <f t="shared" si="8"/>
        <v>52038</v>
      </c>
      <c r="C303" s="58">
        <f t="shared" si="128"/>
        <v>0.1049</v>
      </c>
      <c r="D303" s="58">
        <f>((1+'AP01'!$C303)^(1/12))-1</f>
        <v>0.00834755088</v>
      </c>
      <c r="E303" s="51">
        <f t="shared" si="126"/>
        <v>2171.371183</v>
      </c>
      <c r="F303" s="51">
        <f>(O302*'AP01'!$P303)*'AP01'!$D303</f>
        <v>542.6073696</v>
      </c>
      <c r="G303" s="51">
        <f>(O302*'AP01'!$P303)/($I$5-A302)</f>
        <v>902.8053347</v>
      </c>
      <c r="H303" s="82">
        <f>(O302*'AP01'!$P303)*'AP01'!$S303</f>
        <v>97.27546921</v>
      </c>
      <c r="I303" s="82">
        <f>'AP01'!$Q303*0.00899%</f>
        <v>40.73305943</v>
      </c>
      <c r="J303" s="51">
        <f t="shared" si="136"/>
        <v>25</v>
      </c>
      <c r="K303" s="51">
        <f t="shared" ref="K303:L303" si="344">K302</f>
        <v>0</v>
      </c>
      <c r="L303" s="51">
        <f t="shared" si="344"/>
        <v>0</v>
      </c>
      <c r="M303" s="51">
        <f>SUM('AP01'!$F303:$L303)</f>
        <v>1608.421233</v>
      </c>
      <c r="N303" s="51">
        <f>O302*('AP01'!$P303-1)</f>
        <v>0</v>
      </c>
      <c r="O303" s="51">
        <f>(O302*'AP01'!$P303)-'AP01'!$G303</f>
        <v>64099.17877</v>
      </c>
      <c r="P303" s="53">
        <f t="shared" si="141"/>
        <v>1</v>
      </c>
      <c r="Q303" s="51">
        <f>(Q302*'AP01'!$P303)</f>
        <v>453092.9859</v>
      </c>
      <c r="R303" s="46">
        <f>DATEDIF($S$7,'AP01'!$B303,"Y")</f>
        <v>56</v>
      </c>
      <c r="S303" s="47">
        <f>VLOOKUP('AP01'!$R303,SEGUROS!$A:$B,2,TRUE)</f>
        <v>0.0014965</v>
      </c>
      <c r="T303" s="51">
        <f>('AP01'!$O303*'AP01'!$P303)*'AP01'!$S303</f>
        <v>95.92442102</v>
      </c>
      <c r="U303" s="51">
        <f>'AP01'!$Q303*0.00899%</f>
        <v>40.73305943</v>
      </c>
      <c r="V303" s="4"/>
      <c r="W303" s="4"/>
      <c r="X303" s="4"/>
      <c r="Y303" s="4"/>
      <c r="Z303" s="4"/>
    </row>
    <row r="304" ht="18.75" customHeight="1">
      <c r="A304" s="56">
        <f t="shared" si="4"/>
        <v>290</v>
      </c>
      <c r="B304" s="50">
        <f t="shared" si="8"/>
        <v>52068</v>
      </c>
      <c r="C304" s="58">
        <f t="shared" si="128"/>
        <v>0.1049</v>
      </c>
      <c r="D304" s="58">
        <f>((1+'AP01'!$C304)^(1/12))-1</f>
        <v>0.00834755088</v>
      </c>
      <c r="E304" s="51">
        <f t="shared" si="126"/>
        <v>2171.371183</v>
      </c>
      <c r="F304" s="51">
        <f>(O303*'AP01'!$P304)*'AP01'!$D304</f>
        <v>535.0711561</v>
      </c>
      <c r="G304" s="51">
        <f>(O303*'AP01'!$P304)/($I$5-A303)</f>
        <v>902.8053347</v>
      </c>
      <c r="H304" s="82">
        <f>(O303*'AP01'!$P304)*'AP01'!$S304</f>
        <v>95.92442102</v>
      </c>
      <c r="I304" s="82">
        <f>'AP01'!$Q304*0.00899%</f>
        <v>40.73305943</v>
      </c>
      <c r="J304" s="51">
        <f t="shared" si="136"/>
        <v>25</v>
      </c>
      <c r="K304" s="51">
        <f t="shared" ref="K304:L304" si="345">K303</f>
        <v>0</v>
      </c>
      <c r="L304" s="51">
        <f t="shared" si="345"/>
        <v>0</v>
      </c>
      <c r="M304" s="51">
        <f>SUM('AP01'!$F304:$L304)</f>
        <v>1599.533971</v>
      </c>
      <c r="N304" s="51">
        <f>O303*('AP01'!$P304-1)</f>
        <v>0</v>
      </c>
      <c r="O304" s="51">
        <f>(O303*'AP01'!$P304)-'AP01'!$G304</f>
        <v>63196.37343</v>
      </c>
      <c r="P304" s="53">
        <f t="shared" si="141"/>
        <v>1</v>
      </c>
      <c r="Q304" s="51">
        <f>(Q303*'AP01'!$P304)</f>
        <v>453092.9859</v>
      </c>
      <c r="R304" s="46">
        <f>DATEDIF($S$7,'AP01'!$B304,"Y")</f>
        <v>56</v>
      </c>
      <c r="S304" s="47">
        <f>VLOOKUP('AP01'!$R304,SEGUROS!$A:$B,2,TRUE)</f>
        <v>0.0014965</v>
      </c>
      <c r="T304" s="51">
        <f>('AP01'!$O304*'AP01'!$P304)*'AP01'!$S304</f>
        <v>94.57337284</v>
      </c>
      <c r="U304" s="51">
        <f>'AP01'!$Q304*0.00899%</f>
        <v>40.73305943</v>
      </c>
      <c r="V304" s="4"/>
      <c r="W304" s="4"/>
      <c r="X304" s="4"/>
      <c r="Y304" s="4"/>
      <c r="Z304" s="4"/>
    </row>
    <row r="305" ht="18.75" customHeight="1">
      <c r="A305" s="56">
        <f t="shared" si="4"/>
        <v>291</v>
      </c>
      <c r="B305" s="50">
        <f t="shared" si="8"/>
        <v>52099</v>
      </c>
      <c r="C305" s="58">
        <f t="shared" si="128"/>
        <v>0.1049</v>
      </c>
      <c r="D305" s="58">
        <f>((1+'AP01'!$C305)^(1/12))-1</f>
        <v>0.00834755088</v>
      </c>
      <c r="E305" s="51">
        <f t="shared" si="126"/>
        <v>2171.371183</v>
      </c>
      <c r="F305" s="51">
        <f>(O304*'AP01'!$P305)*'AP01'!$D305</f>
        <v>527.5349426</v>
      </c>
      <c r="G305" s="51">
        <f>(O304*'AP01'!$P305)/($I$5-A304)</f>
        <v>902.8053347</v>
      </c>
      <c r="H305" s="82">
        <f>(O304*'AP01'!$P305)*'AP01'!$S305</f>
        <v>94.57337284</v>
      </c>
      <c r="I305" s="82">
        <f>'AP01'!$Q305*0.00899%</f>
        <v>40.73305943</v>
      </c>
      <c r="J305" s="51">
        <f t="shared" si="136"/>
        <v>25</v>
      </c>
      <c r="K305" s="51">
        <f t="shared" ref="K305:L305" si="346">K304</f>
        <v>0</v>
      </c>
      <c r="L305" s="51">
        <f t="shared" si="346"/>
        <v>0</v>
      </c>
      <c r="M305" s="51">
        <f>SUM('AP01'!$F305:$L305)</f>
        <v>1590.64671</v>
      </c>
      <c r="N305" s="51">
        <f>O304*('AP01'!$P305-1)</f>
        <v>0</v>
      </c>
      <c r="O305" s="51">
        <f>(O304*'AP01'!$P305)-'AP01'!$G305</f>
        <v>62293.5681</v>
      </c>
      <c r="P305" s="53">
        <f t="shared" si="141"/>
        <v>1</v>
      </c>
      <c r="Q305" s="51">
        <f>(Q304*'AP01'!$P305)</f>
        <v>453092.9859</v>
      </c>
      <c r="R305" s="46">
        <f>DATEDIF($S$7,'AP01'!$B305,"Y")</f>
        <v>56</v>
      </c>
      <c r="S305" s="47">
        <f>VLOOKUP('AP01'!$R305,SEGUROS!$A:$B,2,TRUE)</f>
        <v>0.0014965</v>
      </c>
      <c r="T305" s="51">
        <f>('AP01'!$O305*'AP01'!$P305)*'AP01'!$S305</f>
        <v>93.22232466</v>
      </c>
      <c r="U305" s="51">
        <f>'AP01'!$Q305*0.00899%</f>
        <v>40.73305943</v>
      </c>
      <c r="V305" s="4"/>
      <c r="W305" s="4"/>
      <c r="X305" s="4"/>
      <c r="Y305" s="4"/>
      <c r="Z305" s="4"/>
    </row>
    <row r="306" ht="18.75" customHeight="1">
      <c r="A306" s="56">
        <f t="shared" si="4"/>
        <v>292</v>
      </c>
      <c r="B306" s="50">
        <f t="shared" si="8"/>
        <v>52130</v>
      </c>
      <c r="C306" s="58">
        <f t="shared" si="128"/>
        <v>0.1049</v>
      </c>
      <c r="D306" s="58">
        <f>((1+'AP01'!$C306)^(1/12))-1</f>
        <v>0.00834755088</v>
      </c>
      <c r="E306" s="51">
        <f t="shared" si="126"/>
        <v>2171.371183</v>
      </c>
      <c r="F306" s="51">
        <f>(O305*'AP01'!$P306)*'AP01'!$D306</f>
        <v>519.9987292</v>
      </c>
      <c r="G306" s="51">
        <f>(O305*'AP01'!$P306)/($I$5-A305)</f>
        <v>902.8053347</v>
      </c>
      <c r="H306" s="82">
        <f>(O305*'AP01'!$P306)*'AP01'!$S306</f>
        <v>93.22232466</v>
      </c>
      <c r="I306" s="82">
        <f>'AP01'!$Q306*0.00899%</f>
        <v>40.73305943</v>
      </c>
      <c r="J306" s="51">
        <f t="shared" si="136"/>
        <v>25</v>
      </c>
      <c r="K306" s="51">
        <f t="shared" ref="K306:L306" si="347">K305</f>
        <v>0</v>
      </c>
      <c r="L306" s="51">
        <f t="shared" si="347"/>
        <v>0</v>
      </c>
      <c r="M306" s="51">
        <f>SUM('AP01'!$F306:$L306)</f>
        <v>1581.759448</v>
      </c>
      <c r="N306" s="51">
        <f>O305*('AP01'!$P306-1)</f>
        <v>0</v>
      </c>
      <c r="O306" s="51">
        <f>(O305*'AP01'!$P306)-'AP01'!$G306</f>
        <v>61390.76276</v>
      </c>
      <c r="P306" s="53">
        <f t="shared" si="141"/>
        <v>1</v>
      </c>
      <c r="Q306" s="51">
        <f>(Q305*'AP01'!$P306)</f>
        <v>453092.9859</v>
      </c>
      <c r="R306" s="46">
        <f>DATEDIF($S$7,'AP01'!$B306,"Y")</f>
        <v>56</v>
      </c>
      <c r="S306" s="47">
        <f>VLOOKUP('AP01'!$R306,SEGUROS!$A:$B,2,TRUE)</f>
        <v>0.0014965</v>
      </c>
      <c r="T306" s="51">
        <f>('AP01'!$O306*'AP01'!$P306)*'AP01'!$S306</f>
        <v>91.87127647</v>
      </c>
      <c r="U306" s="51">
        <f>'AP01'!$Q306*0.00899%</f>
        <v>40.73305943</v>
      </c>
      <c r="V306" s="4"/>
      <c r="W306" s="4"/>
      <c r="X306" s="4"/>
      <c r="Y306" s="4"/>
      <c r="Z306" s="4"/>
    </row>
    <row r="307" ht="18.75" customHeight="1">
      <c r="A307" s="56">
        <f t="shared" si="4"/>
        <v>293</v>
      </c>
      <c r="B307" s="50">
        <f t="shared" si="8"/>
        <v>52160</v>
      </c>
      <c r="C307" s="58">
        <f t="shared" si="128"/>
        <v>0.1049</v>
      </c>
      <c r="D307" s="58">
        <f>((1+'AP01'!$C307)^(1/12))-1</f>
        <v>0.00834755088</v>
      </c>
      <c r="E307" s="51">
        <f t="shared" si="126"/>
        <v>2171.371183</v>
      </c>
      <c r="F307" s="51">
        <f>(O306*'AP01'!$P307)*'AP01'!$D307</f>
        <v>512.4625157</v>
      </c>
      <c r="G307" s="51">
        <f>(O306*'AP01'!$P307)/($I$5-A306)</f>
        <v>902.8053347</v>
      </c>
      <c r="H307" s="82">
        <f>(O306*'AP01'!$P307)*'AP01'!$S307</f>
        <v>91.87127647</v>
      </c>
      <c r="I307" s="82">
        <f>'AP01'!$Q307*0.00899%</f>
        <v>40.73305943</v>
      </c>
      <c r="J307" s="51">
        <f t="shared" si="136"/>
        <v>25</v>
      </c>
      <c r="K307" s="51">
        <f t="shared" ref="K307:L307" si="348">K306</f>
        <v>0</v>
      </c>
      <c r="L307" s="51">
        <f t="shared" si="348"/>
        <v>0</v>
      </c>
      <c r="M307" s="51">
        <f>SUM('AP01'!$F307:$L307)</f>
        <v>1572.872186</v>
      </c>
      <c r="N307" s="51">
        <f>O306*('AP01'!$P307-1)</f>
        <v>0</v>
      </c>
      <c r="O307" s="51">
        <f>(O306*'AP01'!$P307)-'AP01'!$G307</f>
        <v>60487.95743</v>
      </c>
      <c r="P307" s="53">
        <f t="shared" si="141"/>
        <v>1</v>
      </c>
      <c r="Q307" s="51">
        <f>(Q306*'AP01'!$P307)</f>
        <v>453092.9859</v>
      </c>
      <c r="R307" s="46">
        <f>DATEDIF($S$7,'AP01'!$B307,"Y")</f>
        <v>56</v>
      </c>
      <c r="S307" s="47">
        <f>VLOOKUP('AP01'!$R307,SEGUROS!$A:$B,2,TRUE)</f>
        <v>0.0014965</v>
      </c>
      <c r="T307" s="51">
        <f>('AP01'!$O307*'AP01'!$P307)*'AP01'!$S307</f>
        <v>90.52022829</v>
      </c>
      <c r="U307" s="51">
        <f>'AP01'!$Q307*0.00899%</f>
        <v>40.73305943</v>
      </c>
      <c r="V307" s="4"/>
      <c r="W307" s="4"/>
      <c r="X307" s="4"/>
      <c r="Y307" s="4"/>
      <c r="Z307" s="4"/>
    </row>
    <row r="308" ht="18.75" customHeight="1">
      <c r="A308" s="56">
        <f t="shared" si="4"/>
        <v>294</v>
      </c>
      <c r="B308" s="50">
        <f t="shared" si="8"/>
        <v>52191</v>
      </c>
      <c r="C308" s="58">
        <f t="shared" si="128"/>
        <v>0.1049</v>
      </c>
      <c r="D308" s="58">
        <f>((1+'AP01'!$C308)^(1/12))-1</f>
        <v>0.00834755088</v>
      </c>
      <c r="E308" s="51">
        <f t="shared" si="126"/>
        <v>2171.371183</v>
      </c>
      <c r="F308" s="51">
        <f>(O307*'AP01'!$P308)*'AP01'!$D308</f>
        <v>504.9263022</v>
      </c>
      <c r="G308" s="51">
        <f>(O307*'AP01'!$P308)/($I$5-A307)</f>
        <v>902.8053347</v>
      </c>
      <c r="H308" s="82">
        <f>(O307*'AP01'!$P308)*'AP01'!$S308</f>
        <v>90.52022829</v>
      </c>
      <c r="I308" s="82">
        <f>'AP01'!$Q308*0.00899%</f>
        <v>40.73305943</v>
      </c>
      <c r="J308" s="51">
        <f t="shared" si="136"/>
        <v>25</v>
      </c>
      <c r="K308" s="51">
        <f t="shared" ref="K308:L308" si="349">K307</f>
        <v>0</v>
      </c>
      <c r="L308" s="51">
        <f t="shared" si="349"/>
        <v>0</v>
      </c>
      <c r="M308" s="51">
        <f>SUM('AP01'!$F308:$L308)</f>
        <v>1563.984925</v>
      </c>
      <c r="N308" s="51">
        <f>O307*('AP01'!$P308-1)</f>
        <v>0</v>
      </c>
      <c r="O308" s="51">
        <f>(O307*'AP01'!$P308)-'AP01'!$G308</f>
        <v>59585.15209</v>
      </c>
      <c r="P308" s="53">
        <f t="shared" si="141"/>
        <v>1</v>
      </c>
      <c r="Q308" s="51">
        <f>(Q307*'AP01'!$P308)</f>
        <v>453092.9859</v>
      </c>
      <c r="R308" s="46">
        <f>DATEDIF($S$7,'AP01'!$B308,"Y")</f>
        <v>56</v>
      </c>
      <c r="S308" s="47">
        <f>VLOOKUP('AP01'!$R308,SEGUROS!$A:$B,2,TRUE)</f>
        <v>0.0014965</v>
      </c>
      <c r="T308" s="51">
        <f>('AP01'!$O308*'AP01'!$P308)*'AP01'!$S308</f>
        <v>89.16918011</v>
      </c>
      <c r="U308" s="51">
        <f>'AP01'!$Q308*0.00899%</f>
        <v>40.73305943</v>
      </c>
      <c r="V308" s="4"/>
      <c r="W308" s="4"/>
      <c r="X308" s="4"/>
      <c r="Y308" s="4"/>
      <c r="Z308" s="4"/>
    </row>
    <row r="309" ht="18.75" customHeight="1">
      <c r="A309" s="56">
        <f t="shared" si="4"/>
        <v>295</v>
      </c>
      <c r="B309" s="50">
        <f t="shared" si="8"/>
        <v>52221</v>
      </c>
      <c r="C309" s="58">
        <f t="shared" si="128"/>
        <v>0.1049</v>
      </c>
      <c r="D309" s="58">
        <f>((1+'AP01'!$C309)^(1/12))-1</f>
        <v>0.00834755088</v>
      </c>
      <c r="E309" s="51">
        <f t="shared" si="126"/>
        <v>2171.371183</v>
      </c>
      <c r="F309" s="51">
        <f>(O308*'AP01'!$P309)*'AP01'!$D309</f>
        <v>497.3900888</v>
      </c>
      <c r="G309" s="51">
        <f>(O308*'AP01'!$P309)/($I$5-A308)</f>
        <v>902.8053347</v>
      </c>
      <c r="H309" s="82">
        <f>(O308*'AP01'!$P309)*'AP01'!$S309</f>
        <v>96.63519966</v>
      </c>
      <c r="I309" s="82">
        <f>'AP01'!$Q309*0.00899%</f>
        <v>40.73305943</v>
      </c>
      <c r="J309" s="51">
        <f t="shared" si="136"/>
        <v>25</v>
      </c>
      <c r="K309" s="51">
        <f t="shared" ref="K309:L309" si="350">K308</f>
        <v>0</v>
      </c>
      <c r="L309" s="51">
        <f t="shared" si="350"/>
        <v>0</v>
      </c>
      <c r="M309" s="51">
        <f>SUM('AP01'!$F309:$L309)</f>
        <v>1562.563683</v>
      </c>
      <c r="N309" s="51">
        <f>O308*('AP01'!$P309-1)</f>
        <v>0</v>
      </c>
      <c r="O309" s="51">
        <f>(O308*'AP01'!$P309)-'AP01'!$G309</f>
        <v>58682.34676</v>
      </c>
      <c r="P309" s="53">
        <f t="shared" si="141"/>
        <v>1</v>
      </c>
      <c r="Q309" s="51">
        <f>(Q308*'AP01'!$P309)</f>
        <v>453092.9859</v>
      </c>
      <c r="R309" s="46">
        <f>DATEDIF($S$7,'AP01'!$B309,"Y")</f>
        <v>57</v>
      </c>
      <c r="S309" s="47">
        <f>VLOOKUP('AP01'!$R309,SEGUROS!$A:$B,2,TRUE)</f>
        <v>0.0016218</v>
      </c>
      <c r="T309" s="51">
        <f>('AP01'!$O309*'AP01'!$P309)*'AP01'!$S309</f>
        <v>95.17102997</v>
      </c>
      <c r="U309" s="51">
        <f>'AP01'!$Q309*0.00899%</f>
        <v>40.73305943</v>
      </c>
      <c r="V309" s="4"/>
      <c r="W309" s="4"/>
      <c r="X309" s="4"/>
      <c r="Y309" s="4"/>
      <c r="Z309" s="4"/>
    </row>
    <row r="310" ht="18.75" customHeight="1">
      <c r="A310" s="56">
        <f t="shared" si="4"/>
        <v>296</v>
      </c>
      <c r="B310" s="50">
        <f t="shared" si="8"/>
        <v>52252</v>
      </c>
      <c r="C310" s="58">
        <f t="shared" si="128"/>
        <v>0.1049</v>
      </c>
      <c r="D310" s="58">
        <f>((1+'AP01'!$C310)^(1/12))-1</f>
        <v>0.00834755088</v>
      </c>
      <c r="E310" s="51">
        <f t="shared" si="126"/>
        <v>2171.371183</v>
      </c>
      <c r="F310" s="51">
        <f>(O309*'AP01'!$P310)*'AP01'!$D310</f>
        <v>489.8538753</v>
      </c>
      <c r="G310" s="51">
        <f>(O309*'AP01'!$P310)/($I$5-A309)</f>
        <v>902.8053347</v>
      </c>
      <c r="H310" s="82">
        <f>(O309*'AP01'!$P310)*'AP01'!$S310</f>
        <v>95.17102997</v>
      </c>
      <c r="I310" s="82">
        <f>'AP01'!$Q310*0.00899%</f>
        <v>40.73305943</v>
      </c>
      <c r="J310" s="51">
        <f t="shared" si="136"/>
        <v>25</v>
      </c>
      <c r="K310" s="51">
        <f t="shared" ref="K310:L310" si="351">K309</f>
        <v>0</v>
      </c>
      <c r="L310" s="51">
        <f t="shared" si="351"/>
        <v>0</v>
      </c>
      <c r="M310" s="51">
        <f>SUM('AP01'!$F310:$L310)</f>
        <v>1553.563299</v>
      </c>
      <c r="N310" s="51">
        <f>O309*('AP01'!$P310-1)</f>
        <v>0</v>
      </c>
      <c r="O310" s="51">
        <f>(O309*'AP01'!$P310)-'AP01'!$G310</f>
        <v>57779.54142</v>
      </c>
      <c r="P310" s="53">
        <f t="shared" si="141"/>
        <v>1</v>
      </c>
      <c r="Q310" s="51">
        <f>(Q309*'AP01'!$P310)</f>
        <v>453092.9859</v>
      </c>
      <c r="R310" s="46">
        <f>DATEDIF($S$7,'AP01'!$B310,"Y")</f>
        <v>57</v>
      </c>
      <c r="S310" s="47">
        <f>VLOOKUP('AP01'!$R310,SEGUROS!$A:$B,2,TRUE)</f>
        <v>0.0016218</v>
      </c>
      <c r="T310" s="51">
        <f>('AP01'!$O310*'AP01'!$P310)*'AP01'!$S310</f>
        <v>93.70686028</v>
      </c>
      <c r="U310" s="51">
        <f>'AP01'!$Q310*0.00899%</f>
        <v>40.73305943</v>
      </c>
      <c r="V310" s="4"/>
      <c r="W310" s="4"/>
      <c r="X310" s="4"/>
      <c r="Y310" s="4"/>
      <c r="Z310" s="4"/>
    </row>
    <row r="311" ht="18.75" customHeight="1">
      <c r="A311" s="56">
        <f t="shared" si="4"/>
        <v>297</v>
      </c>
      <c r="B311" s="50">
        <f t="shared" si="8"/>
        <v>52283</v>
      </c>
      <c r="C311" s="58">
        <f t="shared" si="128"/>
        <v>0.1049</v>
      </c>
      <c r="D311" s="58">
        <f>((1+'AP01'!$C311)^(1/12))-1</f>
        <v>0.00834755088</v>
      </c>
      <c r="E311" s="51">
        <f t="shared" si="126"/>
        <v>2171.371183</v>
      </c>
      <c r="F311" s="51">
        <f>(O310*'AP01'!$P311)*'AP01'!$D311</f>
        <v>482.3176618</v>
      </c>
      <c r="G311" s="51">
        <f>(O310*'AP01'!$P311)/($I$5-A310)</f>
        <v>902.8053347</v>
      </c>
      <c r="H311" s="82">
        <f>(O310*'AP01'!$P311)*'AP01'!$S311</f>
        <v>93.70686028</v>
      </c>
      <c r="I311" s="82">
        <f>'AP01'!$Q311*0.00899%</f>
        <v>40.73305943</v>
      </c>
      <c r="J311" s="51">
        <f t="shared" si="136"/>
        <v>25</v>
      </c>
      <c r="K311" s="51">
        <f t="shared" ref="K311:L311" si="352">K310</f>
        <v>0</v>
      </c>
      <c r="L311" s="51">
        <f t="shared" si="352"/>
        <v>0</v>
      </c>
      <c r="M311" s="51">
        <f>SUM('AP01'!$F311:$L311)</f>
        <v>1544.562916</v>
      </c>
      <c r="N311" s="51">
        <f>O310*('AP01'!$P311-1)</f>
        <v>0</v>
      </c>
      <c r="O311" s="51">
        <f>(O310*'AP01'!$P311)-'AP01'!$G311</f>
        <v>56876.73609</v>
      </c>
      <c r="P311" s="53">
        <f t="shared" si="141"/>
        <v>1</v>
      </c>
      <c r="Q311" s="51">
        <f>(Q310*'AP01'!$P311)</f>
        <v>453092.9859</v>
      </c>
      <c r="R311" s="46">
        <f>DATEDIF($S$7,'AP01'!$B311,"Y")</f>
        <v>57</v>
      </c>
      <c r="S311" s="47">
        <f>VLOOKUP('AP01'!$R311,SEGUROS!$A:$B,2,TRUE)</f>
        <v>0.0016218</v>
      </c>
      <c r="T311" s="51">
        <f>('AP01'!$O311*'AP01'!$P311)*'AP01'!$S311</f>
        <v>92.24269059</v>
      </c>
      <c r="U311" s="51">
        <f>'AP01'!$Q311*0.00899%</f>
        <v>40.73305943</v>
      </c>
      <c r="V311" s="4"/>
      <c r="W311" s="4"/>
      <c r="X311" s="4"/>
      <c r="Y311" s="4"/>
      <c r="Z311" s="4"/>
    </row>
    <row r="312" ht="18.75" customHeight="1">
      <c r="A312" s="56">
        <f t="shared" si="4"/>
        <v>298</v>
      </c>
      <c r="B312" s="50">
        <f t="shared" si="8"/>
        <v>52311</v>
      </c>
      <c r="C312" s="58">
        <f t="shared" si="128"/>
        <v>0.1049</v>
      </c>
      <c r="D312" s="58">
        <f>((1+'AP01'!$C312)^(1/12))-1</f>
        <v>0.00834755088</v>
      </c>
      <c r="E312" s="51">
        <f t="shared" si="126"/>
        <v>2171.371183</v>
      </c>
      <c r="F312" s="51">
        <f>(O311*'AP01'!$P312)*'AP01'!$D312</f>
        <v>474.7814484</v>
      </c>
      <c r="G312" s="51">
        <f>(O311*'AP01'!$P312)/($I$5-A311)</f>
        <v>902.8053347</v>
      </c>
      <c r="H312" s="82">
        <f>(O311*'AP01'!$P312)*'AP01'!$S312</f>
        <v>92.24269059</v>
      </c>
      <c r="I312" s="82">
        <f>'AP01'!$Q312*0.00899%</f>
        <v>40.73305943</v>
      </c>
      <c r="J312" s="51">
        <f t="shared" si="136"/>
        <v>25</v>
      </c>
      <c r="K312" s="51">
        <f t="shared" ref="K312:L312" si="353">K311</f>
        <v>0</v>
      </c>
      <c r="L312" s="51">
        <f t="shared" si="353"/>
        <v>0</v>
      </c>
      <c r="M312" s="51">
        <f>SUM('AP01'!$F312:$L312)</f>
        <v>1535.562533</v>
      </c>
      <c r="N312" s="51">
        <f>O311*('AP01'!$P312-1)</f>
        <v>0</v>
      </c>
      <c r="O312" s="51">
        <f>(O311*'AP01'!$P312)-'AP01'!$G312</f>
        <v>55973.93075</v>
      </c>
      <c r="P312" s="53">
        <f t="shared" si="141"/>
        <v>1</v>
      </c>
      <c r="Q312" s="51">
        <f>(Q311*'AP01'!$P312)</f>
        <v>453092.9859</v>
      </c>
      <c r="R312" s="46">
        <f>DATEDIF($S$7,'AP01'!$B312,"Y")</f>
        <v>57</v>
      </c>
      <c r="S312" s="47">
        <f>VLOOKUP('AP01'!$R312,SEGUROS!$A:$B,2,TRUE)</f>
        <v>0.0016218</v>
      </c>
      <c r="T312" s="51">
        <f>('AP01'!$O312*'AP01'!$P312)*'AP01'!$S312</f>
        <v>90.7785209</v>
      </c>
      <c r="U312" s="51">
        <f>'AP01'!$Q312*0.00899%</f>
        <v>40.73305943</v>
      </c>
      <c r="V312" s="4"/>
      <c r="W312" s="4"/>
      <c r="X312" s="4"/>
      <c r="Y312" s="4"/>
      <c r="Z312" s="4"/>
    </row>
    <row r="313" ht="18.75" customHeight="1">
      <c r="A313" s="56">
        <f t="shared" si="4"/>
        <v>299</v>
      </c>
      <c r="B313" s="50">
        <f t="shared" si="8"/>
        <v>52342</v>
      </c>
      <c r="C313" s="58">
        <f t="shared" si="128"/>
        <v>0.1049</v>
      </c>
      <c r="D313" s="58">
        <f>((1+'AP01'!$C313)^(1/12))-1</f>
        <v>0.00834755088</v>
      </c>
      <c r="E313" s="51">
        <f t="shared" si="126"/>
        <v>2171.371183</v>
      </c>
      <c r="F313" s="51">
        <f>(O312*'AP01'!$P313)*'AP01'!$D313</f>
        <v>467.2452349</v>
      </c>
      <c r="G313" s="51">
        <f>(O312*'AP01'!$P313)/($I$5-A312)</f>
        <v>902.8053347</v>
      </c>
      <c r="H313" s="82">
        <f>(O312*'AP01'!$P313)*'AP01'!$S313</f>
        <v>90.7785209</v>
      </c>
      <c r="I313" s="82">
        <f>'AP01'!$Q313*0.00899%</f>
        <v>40.73305943</v>
      </c>
      <c r="J313" s="51">
        <f t="shared" si="136"/>
        <v>25</v>
      </c>
      <c r="K313" s="51">
        <f t="shared" ref="K313:L313" si="354">K312</f>
        <v>0</v>
      </c>
      <c r="L313" s="51">
        <f t="shared" si="354"/>
        <v>0</v>
      </c>
      <c r="M313" s="51">
        <f>SUM('AP01'!$F313:$L313)</f>
        <v>1526.56215</v>
      </c>
      <c r="N313" s="51">
        <f>O312*('AP01'!$P313-1)</f>
        <v>0</v>
      </c>
      <c r="O313" s="51">
        <f>(O312*'AP01'!$P313)-'AP01'!$G313</f>
        <v>55071.12542</v>
      </c>
      <c r="P313" s="53">
        <f t="shared" si="141"/>
        <v>1</v>
      </c>
      <c r="Q313" s="51">
        <f>(Q312*'AP01'!$P313)</f>
        <v>453092.9859</v>
      </c>
      <c r="R313" s="46">
        <f>DATEDIF($S$7,'AP01'!$B313,"Y")</f>
        <v>57</v>
      </c>
      <c r="S313" s="47">
        <f>VLOOKUP('AP01'!$R313,SEGUROS!$A:$B,2,TRUE)</f>
        <v>0.0016218</v>
      </c>
      <c r="T313" s="51">
        <f>('AP01'!$O313*'AP01'!$P313)*'AP01'!$S313</f>
        <v>89.3143512</v>
      </c>
      <c r="U313" s="51">
        <f>'AP01'!$Q313*0.00899%</f>
        <v>40.73305943</v>
      </c>
      <c r="V313" s="4"/>
      <c r="W313" s="4"/>
      <c r="X313" s="4"/>
      <c r="Y313" s="4"/>
      <c r="Z313" s="4"/>
    </row>
    <row r="314" ht="18.75" customHeight="1">
      <c r="A314" s="56">
        <f t="shared" si="4"/>
        <v>300</v>
      </c>
      <c r="B314" s="50">
        <f t="shared" si="8"/>
        <v>52372</v>
      </c>
      <c r="C314" s="58">
        <f t="shared" si="128"/>
        <v>0.1049</v>
      </c>
      <c r="D314" s="58">
        <f>((1+'AP01'!$C314)^(1/12))-1</f>
        <v>0.00834755088</v>
      </c>
      <c r="E314" s="51">
        <f t="shared" si="126"/>
        <v>2171.371183</v>
      </c>
      <c r="F314" s="51">
        <f>(O313*'AP01'!$P314)*'AP01'!$D314</f>
        <v>459.7090214</v>
      </c>
      <c r="G314" s="51">
        <f>(O313*'AP01'!$P314)/($I$5-A313)</f>
        <v>902.8053347</v>
      </c>
      <c r="H314" s="82">
        <f>(O313*'AP01'!$P314)*'AP01'!$S314</f>
        <v>89.3143512</v>
      </c>
      <c r="I314" s="82">
        <f>'AP01'!$Q314*0.00899%</f>
        <v>40.73305943</v>
      </c>
      <c r="J314" s="51">
        <f t="shared" si="136"/>
        <v>25</v>
      </c>
      <c r="K314" s="51">
        <f t="shared" ref="K314:L314" si="355">K313</f>
        <v>0</v>
      </c>
      <c r="L314" s="51">
        <f t="shared" si="355"/>
        <v>0</v>
      </c>
      <c r="M314" s="51">
        <f>SUM('AP01'!$F314:$L314)</f>
        <v>1517.561767</v>
      </c>
      <c r="N314" s="51">
        <f>O313*('AP01'!$P314-1)</f>
        <v>0</v>
      </c>
      <c r="O314" s="51">
        <f>(O313*'AP01'!$P314)-'AP01'!$G314</f>
        <v>54168.32008</v>
      </c>
      <c r="P314" s="53">
        <f t="shared" si="141"/>
        <v>1</v>
      </c>
      <c r="Q314" s="51">
        <f>(Q313*'AP01'!$P314)</f>
        <v>453092.9859</v>
      </c>
      <c r="R314" s="46">
        <f>DATEDIF($S$7,'AP01'!$B314,"Y")</f>
        <v>57</v>
      </c>
      <c r="S314" s="47">
        <f>VLOOKUP('AP01'!$R314,SEGUROS!$A:$B,2,TRUE)</f>
        <v>0.0016218</v>
      </c>
      <c r="T314" s="51">
        <f>('AP01'!$O314*'AP01'!$P314)*'AP01'!$S314</f>
        <v>87.85018151</v>
      </c>
      <c r="U314" s="51">
        <f>'AP01'!$Q314*0.00899%</f>
        <v>40.73305943</v>
      </c>
      <c r="V314" s="4"/>
      <c r="W314" s="4"/>
      <c r="X314" s="4"/>
      <c r="Y314" s="4"/>
      <c r="Z314" s="4"/>
    </row>
    <row r="315" ht="18.75" customHeight="1">
      <c r="A315" s="56">
        <f t="shared" si="4"/>
        <v>301</v>
      </c>
      <c r="B315" s="50">
        <f t="shared" si="8"/>
        <v>52403</v>
      </c>
      <c r="C315" s="58">
        <f t="shared" si="128"/>
        <v>0.1049</v>
      </c>
      <c r="D315" s="58">
        <f>((1+'AP01'!$C315)^(1/12))-1</f>
        <v>0.00834755088</v>
      </c>
      <c r="E315" s="51">
        <f t="shared" si="126"/>
        <v>2171.371183</v>
      </c>
      <c r="F315" s="51">
        <f>(O314*'AP01'!$P315)*'AP01'!$D315</f>
        <v>452.172808</v>
      </c>
      <c r="G315" s="51">
        <f>(O314*'AP01'!$P315)/($I$5-A314)</f>
        <v>902.8053347</v>
      </c>
      <c r="H315" s="82">
        <f>(O314*'AP01'!$P315)*'AP01'!$S315</f>
        <v>87.85018151</v>
      </c>
      <c r="I315" s="82">
        <f>'AP01'!$Q315*0.00899%</f>
        <v>40.73305943</v>
      </c>
      <c r="J315" s="51">
        <f t="shared" si="136"/>
        <v>25</v>
      </c>
      <c r="K315" s="51">
        <f t="shared" ref="K315:L315" si="356">K314</f>
        <v>0</v>
      </c>
      <c r="L315" s="51">
        <f t="shared" si="356"/>
        <v>0</v>
      </c>
      <c r="M315" s="51">
        <f>SUM('AP01'!$F315:$L315)</f>
        <v>1508.561384</v>
      </c>
      <c r="N315" s="51">
        <f>O314*('AP01'!$P315-1)</f>
        <v>0</v>
      </c>
      <c r="O315" s="51">
        <f>(O314*'AP01'!$P315)-'AP01'!$G315</f>
        <v>53265.51475</v>
      </c>
      <c r="P315" s="53">
        <f t="shared" si="141"/>
        <v>1</v>
      </c>
      <c r="Q315" s="51">
        <f>(Q314*'AP01'!$P315)</f>
        <v>453092.9859</v>
      </c>
      <c r="R315" s="46">
        <f>DATEDIF($S$7,'AP01'!$B315,"Y")</f>
        <v>57</v>
      </c>
      <c r="S315" s="47">
        <f>VLOOKUP('AP01'!$R315,SEGUROS!$A:$B,2,TRUE)</f>
        <v>0.0016218</v>
      </c>
      <c r="T315" s="51">
        <f>('AP01'!$O315*'AP01'!$P315)*'AP01'!$S315</f>
        <v>86.38601182</v>
      </c>
      <c r="U315" s="51">
        <f>'AP01'!$Q315*0.00899%</f>
        <v>40.73305943</v>
      </c>
      <c r="V315" s="4"/>
      <c r="W315" s="4"/>
      <c r="X315" s="4"/>
      <c r="Y315" s="4"/>
      <c r="Z315" s="4"/>
    </row>
    <row r="316" ht="18.75" customHeight="1">
      <c r="A316" s="56">
        <f t="shared" si="4"/>
        <v>302</v>
      </c>
      <c r="B316" s="50">
        <f t="shared" si="8"/>
        <v>52433</v>
      </c>
      <c r="C316" s="58">
        <f t="shared" si="128"/>
        <v>0.1049</v>
      </c>
      <c r="D316" s="58">
        <f>((1+'AP01'!$C316)^(1/12))-1</f>
        <v>0.00834755088</v>
      </c>
      <c r="E316" s="51">
        <f t="shared" si="126"/>
        <v>2171.371183</v>
      </c>
      <c r="F316" s="51">
        <f>(O315*'AP01'!$P316)*'AP01'!$D316</f>
        <v>444.6365945</v>
      </c>
      <c r="G316" s="51">
        <f>(O315*'AP01'!$P316)/($I$5-A315)</f>
        <v>902.8053347</v>
      </c>
      <c r="H316" s="82">
        <f>(O315*'AP01'!$P316)*'AP01'!$S316</f>
        <v>86.38601182</v>
      </c>
      <c r="I316" s="82">
        <f>'AP01'!$Q316*0.00899%</f>
        <v>40.73305943</v>
      </c>
      <c r="J316" s="51">
        <f t="shared" si="136"/>
        <v>25</v>
      </c>
      <c r="K316" s="51">
        <f t="shared" ref="K316:L316" si="357">K315</f>
        <v>0</v>
      </c>
      <c r="L316" s="51">
        <f t="shared" si="357"/>
        <v>0</v>
      </c>
      <c r="M316" s="51">
        <f>SUM('AP01'!$F316:$L316)</f>
        <v>1499.561001</v>
      </c>
      <c r="N316" s="51">
        <f>O315*('AP01'!$P316-1)</f>
        <v>0</v>
      </c>
      <c r="O316" s="51">
        <f>(O315*'AP01'!$P316)-'AP01'!$G316</f>
        <v>52362.70941</v>
      </c>
      <c r="P316" s="53">
        <f t="shared" si="141"/>
        <v>1</v>
      </c>
      <c r="Q316" s="51">
        <f>(Q315*'AP01'!$P316)</f>
        <v>453092.9859</v>
      </c>
      <c r="R316" s="46">
        <f>DATEDIF($S$7,'AP01'!$B316,"Y")</f>
        <v>57</v>
      </c>
      <c r="S316" s="47">
        <f>VLOOKUP('AP01'!$R316,SEGUROS!$A:$B,2,TRUE)</f>
        <v>0.0016218</v>
      </c>
      <c r="T316" s="51">
        <f>('AP01'!$O316*'AP01'!$P316)*'AP01'!$S316</f>
        <v>84.92184213</v>
      </c>
      <c r="U316" s="51">
        <f>'AP01'!$Q316*0.00899%</f>
        <v>40.73305943</v>
      </c>
      <c r="V316" s="4"/>
      <c r="W316" s="4"/>
      <c r="X316" s="4"/>
      <c r="Y316" s="4"/>
      <c r="Z316" s="4"/>
    </row>
    <row r="317" ht="18.75" customHeight="1">
      <c r="A317" s="56">
        <f t="shared" si="4"/>
        <v>303</v>
      </c>
      <c r="B317" s="50">
        <f t="shared" si="8"/>
        <v>52464</v>
      </c>
      <c r="C317" s="58">
        <f t="shared" si="128"/>
        <v>0.1049</v>
      </c>
      <c r="D317" s="58">
        <f>((1+'AP01'!$C317)^(1/12))-1</f>
        <v>0.00834755088</v>
      </c>
      <c r="E317" s="51">
        <f t="shared" si="126"/>
        <v>2171.371183</v>
      </c>
      <c r="F317" s="51">
        <f>(O316*'AP01'!$P317)*'AP01'!$D317</f>
        <v>437.100381</v>
      </c>
      <c r="G317" s="51">
        <f>(O316*'AP01'!$P317)/($I$5-A316)</f>
        <v>902.8053347</v>
      </c>
      <c r="H317" s="82">
        <f>(O316*'AP01'!$P317)*'AP01'!$S317</f>
        <v>84.92184213</v>
      </c>
      <c r="I317" s="82">
        <f>'AP01'!$Q317*0.00899%</f>
        <v>40.73305943</v>
      </c>
      <c r="J317" s="51">
        <f t="shared" si="136"/>
        <v>25</v>
      </c>
      <c r="K317" s="51">
        <f t="shared" ref="K317:L317" si="358">K316</f>
        <v>0</v>
      </c>
      <c r="L317" s="51">
        <f t="shared" si="358"/>
        <v>0</v>
      </c>
      <c r="M317" s="51">
        <f>SUM('AP01'!$F317:$L317)</f>
        <v>1490.560617</v>
      </c>
      <c r="N317" s="51">
        <f>O316*('AP01'!$P317-1)</f>
        <v>0</v>
      </c>
      <c r="O317" s="51">
        <f>(O316*'AP01'!$P317)-'AP01'!$G317</f>
        <v>51459.90408</v>
      </c>
      <c r="P317" s="53">
        <f t="shared" si="141"/>
        <v>1</v>
      </c>
      <c r="Q317" s="51">
        <f>(Q316*'AP01'!$P317)</f>
        <v>453092.9859</v>
      </c>
      <c r="R317" s="46">
        <f>DATEDIF($S$7,'AP01'!$B317,"Y")</f>
        <v>57</v>
      </c>
      <c r="S317" s="47">
        <f>VLOOKUP('AP01'!$R317,SEGUROS!$A:$B,2,TRUE)</f>
        <v>0.0016218</v>
      </c>
      <c r="T317" s="51">
        <f>('AP01'!$O317*'AP01'!$P317)*'AP01'!$S317</f>
        <v>83.45767244</v>
      </c>
      <c r="U317" s="51">
        <f>'AP01'!$Q317*0.00899%</f>
        <v>40.73305943</v>
      </c>
      <c r="V317" s="4"/>
      <c r="W317" s="4"/>
      <c r="X317" s="4"/>
      <c r="Y317" s="4"/>
      <c r="Z317" s="4"/>
    </row>
    <row r="318" ht="18.75" customHeight="1">
      <c r="A318" s="56">
        <f t="shared" si="4"/>
        <v>304</v>
      </c>
      <c r="B318" s="50">
        <f t="shared" si="8"/>
        <v>52495</v>
      </c>
      <c r="C318" s="58">
        <f t="shared" si="128"/>
        <v>0.1049</v>
      </c>
      <c r="D318" s="58">
        <f>((1+'AP01'!$C318)^(1/12))-1</f>
        <v>0.00834755088</v>
      </c>
      <c r="E318" s="51">
        <f t="shared" si="126"/>
        <v>2171.371183</v>
      </c>
      <c r="F318" s="51">
        <f>(O317*'AP01'!$P318)*'AP01'!$D318</f>
        <v>429.5641676</v>
      </c>
      <c r="G318" s="51">
        <f>(O317*'AP01'!$P318)/($I$5-A317)</f>
        <v>902.8053347</v>
      </c>
      <c r="H318" s="82">
        <f>(O317*'AP01'!$P318)*'AP01'!$S318</f>
        <v>83.45767244</v>
      </c>
      <c r="I318" s="82">
        <f>'AP01'!$Q318*0.00899%</f>
        <v>40.73305943</v>
      </c>
      <c r="J318" s="51">
        <f t="shared" si="136"/>
        <v>25</v>
      </c>
      <c r="K318" s="51">
        <f t="shared" ref="K318:L318" si="359">K317</f>
        <v>0</v>
      </c>
      <c r="L318" s="51">
        <f t="shared" si="359"/>
        <v>0</v>
      </c>
      <c r="M318" s="51">
        <f>SUM('AP01'!$F318:$L318)</f>
        <v>1481.560234</v>
      </c>
      <c r="N318" s="51">
        <f>O317*('AP01'!$P318-1)</f>
        <v>0</v>
      </c>
      <c r="O318" s="51">
        <f>(O317*'AP01'!$P318)-'AP01'!$G318</f>
        <v>50557.09875</v>
      </c>
      <c r="P318" s="53">
        <f t="shared" si="141"/>
        <v>1</v>
      </c>
      <c r="Q318" s="51">
        <f>(Q317*'AP01'!$P318)</f>
        <v>453092.9859</v>
      </c>
      <c r="R318" s="46">
        <f>DATEDIF($S$7,'AP01'!$B318,"Y")</f>
        <v>57</v>
      </c>
      <c r="S318" s="47">
        <f>VLOOKUP('AP01'!$R318,SEGUROS!$A:$B,2,TRUE)</f>
        <v>0.0016218</v>
      </c>
      <c r="T318" s="51">
        <f>('AP01'!$O318*'AP01'!$P318)*'AP01'!$S318</f>
        <v>81.99350275</v>
      </c>
      <c r="U318" s="51">
        <f>'AP01'!$Q318*0.00899%</f>
        <v>40.73305943</v>
      </c>
      <c r="V318" s="4"/>
      <c r="W318" s="4"/>
      <c r="X318" s="4"/>
      <c r="Y318" s="4"/>
      <c r="Z318" s="4"/>
    </row>
    <row r="319" ht="18.75" customHeight="1">
      <c r="A319" s="56">
        <f t="shared" si="4"/>
        <v>305</v>
      </c>
      <c r="B319" s="50">
        <f t="shared" si="8"/>
        <v>52525</v>
      </c>
      <c r="C319" s="58">
        <f t="shared" si="128"/>
        <v>0.1049</v>
      </c>
      <c r="D319" s="58">
        <f>((1+'AP01'!$C319)^(1/12))-1</f>
        <v>0.00834755088</v>
      </c>
      <c r="E319" s="51">
        <f t="shared" si="126"/>
        <v>2171.371183</v>
      </c>
      <c r="F319" s="51">
        <f>(O318*'AP01'!$P319)*'AP01'!$D319</f>
        <v>422.0279541</v>
      </c>
      <c r="G319" s="51">
        <f>(O318*'AP01'!$P319)/($I$5-A318)</f>
        <v>902.8053347</v>
      </c>
      <c r="H319" s="82">
        <f>(O318*'AP01'!$P319)*'AP01'!$S319</f>
        <v>81.99350275</v>
      </c>
      <c r="I319" s="82">
        <f>'AP01'!$Q319*0.00899%</f>
        <v>40.73305943</v>
      </c>
      <c r="J319" s="51">
        <f t="shared" si="136"/>
        <v>25</v>
      </c>
      <c r="K319" s="51">
        <f t="shared" ref="K319:L319" si="360">K318</f>
        <v>0</v>
      </c>
      <c r="L319" s="51">
        <f t="shared" si="360"/>
        <v>0</v>
      </c>
      <c r="M319" s="51">
        <f>SUM('AP01'!$F319:$L319)</f>
        <v>1472.559851</v>
      </c>
      <c r="N319" s="51">
        <f>O318*('AP01'!$P319-1)</f>
        <v>0</v>
      </c>
      <c r="O319" s="51">
        <f>(O318*'AP01'!$P319)-'AP01'!$G319</f>
        <v>49654.29341</v>
      </c>
      <c r="P319" s="53">
        <f t="shared" si="141"/>
        <v>1</v>
      </c>
      <c r="Q319" s="51">
        <f>(Q318*'AP01'!$P319)</f>
        <v>453092.9859</v>
      </c>
      <c r="R319" s="46">
        <f>DATEDIF($S$7,'AP01'!$B319,"Y")</f>
        <v>57</v>
      </c>
      <c r="S319" s="47">
        <f>VLOOKUP('AP01'!$R319,SEGUROS!$A:$B,2,TRUE)</f>
        <v>0.0016218</v>
      </c>
      <c r="T319" s="51">
        <f>('AP01'!$O319*'AP01'!$P319)*'AP01'!$S319</f>
        <v>80.52933305</v>
      </c>
      <c r="U319" s="51">
        <f>'AP01'!$Q319*0.00899%</f>
        <v>40.73305943</v>
      </c>
      <c r="V319" s="4"/>
      <c r="W319" s="4"/>
      <c r="X319" s="4"/>
      <c r="Y319" s="4"/>
      <c r="Z319" s="4"/>
    </row>
    <row r="320" ht="18.75" customHeight="1">
      <c r="A320" s="56">
        <f t="shared" si="4"/>
        <v>306</v>
      </c>
      <c r="B320" s="50">
        <f t="shared" si="8"/>
        <v>52556</v>
      </c>
      <c r="C320" s="58">
        <f t="shared" si="128"/>
        <v>0.1049</v>
      </c>
      <c r="D320" s="58">
        <f>((1+'AP01'!$C320)^(1/12))-1</f>
        <v>0.00834755088</v>
      </c>
      <c r="E320" s="51">
        <f t="shared" si="126"/>
        <v>2171.371183</v>
      </c>
      <c r="F320" s="51">
        <f>(O319*'AP01'!$P320)*'AP01'!$D320</f>
        <v>414.4917406</v>
      </c>
      <c r="G320" s="51">
        <f>(O319*'AP01'!$P320)/($I$5-A319)</f>
        <v>902.8053347</v>
      </c>
      <c r="H320" s="82">
        <f>(O319*'AP01'!$P320)*'AP01'!$S320</f>
        <v>80.52933305</v>
      </c>
      <c r="I320" s="82">
        <f>'AP01'!$Q320*0.00899%</f>
        <v>40.73305943</v>
      </c>
      <c r="J320" s="51">
        <f t="shared" si="136"/>
        <v>25</v>
      </c>
      <c r="K320" s="51">
        <f t="shared" ref="K320:L320" si="361">K319</f>
        <v>0</v>
      </c>
      <c r="L320" s="51">
        <f t="shared" si="361"/>
        <v>0</v>
      </c>
      <c r="M320" s="51">
        <f>SUM('AP01'!$F320:$L320)</f>
        <v>1463.559468</v>
      </c>
      <c r="N320" s="51">
        <f>O319*('AP01'!$P320-1)</f>
        <v>0</v>
      </c>
      <c r="O320" s="51">
        <f>(O319*'AP01'!$P320)-'AP01'!$G320</f>
        <v>48751.48808</v>
      </c>
      <c r="P320" s="53">
        <f t="shared" si="141"/>
        <v>1</v>
      </c>
      <c r="Q320" s="51">
        <f>(Q319*'AP01'!$P320)</f>
        <v>453092.9859</v>
      </c>
      <c r="R320" s="46">
        <f>DATEDIF($S$7,'AP01'!$B320,"Y")</f>
        <v>57</v>
      </c>
      <c r="S320" s="47">
        <f>VLOOKUP('AP01'!$R320,SEGUROS!$A:$B,2,TRUE)</f>
        <v>0.0016218</v>
      </c>
      <c r="T320" s="51">
        <f>('AP01'!$O320*'AP01'!$P320)*'AP01'!$S320</f>
        <v>79.06516336</v>
      </c>
      <c r="U320" s="51">
        <f>'AP01'!$Q320*0.00899%</f>
        <v>40.73305943</v>
      </c>
      <c r="V320" s="4"/>
      <c r="W320" s="4"/>
      <c r="X320" s="4"/>
      <c r="Y320" s="4"/>
      <c r="Z320" s="4"/>
    </row>
    <row r="321" ht="18.75" customHeight="1">
      <c r="A321" s="56">
        <f t="shared" si="4"/>
        <v>307</v>
      </c>
      <c r="B321" s="50">
        <f t="shared" si="8"/>
        <v>52586</v>
      </c>
      <c r="C321" s="58">
        <f t="shared" si="128"/>
        <v>0.1049</v>
      </c>
      <c r="D321" s="58">
        <f>((1+'AP01'!$C321)^(1/12))-1</f>
        <v>0.00834755088</v>
      </c>
      <c r="E321" s="51">
        <f t="shared" si="126"/>
        <v>2171.371183</v>
      </c>
      <c r="F321" s="51">
        <f>(O320*'AP01'!$P321)*'AP01'!$D321</f>
        <v>406.9555272</v>
      </c>
      <c r="G321" s="51">
        <f>(O320*'AP01'!$P321)/($I$5-A320)</f>
        <v>902.8053347</v>
      </c>
      <c r="H321" s="82">
        <f>(O320*'AP01'!$P321)*'AP01'!$S321</f>
        <v>85.70999119</v>
      </c>
      <c r="I321" s="82">
        <f>'AP01'!$Q321*0.00899%</f>
        <v>40.73305943</v>
      </c>
      <c r="J321" s="51">
        <f t="shared" si="136"/>
        <v>25</v>
      </c>
      <c r="K321" s="51">
        <f t="shared" ref="K321:L321" si="362">K320</f>
        <v>0</v>
      </c>
      <c r="L321" s="51">
        <f t="shared" si="362"/>
        <v>0</v>
      </c>
      <c r="M321" s="51">
        <f>SUM('AP01'!$F321:$L321)</f>
        <v>1461.203913</v>
      </c>
      <c r="N321" s="51">
        <f>O320*('AP01'!$P321-1)</f>
        <v>0</v>
      </c>
      <c r="O321" s="51">
        <f>(O320*'AP01'!$P321)-'AP01'!$G321</f>
        <v>47848.68274</v>
      </c>
      <c r="P321" s="53">
        <f t="shared" si="141"/>
        <v>1</v>
      </c>
      <c r="Q321" s="51">
        <f>(Q320*'AP01'!$P321)</f>
        <v>453092.9859</v>
      </c>
      <c r="R321" s="46">
        <f>DATEDIF($S$7,'AP01'!$B321,"Y")</f>
        <v>58</v>
      </c>
      <c r="S321" s="47">
        <f>VLOOKUP('AP01'!$R321,SEGUROS!$A:$B,2,TRUE)</f>
        <v>0.0017581</v>
      </c>
      <c r="T321" s="51">
        <f>('AP01'!$O321*'AP01'!$P321)*'AP01'!$S321</f>
        <v>84.12276913</v>
      </c>
      <c r="U321" s="51">
        <f>'AP01'!$Q321*0.00899%</f>
        <v>40.73305943</v>
      </c>
      <c r="V321" s="4"/>
      <c r="W321" s="4"/>
      <c r="X321" s="4"/>
      <c r="Y321" s="4"/>
      <c r="Z321" s="4"/>
    </row>
    <row r="322" ht="18.75" customHeight="1">
      <c r="A322" s="56">
        <f t="shared" si="4"/>
        <v>308</v>
      </c>
      <c r="B322" s="50">
        <f t="shared" si="8"/>
        <v>52617</v>
      </c>
      <c r="C322" s="58">
        <f t="shared" si="128"/>
        <v>0.1049</v>
      </c>
      <c r="D322" s="58">
        <f>((1+'AP01'!$C322)^(1/12))-1</f>
        <v>0.00834755088</v>
      </c>
      <c r="E322" s="51">
        <f t="shared" si="126"/>
        <v>2171.371183</v>
      </c>
      <c r="F322" s="51">
        <f>(O321*'AP01'!$P322)*'AP01'!$D322</f>
        <v>399.4193137</v>
      </c>
      <c r="G322" s="51">
        <f>(O321*'AP01'!$P322)/($I$5-A321)</f>
        <v>902.8053347</v>
      </c>
      <c r="H322" s="82">
        <f>(O321*'AP01'!$P322)*'AP01'!$S322</f>
        <v>84.12276913</v>
      </c>
      <c r="I322" s="82">
        <f>'AP01'!$Q322*0.00899%</f>
        <v>40.73305943</v>
      </c>
      <c r="J322" s="51">
        <f t="shared" si="136"/>
        <v>25</v>
      </c>
      <c r="K322" s="51">
        <f t="shared" ref="K322:L322" si="363">K321</f>
        <v>0</v>
      </c>
      <c r="L322" s="51">
        <f t="shared" si="363"/>
        <v>0</v>
      </c>
      <c r="M322" s="51">
        <f>SUM('AP01'!$F322:$L322)</f>
        <v>1452.080477</v>
      </c>
      <c r="N322" s="51">
        <f>O321*('AP01'!$P322-1)</f>
        <v>0</v>
      </c>
      <c r="O322" s="51">
        <f>(O321*'AP01'!$P322)-'AP01'!$G322</f>
        <v>46945.87741</v>
      </c>
      <c r="P322" s="53">
        <f t="shared" si="141"/>
        <v>1</v>
      </c>
      <c r="Q322" s="51">
        <f>(Q321*'AP01'!$P322)</f>
        <v>453092.9859</v>
      </c>
      <c r="R322" s="46">
        <f>DATEDIF($S$7,'AP01'!$B322,"Y")</f>
        <v>58</v>
      </c>
      <c r="S322" s="47">
        <f>VLOOKUP('AP01'!$R322,SEGUROS!$A:$B,2,TRUE)</f>
        <v>0.0017581</v>
      </c>
      <c r="T322" s="51">
        <f>('AP01'!$O322*'AP01'!$P322)*'AP01'!$S322</f>
        <v>82.53554707</v>
      </c>
      <c r="U322" s="51">
        <f>'AP01'!$Q322*0.00899%</f>
        <v>40.73305943</v>
      </c>
      <c r="V322" s="4"/>
      <c r="W322" s="4"/>
      <c r="X322" s="4"/>
      <c r="Y322" s="4"/>
      <c r="Z322" s="4"/>
    </row>
    <row r="323" ht="18.75" customHeight="1">
      <c r="A323" s="56">
        <f t="shared" si="4"/>
        <v>309</v>
      </c>
      <c r="B323" s="50">
        <f t="shared" si="8"/>
        <v>52648</v>
      </c>
      <c r="C323" s="58">
        <f t="shared" si="128"/>
        <v>0.1049</v>
      </c>
      <c r="D323" s="58">
        <f>((1+'AP01'!$C323)^(1/12))-1</f>
        <v>0.00834755088</v>
      </c>
      <c r="E323" s="51">
        <f t="shared" si="126"/>
        <v>2171.371183</v>
      </c>
      <c r="F323" s="51">
        <f>(O322*'AP01'!$P323)*'AP01'!$D323</f>
        <v>391.8831002</v>
      </c>
      <c r="G323" s="51">
        <f>(O322*'AP01'!$P323)/($I$5-A322)</f>
        <v>902.8053347</v>
      </c>
      <c r="H323" s="82">
        <f>(O322*'AP01'!$P323)*'AP01'!$S323</f>
        <v>82.53554707</v>
      </c>
      <c r="I323" s="82">
        <f>'AP01'!$Q323*0.00899%</f>
        <v>40.73305943</v>
      </c>
      <c r="J323" s="51">
        <f t="shared" si="136"/>
        <v>25</v>
      </c>
      <c r="K323" s="51">
        <f t="shared" ref="K323:L323" si="364">K322</f>
        <v>0</v>
      </c>
      <c r="L323" s="51">
        <f t="shared" si="364"/>
        <v>0</v>
      </c>
      <c r="M323" s="51">
        <f>SUM('AP01'!$F323:$L323)</f>
        <v>1442.957041</v>
      </c>
      <c r="N323" s="51">
        <f>O322*('AP01'!$P323-1)</f>
        <v>0</v>
      </c>
      <c r="O323" s="51">
        <f>(O322*'AP01'!$P323)-'AP01'!$G323</f>
        <v>46043.07207</v>
      </c>
      <c r="P323" s="53">
        <f t="shared" si="141"/>
        <v>1</v>
      </c>
      <c r="Q323" s="51">
        <f>(Q322*'AP01'!$P323)</f>
        <v>453092.9859</v>
      </c>
      <c r="R323" s="46">
        <f>DATEDIF($S$7,'AP01'!$B323,"Y")</f>
        <v>58</v>
      </c>
      <c r="S323" s="47">
        <f>VLOOKUP('AP01'!$R323,SEGUROS!$A:$B,2,TRUE)</f>
        <v>0.0017581</v>
      </c>
      <c r="T323" s="51">
        <f>('AP01'!$O323*'AP01'!$P323)*'AP01'!$S323</f>
        <v>80.94832501</v>
      </c>
      <c r="U323" s="51">
        <f>'AP01'!$Q323*0.00899%</f>
        <v>40.73305943</v>
      </c>
      <c r="V323" s="4"/>
      <c r="W323" s="4"/>
      <c r="X323" s="4"/>
      <c r="Y323" s="4"/>
      <c r="Z323" s="4"/>
    </row>
    <row r="324" ht="18.75" customHeight="1">
      <c r="A324" s="56">
        <f t="shared" si="4"/>
        <v>310</v>
      </c>
      <c r="B324" s="50">
        <f t="shared" si="8"/>
        <v>52677</v>
      </c>
      <c r="C324" s="58">
        <f t="shared" si="128"/>
        <v>0.1049</v>
      </c>
      <c r="D324" s="58">
        <f>((1+'AP01'!$C324)^(1/12))-1</f>
        <v>0.00834755088</v>
      </c>
      <c r="E324" s="51">
        <f t="shared" si="126"/>
        <v>2171.371183</v>
      </c>
      <c r="F324" s="51">
        <f>(O323*'AP01'!$P324)*'AP01'!$D324</f>
        <v>384.3468868</v>
      </c>
      <c r="G324" s="51">
        <f>(O323*'AP01'!$P324)/($I$5-A323)</f>
        <v>902.8053347</v>
      </c>
      <c r="H324" s="82">
        <f>(O323*'AP01'!$P324)*'AP01'!$S324</f>
        <v>80.94832501</v>
      </c>
      <c r="I324" s="82">
        <f>'AP01'!$Q324*0.00899%</f>
        <v>40.73305943</v>
      </c>
      <c r="J324" s="51">
        <f t="shared" si="136"/>
        <v>25</v>
      </c>
      <c r="K324" s="51">
        <f t="shared" ref="K324:L324" si="365">K323</f>
        <v>0</v>
      </c>
      <c r="L324" s="51">
        <f t="shared" si="365"/>
        <v>0</v>
      </c>
      <c r="M324" s="51">
        <f>SUM('AP01'!$F324:$L324)</f>
        <v>1433.833606</v>
      </c>
      <c r="N324" s="51">
        <f>O323*('AP01'!$P324-1)</f>
        <v>0</v>
      </c>
      <c r="O324" s="51">
        <f>(O323*'AP01'!$P324)-'AP01'!$G324</f>
        <v>45140.26674</v>
      </c>
      <c r="P324" s="53">
        <f t="shared" si="141"/>
        <v>1</v>
      </c>
      <c r="Q324" s="51">
        <f>(Q323*'AP01'!$P324)</f>
        <v>453092.9859</v>
      </c>
      <c r="R324" s="46">
        <f>DATEDIF($S$7,'AP01'!$B324,"Y")</f>
        <v>58</v>
      </c>
      <c r="S324" s="47">
        <f>VLOOKUP('AP01'!$R324,SEGUROS!$A:$B,2,TRUE)</f>
        <v>0.0017581</v>
      </c>
      <c r="T324" s="51">
        <f>('AP01'!$O324*'AP01'!$P324)*'AP01'!$S324</f>
        <v>79.36110295</v>
      </c>
      <c r="U324" s="51">
        <f>'AP01'!$Q324*0.00899%</f>
        <v>40.73305943</v>
      </c>
      <c r="V324" s="4"/>
      <c r="W324" s="4"/>
      <c r="X324" s="4"/>
      <c r="Y324" s="4"/>
      <c r="Z324" s="4"/>
    </row>
    <row r="325" ht="18.75" customHeight="1">
      <c r="A325" s="56">
        <f t="shared" si="4"/>
        <v>311</v>
      </c>
      <c r="B325" s="50">
        <f t="shared" si="8"/>
        <v>52708</v>
      </c>
      <c r="C325" s="58">
        <f t="shared" si="128"/>
        <v>0.1049</v>
      </c>
      <c r="D325" s="58">
        <f>((1+'AP01'!$C325)^(1/12))-1</f>
        <v>0.00834755088</v>
      </c>
      <c r="E325" s="51">
        <f t="shared" si="126"/>
        <v>2171.371183</v>
      </c>
      <c r="F325" s="51">
        <f>(O324*'AP01'!$P325)*'AP01'!$D325</f>
        <v>376.8106733</v>
      </c>
      <c r="G325" s="51">
        <f>(O324*'AP01'!$P325)/($I$5-A324)</f>
        <v>902.8053347</v>
      </c>
      <c r="H325" s="82">
        <f>(O324*'AP01'!$P325)*'AP01'!$S325</f>
        <v>79.36110295</v>
      </c>
      <c r="I325" s="82">
        <f>'AP01'!$Q325*0.00899%</f>
        <v>40.73305943</v>
      </c>
      <c r="J325" s="51">
        <f t="shared" si="136"/>
        <v>25</v>
      </c>
      <c r="K325" s="51">
        <f t="shared" ref="K325:L325" si="366">K324</f>
        <v>0</v>
      </c>
      <c r="L325" s="51">
        <f t="shared" si="366"/>
        <v>0</v>
      </c>
      <c r="M325" s="51">
        <f>SUM('AP01'!$F325:$L325)</f>
        <v>1424.71017</v>
      </c>
      <c r="N325" s="51">
        <f>O324*('AP01'!$P325-1)</f>
        <v>0</v>
      </c>
      <c r="O325" s="51">
        <f>(O324*'AP01'!$P325)-'AP01'!$G325</f>
        <v>44237.4614</v>
      </c>
      <c r="P325" s="53">
        <f t="shared" si="141"/>
        <v>1</v>
      </c>
      <c r="Q325" s="51">
        <f>(Q324*'AP01'!$P325)</f>
        <v>453092.9859</v>
      </c>
      <c r="R325" s="46">
        <f>DATEDIF($S$7,'AP01'!$B325,"Y")</f>
        <v>58</v>
      </c>
      <c r="S325" s="47">
        <f>VLOOKUP('AP01'!$R325,SEGUROS!$A:$B,2,TRUE)</f>
        <v>0.0017581</v>
      </c>
      <c r="T325" s="51">
        <f>('AP01'!$O325*'AP01'!$P325)*'AP01'!$S325</f>
        <v>77.77388089</v>
      </c>
      <c r="U325" s="51">
        <f>'AP01'!$Q325*0.00899%</f>
        <v>40.73305943</v>
      </c>
      <c r="V325" s="4"/>
      <c r="W325" s="4"/>
      <c r="X325" s="4"/>
      <c r="Y325" s="4"/>
      <c r="Z325" s="4"/>
    </row>
    <row r="326" ht="18.75" customHeight="1">
      <c r="A326" s="56">
        <f t="shared" si="4"/>
        <v>312</v>
      </c>
      <c r="B326" s="50">
        <f t="shared" si="8"/>
        <v>52738</v>
      </c>
      <c r="C326" s="58">
        <f t="shared" si="128"/>
        <v>0.1049</v>
      </c>
      <c r="D326" s="58">
        <f>((1+'AP01'!$C326)^(1/12))-1</f>
        <v>0.00834755088</v>
      </c>
      <c r="E326" s="51">
        <f t="shared" si="126"/>
        <v>2171.371183</v>
      </c>
      <c r="F326" s="51">
        <f>(O325*'AP01'!$P326)*'AP01'!$D326</f>
        <v>369.2744598</v>
      </c>
      <c r="G326" s="51">
        <f>(O325*'AP01'!$P326)/($I$5-A325)</f>
        <v>902.8053347</v>
      </c>
      <c r="H326" s="82">
        <f>(O325*'AP01'!$P326)*'AP01'!$S326</f>
        <v>77.77388089</v>
      </c>
      <c r="I326" s="82">
        <f>'AP01'!$Q326*0.00899%</f>
        <v>40.73305943</v>
      </c>
      <c r="J326" s="51">
        <f t="shared" si="136"/>
        <v>25</v>
      </c>
      <c r="K326" s="51">
        <f t="shared" ref="K326:L326" si="367">K325</f>
        <v>0</v>
      </c>
      <c r="L326" s="51">
        <f t="shared" si="367"/>
        <v>0</v>
      </c>
      <c r="M326" s="51">
        <f>SUM('AP01'!$F326:$L326)</f>
        <v>1415.586735</v>
      </c>
      <c r="N326" s="51">
        <f>O325*('AP01'!$P326-1)</f>
        <v>0</v>
      </c>
      <c r="O326" s="51">
        <f>(O325*'AP01'!$P326)-'AP01'!$G326</f>
        <v>43334.65607</v>
      </c>
      <c r="P326" s="53">
        <f t="shared" si="141"/>
        <v>1</v>
      </c>
      <c r="Q326" s="51">
        <f>(Q325*'AP01'!$P326)</f>
        <v>453092.9859</v>
      </c>
      <c r="R326" s="46">
        <f>DATEDIF($S$7,'AP01'!$B326,"Y")</f>
        <v>58</v>
      </c>
      <c r="S326" s="47">
        <f>VLOOKUP('AP01'!$R326,SEGUROS!$A:$B,2,TRUE)</f>
        <v>0.0017581</v>
      </c>
      <c r="T326" s="51">
        <f>('AP01'!$O326*'AP01'!$P326)*'AP01'!$S326</f>
        <v>76.18665883</v>
      </c>
      <c r="U326" s="51">
        <f>'AP01'!$Q326*0.00899%</f>
        <v>40.73305943</v>
      </c>
      <c r="V326" s="4"/>
      <c r="W326" s="4"/>
      <c r="X326" s="4"/>
      <c r="Y326" s="4"/>
      <c r="Z326" s="4"/>
    </row>
    <row r="327" ht="18.75" customHeight="1">
      <c r="A327" s="56">
        <f t="shared" si="4"/>
        <v>313</v>
      </c>
      <c r="B327" s="50">
        <f t="shared" si="8"/>
        <v>52769</v>
      </c>
      <c r="C327" s="58">
        <f t="shared" si="128"/>
        <v>0.1049</v>
      </c>
      <c r="D327" s="58">
        <f>((1+'AP01'!$C327)^(1/12))-1</f>
        <v>0.00834755088</v>
      </c>
      <c r="E327" s="51">
        <f t="shared" si="126"/>
        <v>2171.371183</v>
      </c>
      <c r="F327" s="51">
        <f>(O326*'AP01'!$P327)*'AP01'!$D327</f>
        <v>361.7382464</v>
      </c>
      <c r="G327" s="51">
        <f>(O326*'AP01'!$P327)/($I$5-A326)</f>
        <v>902.8053347</v>
      </c>
      <c r="H327" s="82">
        <f>(O326*'AP01'!$P327)*'AP01'!$S327</f>
        <v>76.18665883</v>
      </c>
      <c r="I327" s="82">
        <f>'AP01'!$Q327*0.00899%</f>
        <v>40.73305943</v>
      </c>
      <c r="J327" s="51">
        <f t="shared" si="136"/>
        <v>25</v>
      </c>
      <c r="K327" s="51">
        <f t="shared" ref="K327:L327" si="368">K326</f>
        <v>0</v>
      </c>
      <c r="L327" s="51">
        <f t="shared" si="368"/>
        <v>0</v>
      </c>
      <c r="M327" s="51">
        <f>SUM('AP01'!$F327:$L327)</f>
        <v>1406.463299</v>
      </c>
      <c r="N327" s="51">
        <f>O326*('AP01'!$P327-1)</f>
        <v>0</v>
      </c>
      <c r="O327" s="51">
        <f>(O326*'AP01'!$P327)-'AP01'!$G327</f>
        <v>42431.85073</v>
      </c>
      <c r="P327" s="53">
        <f t="shared" si="141"/>
        <v>1</v>
      </c>
      <c r="Q327" s="51">
        <f>(Q326*'AP01'!$P327)</f>
        <v>453092.9859</v>
      </c>
      <c r="R327" s="46">
        <f>DATEDIF($S$7,'AP01'!$B327,"Y")</f>
        <v>58</v>
      </c>
      <c r="S327" s="47">
        <f>VLOOKUP('AP01'!$R327,SEGUROS!$A:$B,2,TRUE)</f>
        <v>0.0017581</v>
      </c>
      <c r="T327" s="51">
        <f>('AP01'!$O327*'AP01'!$P327)*'AP01'!$S327</f>
        <v>74.59943677</v>
      </c>
      <c r="U327" s="51">
        <f>'AP01'!$Q327*0.00899%</f>
        <v>40.73305943</v>
      </c>
      <c r="V327" s="4"/>
      <c r="W327" s="4"/>
      <c r="X327" s="4"/>
      <c r="Y327" s="4"/>
      <c r="Z327" s="4"/>
    </row>
    <row r="328" ht="18.75" customHeight="1">
      <c r="A328" s="56">
        <f t="shared" si="4"/>
        <v>314</v>
      </c>
      <c r="B328" s="50">
        <f t="shared" si="8"/>
        <v>52799</v>
      </c>
      <c r="C328" s="58">
        <f t="shared" si="128"/>
        <v>0.1049</v>
      </c>
      <c r="D328" s="58">
        <f>((1+'AP01'!$C328)^(1/12))-1</f>
        <v>0.00834755088</v>
      </c>
      <c r="E328" s="51">
        <f t="shared" si="126"/>
        <v>2171.371183</v>
      </c>
      <c r="F328" s="51">
        <f>(O327*'AP01'!$P328)*'AP01'!$D328</f>
        <v>354.2020329</v>
      </c>
      <c r="G328" s="51">
        <f>(O327*'AP01'!$P328)/($I$5-A327)</f>
        <v>902.8053347</v>
      </c>
      <c r="H328" s="82">
        <f>(O327*'AP01'!$P328)*'AP01'!$S328</f>
        <v>74.59943677</v>
      </c>
      <c r="I328" s="82">
        <f>'AP01'!$Q328*0.00899%</f>
        <v>40.73305943</v>
      </c>
      <c r="J328" s="51">
        <f t="shared" si="136"/>
        <v>25</v>
      </c>
      <c r="K328" s="51">
        <f t="shared" ref="K328:L328" si="369">K327</f>
        <v>0</v>
      </c>
      <c r="L328" s="51">
        <f t="shared" si="369"/>
        <v>0</v>
      </c>
      <c r="M328" s="51">
        <f>SUM('AP01'!$F328:$L328)</f>
        <v>1397.339864</v>
      </c>
      <c r="N328" s="51">
        <f>O327*('AP01'!$P328-1)</f>
        <v>0</v>
      </c>
      <c r="O328" s="51">
        <f>(O327*'AP01'!$P328)-'AP01'!$G328</f>
        <v>41529.0454</v>
      </c>
      <c r="P328" s="53">
        <f t="shared" si="141"/>
        <v>1</v>
      </c>
      <c r="Q328" s="51">
        <f>(Q327*'AP01'!$P328)</f>
        <v>453092.9859</v>
      </c>
      <c r="R328" s="46">
        <f>DATEDIF($S$7,'AP01'!$B328,"Y")</f>
        <v>58</v>
      </c>
      <c r="S328" s="47">
        <f>VLOOKUP('AP01'!$R328,SEGUROS!$A:$B,2,TRUE)</f>
        <v>0.0017581</v>
      </c>
      <c r="T328" s="51">
        <f>('AP01'!$O328*'AP01'!$P328)*'AP01'!$S328</f>
        <v>73.01221471</v>
      </c>
      <c r="U328" s="51">
        <f>'AP01'!$Q328*0.00899%</f>
        <v>40.73305943</v>
      </c>
      <c r="V328" s="4"/>
      <c r="W328" s="4"/>
      <c r="X328" s="4"/>
      <c r="Y328" s="4"/>
      <c r="Z328" s="4"/>
    </row>
    <row r="329" ht="18.75" customHeight="1">
      <c r="A329" s="56">
        <f t="shared" si="4"/>
        <v>315</v>
      </c>
      <c r="B329" s="50">
        <f t="shared" si="8"/>
        <v>52830</v>
      </c>
      <c r="C329" s="58">
        <f t="shared" si="128"/>
        <v>0.1049</v>
      </c>
      <c r="D329" s="58">
        <f>((1+'AP01'!$C329)^(1/12))-1</f>
        <v>0.00834755088</v>
      </c>
      <c r="E329" s="51">
        <f t="shared" si="126"/>
        <v>2171.371183</v>
      </c>
      <c r="F329" s="51">
        <f>(O328*'AP01'!$P329)*'AP01'!$D329</f>
        <v>346.6658195</v>
      </c>
      <c r="G329" s="51">
        <f>(O328*'AP01'!$P329)/($I$5-A328)</f>
        <v>902.8053347</v>
      </c>
      <c r="H329" s="82">
        <f>(O328*'AP01'!$P329)*'AP01'!$S329</f>
        <v>73.01221471</v>
      </c>
      <c r="I329" s="82">
        <f>'AP01'!$Q329*0.00899%</f>
        <v>40.73305943</v>
      </c>
      <c r="J329" s="51">
        <f t="shared" si="136"/>
        <v>25</v>
      </c>
      <c r="K329" s="51">
        <f t="shared" ref="K329:L329" si="370">K328</f>
        <v>0</v>
      </c>
      <c r="L329" s="51">
        <f t="shared" si="370"/>
        <v>0</v>
      </c>
      <c r="M329" s="51">
        <f>SUM('AP01'!$F329:$L329)</f>
        <v>1388.216428</v>
      </c>
      <c r="N329" s="51">
        <f>O328*('AP01'!$P329-1)</f>
        <v>0</v>
      </c>
      <c r="O329" s="51">
        <f>(O328*'AP01'!$P329)-'AP01'!$G329</f>
        <v>40626.24006</v>
      </c>
      <c r="P329" s="53">
        <f t="shared" si="141"/>
        <v>1</v>
      </c>
      <c r="Q329" s="51">
        <f>(Q328*'AP01'!$P329)</f>
        <v>453092.9859</v>
      </c>
      <c r="R329" s="46">
        <f>DATEDIF($S$7,'AP01'!$B329,"Y")</f>
        <v>58</v>
      </c>
      <c r="S329" s="47">
        <f>VLOOKUP('AP01'!$R329,SEGUROS!$A:$B,2,TRUE)</f>
        <v>0.0017581</v>
      </c>
      <c r="T329" s="51">
        <f>('AP01'!$O329*'AP01'!$P329)*'AP01'!$S329</f>
        <v>71.42499266</v>
      </c>
      <c r="U329" s="51">
        <f>'AP01'!$Q329*0.00899%</f>
        <v>40.73305943</v>
      </c>
      <c r="V329" s="4"/>
      <c r="W329" s="4"/>
      <c r="X329" s="4"/>
      <c r="Y329" s="4"/>
      <c r="Z329" s="4"/>
    </row>
    <row r="330" ht="18.75" customHeight="1">
      <c r="A330" s="56">
        <f t="shared" si="4"/>
        <v>316</v>
      </c>
      <c r="B330" s="50">
        <f t="shared" si="8"/>
        <v>52861</v>
      </c>
      <c r="C330" s="58">
        <f t="shared" si="128"/>
        <v>0.1049</v>
      </c>
      <c r="D330" s="58">
        <f>((1+'AP01'!$C330)^(1/12))-1</f>
        <v>0.00834755088</v>
      </c>
      <c r="E330" s="51">
        <f t="shared" si="126"/>
        <v>2171.371183</v>
      </c>
      <c r="F330" s="51">
        <f>(O329*'AP01'!$P330)*'AP01'!$D330</f>
        <v>339.129606</v>
      </c>
      <c r="G330" s="51">
        <f>(O329*'AP01'!$P330)/($I$5-A329)</f>
        <v>902.8053347</v>
      </c>
      <c r="H330" s="82">
        <f>(O329*'AP01'!$P330)*'AP01'!$S330</f>
        <v>71.42499266</v>
      </c>
      <c r="I330" s="82">
        <f>'AP01'!$Q330*0.00899%</f>
        <v>40.73305943</v>
      </c>
      <c r="J330" s="51">
        <f t="shared" si="136"/>
        <v>25</v>
      </c>
      <c r="K330" s="51">
        <f t="shared" ref="K330:L330" si="371">K329</f>
        <v>0</v>
      </c>
      <c r="L330" s="51">
        <f t="shared" si="371"/>
        <v>0</v>
      </c>
      <c r="M330" s="51">
        <f>SUM('AP01'!$F330:$L330)</f>
        <v>1379.092993</v>
      </c>
      <c r="N330" s="51">
        <f>O329*('AP01'!$P330-1)</f>
        <v>0</v>
      </c>
      <c r="O330" s="51">
        <f>(O329*'AP01'!$P330)-'AP01'!$G330</f>
        <v>39723.43473</v>
      </c>
      <c r="P330" s="53">
        <f t="shared" si="141"/>
        <v>1</v>
      </c>
      <c r="Q330" s="51">
        <f>(Q329*'AP01'!$P330)</f>
        <v>453092.9859</v>
      </c>
      <c r="R330" s="46">
        <f>DATEDIF($S$7,'AP01'!$B330,"Y")</f>
        <v>58</v>
      </c>
      <c r="S330" s="47">
        <f>VLOOKUP('AP01'!$R330,SEGUROS!$A:$B,2,TRUE)</f>
        <v>0.0017581</v>
      </c>
      <c r="T330" s="51">
        <f>('AP01'!$O330*'AP01'!$P330)*'AP01'!$S330</f>
        <v>69.8377706</v>
      </c>
      <c r="U330" s="51">
        <f>'AP01'!$Q330*0.00899%</f>
        <v>40.73305943</v>
      </c>
      <c r="V330" s="4"/>
      <c r="W330" s="4"/>
      <c r="X330" s="4"/>
      <c r="Y330" s="4"/>
      <c r="Z330" s="4"/>
    </row>
    <row r="331" ht="18.75" customHeight="1">
      <c r="A331" s="56">
        <f t="shared" si="4"/>
        <v>317</v>
      </c>
      <c r="B331" s="50">
        <f t="shared" si="8"/>
        <v>52891</v>
      </c>
      <c r="C331" s="58">
        <f t="shared" si="128"/>
        <v>0.1049</v>
      </c>
      <c r="D331" s="58">
        <f>((1+'AP01'!$C331)^(1/12))-1</f>
        <v>0.00834755088</v>
      </c>
      <c r="E331" s="51">
        <f t="shared" si="126"/>
        <v>2171.371183</v>
      </c>
      <c r="F331" s="51">
        <f>(O330*'AP01'!$P331)*'AP01'!$D331</f>
        <v>331.5933925</v>
      </c>
      <c r="G331" s="51">
        <f>(O330*'AP01'!$P331)/($I$5-A330)</f>
        <v>902.8053347</v>
      </c>
      <c r="H331" s="82">
        <f>(O330*'AP01'!$P331)*'AP01'!$S331</f>
        <v>69.8377706</v>
      </c>
      <c r="I331" s="82">
        <f>'AP01'!$Q331*0.00899%</f>
        <v>40.73305943</v>
      </c>
      <c r="J331" s="51">
        <f t="shared" si="136"/>
        <v>25</v>
      </c>
      <c r="K331" s="51">
        <f t="shared" ref="K331:L331" si="372">K330</f>
        <v>0</v>
      </c>
      <c r="L331" s="51">
        <f t="shared" si="372"/>
        <v>0</v>
      </c>
      <c r="M331" s="51">
        <f>SUM('AP01'!$F331:$L331)</f>
        <v>1369.969557</v>
      </c>
      <c r="N331" s="51">
        <f>O330*('AP01'!$P331-1)</f>
        <v>0</v>
      </c>
      <c r="O331" s="51">
        <f>(O330*'AP01'!$P331)-'AP01'!$G331</f>
        <v>38820.62939</v>
      </c>
      <c r="P331" s="53">
        <f t="shared" si="141"/>
        <v>1</v>
      </c>
      <c r="Q331" s="51">
        <f>(Q330*'AP01'!$P331)</f>
        <v>453092.9859</v>
      </c>
      <c r="R331" s="46">
        <f>DATEDIF($S$7,'AP01'!$B331,"Y")</f>
        <v>58</v>
      </c>
      <c r="S331" s="47">
        <f>VLOOKUP('AP01'!$R331,SEGUROS!$A:$B,2,TRUE)</f>
        <v>0.0017581</v>
      </c>
      <c r="T331" s="51">
        <f>('AP01'!$O331*'AP01'!$P331)*'AP01'!$S331</f>
        <v>68.25054854</v>
      </c>
      <c r="U331" s="51">
        <f>'AP01'!$Q331*0.00899%</f>
        <v>40.73305943</v>
      </c>
      <c r="V331" s="4"/>
      <c r="W331" s="4"/>
      <c r="X331" s="4"/>
      <c r="Y331" s="4"/>
      <c r="Z331" s="4"/>
    </row>
    <row r="332" ht="18.75" customHeight="1">
      <c r="A332" s="56">
        <f t="shared" si="4"/>
        <v>318</v>
      </c>
      <c r="B332" s="50">
        <f t="shared" si="8"/>
        <v>52922</v>
      </c>
      <c r="C332" s="58">
        <f t="shared" si="128"/>
        <v>0.1049</v>
      </c>
      <c r="D332" s="58">
        <f>((1+'AP01'!$C332)^(1/12))-1</f>
        <v>0.00834755088</v>
      </c>
      <c r="E332" s="51">
        <f t="shared" si="126"/>
        <v>2171.371183</v>
      </c>
      <c r="F332" s="51">
        <f>(O331*'AP01'!$P332)*'AP01'!$D332</f>
        <v>324.0571791</v>
      </c>
      <c r="G332" s="51">
        <f>(O331*'AP01'!$P332)/($I$5-A331)</f>
        <v>902.8053347</v>
      </c>
      <c r="H332" s="82">
        <f>(O331*'AP01'!$P332)*'AP01'!$S332</f>
        <v>68.25054854</v>
      </c>
      <c r="I332" s="82">
        <f>'AP01'!$Q332*0.00899%</f>
        <v>40.73305943</v>
      </c>
      <c r="J332" s="51">
        <f t="shared" si="136"/>
        <v>25</v>
      </c>
      <c r="K332" s="51">
        <f t="shared" ref="K332:L332" si="373">K331</f>
        <v>0</v>
      </c>
      <c r="L332" s="51">
        <f t="shared" si="373"/>
        <v>0</v>
      </c>
      <c r="M332" s="51">
        <f>SUM('AP01'!$F332:$L332)</f>
        <v>1360.846122</v>
      </c>
      <c r="N332" s="51">
        <f>O331*('AP01'!$P332-1)</f>
        <v>0</v>
      </c>
      <c r="O332" s="51">
        <f>(O331*'AP01'!$P332)-'AP01'!$G332</f>
        <v>37917.82406</v>
      </c>
      <c r="P332" s="53">
        <f t="shared" si="141"/>
        <v>1</v>
      </c>
      <c r="Q332" s="51">
        <f>(Q331*'AP01'!$P332)</f>
        <v>453092.9859</v>
      </c>
      <c r="R332" s="46">
        <f>DATEDIF($S$7,'AP01'!$B332,"Y")</f>
        <v>58</v>
      </c>
      <c r="S332" s="47">
        <f>VLOOKUP('AP01'!$R332,SEGUROS!$A:$B,2,TRUE)</f>
        <v>0.0017581</v>
      </c>
      <c r="T332" s="51">
        <f>('AP01'!$O332*'AP01'!$P332)*'AP01'!$S332</f>
        <v>66.66332648</v>
      </c>
      <c r="U332" s="51">
        <f>'AP01'!$Q332*0.00899%</f>
        <v>40.73305943</v>
      </c>
      <c r="V332" s="4"/>
      <c r="W332" s="4"/>
      <c r="X332" s="4"/>
      <c r="Y332" s="4"/>
      <c r="Z332" s="4"/>
    </row>
    <row r="333" ht="18.75" customHeight="1">
      <c r="A333" s="56">
        <f t="shared" si="4"/>
        <v>319</v>
      </c>
      <c r="B333" s="50">
        <f t="shared" si="8"/>
        <v>52952</v>
      </c>
      <c r="C333" s="58">
        <f t="shared" si="128"/>
        <v>0.1049</v>
      </c>
      <c r="D333" s="58">
        <f>((1+'AP01'!$C333)^(1/12))-1</f>
        <v>0.00834755088</v>
      </c>
      <c r="E333" s="51">
        <f t="shared" si="126"/>
        <v>2171.371183</v>
      </c>
      <c r="F333" s="51">
        <f>(O332*'AP01'!$P333)*'AP01'!$D333</f>
        <v>316.5209656</v>
      </c>
      <c r="G333" s="51">
        <f>(O332*'AP01'!$P333)/($I$5-A332)</f>
        <v>902.8053347</v>
      </c>
      <c r="H333" s="82">
        <f>(O332*'AP01'!$P333)*'AP01'!$S333</f>
        <v>72.41925217</v>
      </c>
      <c r="I333" s="82">
        <f>'AP01'!$Q333*0.00899%</f>
        <v>40.73305943</v>
      </c>
      <c r="J333" s="51">
        <f t="shared" si="136"/>
        <v>25</v>
      </c>
      <c r="K333" s="51">
        <f t="shared" ref="K333:L333" si="374">K332</f>
        <v>0</v>
      </c>
      <c r="L333" s="51">
        <f t="shared" si="374"/>
        <v>0</v>
      </c>
      <c r="M333" s="51">
        <f>SUM('AP01'!$F333:$L333)</f>
        <v>1357.478612</v>
      </c>
      <c r="N333" s="51">
        <f>O332*('AP01'!$P333-1)</f>
        <v>0</v>
      </c>
      <c r="O333" s="51">
        <f>(O332*'AP01'!$P333)-'AP01'!$G333</f>
        <v>37015.01872</v>
      </c>
      <c r="P333" s="53">
        <f t="shared" si="141"/>
        <v>1</v>
      </c>
      <c r="Q333" s="51">
        <f>(Q332*'AP01'!$P333)</f>
        <v>453092.9859</v>
      </c>
      <c r="R333" s="46">
        <f>DATEDIF($S$7,'AP01'!$B333,"Y")</f>
        <v>59</v>
      </c>
      <c r="S333" s="47">
        <f>VLOOKUP('AP01'!$R333,SEGUROS!$A:$B,2,TRUE)</f>
        <v>0.0019099</v>
      </c>
      <c r="T333" s="51">
        <f>('AP01'!$O333*'AP01'!$P333)*'AP01'!$S333</f>
        <v>70.69498426</v>
      </c>
      <c r="U333" s="51">
        <f>'AP01'!$Q333*0.00899%</f>
        <v>40.73305943</v>
      </c>
      <c r="V333" s="4"/>
      <c r="W333" s="4"/>
      <c r="X333" s="4"/>
      <c r="Y333" s="4"/>
      <c r="Z333" s="4"/>
    </row>
    <row r="334" ht="18.75" customHeight="1">
      <c r="A334" s="56">
        <f t="shared" si="4"/>
        <v>320</v>
      </c>
      <c r="B334" s="50">
        <f t="shared" si="8"/>
        <v>52983</v>
      </c>
      <c r="C334" s="58">
        <f t="shared" si="128"/>
        <v>0.1049</v>
      </c>
      <c r="D334" s="58">
        <f>((1+'AP01'!$C334)^(1/12))-1</f>
        <v>0.00834755088</v>
      </c>
      <c r="E334" s="51">
        <f t="shared" si="126"/>
        <v>2171.371183</v>
      </c>
      <c r="F334" s="51">
        <f>(O333*'AP01'!$P334)*'AP01'!$D334</f>
        <v>308.9847521</v>
      </c>
      <c r="G334" s="51">
        <f>(O333*'AP01'!$P334)/($I$5-A333)</f>
        <v>902.8053347</v>
      </c>
      <c r="H334" s="82">
        <f>(O333*'AP01'!$P334)*'AP01'!$S334</f>
        <v>70.69498426</v>
      </c>
      <c r="I334" s="82">
        <f>'AP01'!$Q334*0.00899%</f>
        <v>40.73305943</v>
      </c>
      <c r="J334" s="51">
        <f t="shared" si="136"/>
        <v>25</v>
      </c>
      <c r="K334" s="51">
        <f t="shared" ref="K334:L334" si="375">K333</f>
        <v>0</v>
      </c>
      <c r="L334" s="51">
        <f t="shared" si="375"/>
        <v>0</v>
      </c>
      <c r="M334" s="51">
        <f>SUM('AP01'!$F334:$L334)</f>
        <v>1348.218131</v>
      </c>
      <c r="N334" s="51">
        <f>O333*('AP01'!$P334-1)</f>
        <v>0</v>
      </c>
      <c r="O334" s="51">
        <f>(O333*'AP01'!$P334)-'AP01'!$G334</f>
        <v>36112.21339</v>
      </c>
      <c r="P334" s="53">
        <f t="shared" si="141"/>
        <v>1</v>
      </c>
      <c r="Q334" s="51">
        <f>(Q333*'AP01'!$P334)</f>
        <v>453092.9859</v>
      </c>
      <c r="R334" s="46">
        <f>DATEDIF($S$7,'AP01'!$B334,"Y")</f>
        <v>59</v>
      </c>
      <c r="S334" s="47">
        <f>VLOOKUP('AP01'!$R334,SEGUROS!$A:$B,2,TRUE)</f>
        <v>0.0019099</v>
      </c>
      <c r="T334" s="51">
        <f>('AP01'!$O334*'AP01'!$P334)*'AP01'!$S334</f>
        <v>68.97071635</v>
      </c>
      <c r="U334" s="51">
        <f>'AP01'!$Q334*0.00899%</f>
        <v>40.73305943</v>
      </c>
      <c r="V334" s="4"/>
      <c r="W334" s="4"/>
      <c r="X334" s="4"/>
      <c r="Y334" s="4"/>
      <c r="Z334" s="4"/>
    </row>
    <row r="335" ht="18.75" customHeight="1">
      <c r="A335" s="56">
        <f t="shared" si="4"/>
        <v>321</v>
      </c>
      <c r="B335" s="50">
        <f t="shared" si="8"/>
        <v>53014</v>
      </c>
      <c r="C335" s="58">
        <f t="shared" si="128"/>
        <v>0.1049</v>
      </c>
      <c r="D335" s="58">
        <f>((1+'AP01'!$C335)^(1/12))-1</f>
        <v>0.00834755088</v>
      </c>
      <c r="E335" s="51">
        <f t="shared" si="126"/>
        <v>2171.371183</v>
      </c>
      <c r="F335" s="51">
        <f>(O334*'AP01'!$P335)*'AP01'!$D335</f>
        <v>301.4485387</v>
      </c>
      <c r="G335" s="51">
        <f>(O334*'AP01'!$P335)/($I$5-A334)</f>
        <v>902.8053347</v>
      </c>
      <c r="H335" s="82">
        <f>(O334*'AP01'!$P335)*'AP01'!$S335</f>
        <v>68.97071635</v>
      </c>
      <c r="I335" s="82">
        <f>'AP01'!$Q335*0.00899%</f>
        <v>40.73305943</v>
      </c>
      <c r="J335" s="51">
        <f t="shared" si="136"/>
        <v>25</v>
      </c>
      <c r="K335" s="51">
        <f t="shared" ref="K335:L335" si="376">K334</f>
        <v>0</v>
      </c>
      <c r="L335" s="51">
        <f t="shared" si="376"/>
        <v>0</v>
      </c>
      <c r="M335" s="51">
        <f>SUM('AP01'!$F335:$L335)</f>
        <v>1338.957649</v>
      </c>
      <c r="N335" s="51">
        <f>O334*('AP01'!$P335-1)</f>
        <v>0</v>
      </c>
      <c r="O335" s="51">
        <f>(O334*'AP01'!$P335)-'AP01'!$G335</f>
        <v>35209.40805</v>
      </c>
      <c r="P335" s="53">
        <f t="shared" si="141"/>
        <v>1</v>
      </c>
      <c r="Q335" s="51">
        <f>(Q334*'AP01'!$P335)</f>
        <v>453092.9859</v>
      </c>
      <c r="R335" s="46">
        <f>DATEDIF($S$7,'AP01'!$B335,"Y")</f>
        <v>59</v>
      </c>
      <c r="S335" s="47">
        <f>VLOOKUP('AP01'!$R335,SEGUROS!$A:$B,2,TRUE)</f>
        <v>0.0019099</v>
      </c>
      <c r="T335" s="51">
        <f>('AP01'!$O335*'AP01'!$P335)*'AP01'!$S335</f>
        <v>67.24644844</v>
      </c>
      <c r="U335" s="51">
        <f>'AP01'!$Q335*0.00899%</f>
        <v>40.73305943</v>
      </c>
      <c r="V335" s="4"/>
      <c r="W335" s="4"/>
      <c r="X335" s="4"/>
      <c r="Y335" s="4"/>
      <c r="Z335" s="4"/>
    </row>
    <row r="336" ht="18.75" customHeight="1">
      <c r="A336" s="56">
        <f t="shared" si="4"/>
        <v>322</v>
      </c>
      <c r="B336" s="50">
        <f t="shared" si="8"/>
        <v>53042</v>
      </c>
      <c r="C336" s="58">
        <f t="shared" si="128"/>
        <v>0.1049</v>
      </c>
      <c r="D336" s="58">
        <f>((1+'AP01'!$C336)^(1/12))-1</f>
        <v>0.00834755088</v>
      </c>
      <c r="E336" s="51">
        <f t="shared" si="126"/>
        <v>2171.371183</v>
      </c>
      <c r="F336" s="51">
        <f>(O335*'AP01'!$P336)*'AP01'!$D336</f>
        <v>293.9123252</v>
      </c>
      <c r="G336" s="51">
        <f>(O335*'AP01'!$P336)/($I$5-A335)</f>
        <v>902.8053347</v>
      </c>
      <c r="H336" s="82">
        <f>(O335*'AP01'!$P336)*'AP01'!$S336</f>
        <v>67.24644844</v>
      </c>
      <c r="I336" s="82">
        <f>'AP01'!$Q336*0.00899%</f>
        <v>40.73305943</v>
      </c>
      <c r="J336" s="51">
        <f t="shared" si="136"/>
        <v>25</v>
      </c>
      <c r="K336" s="51">
        <f t="shared" ref="K336:L336" si="377">K335</f>
        <v>0</v>
      </c>
      <c r="L336" s="51">
        <f t="shared" si="377"/>
        <v>0</v>
      </c>
      <c r="M336" s="51">
        <f>SUM('AP01'!$F336:$L336)</f>
        <v>1329.697168</v>
      </c>
      <c r="N336" s="51">
        <f>O335*('AP01'!$P336-1)</f>
        <v>0</v>
      </c>
      <c r="O336" s="51">
        <f>(O335*'AP01'!$P336)-'AP01'!$G336</f>
        <v>34306.60272</v>
      </c>
      <c r="P336" s="53">
        <f t="shared" si="141"/>
        <v>1</v>
      </c>
      <c r="Q336" s="51">
        <f>(Q335*'AP01'!$P336)</f>
        <v>453092.9859</v>
      </c>
      <c r="R336" s="46">
        <f>DATEDIF($S$7,'AP01'!$B336,"Y")</f>
        <v>59</v>
      </c>
      <c r="S336" s="47">
        <f>VLOOKUP('AP01'!$R336,SEGUROS!$A:$B,2,TRUE)</f>
        <v>0.0019099</v>
      </c>
      <c r="T336" s="51">
        <f>('AP01'!$O336*'AP01'!$P336)*'AP01'!$S336</f>
        <v>65.52218053</v>
      </c>
      <c r="U336" s="51">
        <f>'AP01'!$Q336*0.00899%</f>
        <v>40.73305943</v>
      </c>
      <c r="V336" s="4"/>
      <c r="W336" s="4"/>
      <c r="X336" s="4"/>
      <c r="Y336" s="4"/>
      <c r="Z336" s="4"/>
    </row>
    <row r="337" ht="18.75" customHeight="1">
      <c r="A337" s="56">
        <f t="shared" si="4"/>
        <v>323</v>
      </c>
      <c r="B337" s="50">
        <f t="shared" si="8"/>
        <v>53073</v>
      </c>
      <c r="C337" s="58">
        <f t="shared" si="128"/>
        <v>0.1049</v>
      </c>
      <c r="D337" s="58">
        <f>((1+'AP01'!$C337)^(1/12))-1</f>
        <v>0.00834755088</v>
      </c>
      <c r="E337" s="51">
        <f t="shared" si="126"/>
        <v>2171.371183</v>
      </c>
      <c r="F337" s="51">
        <f>(O336*'AP01'!$P337)*'AP01'!$D337</f>
        <v>286.3761117</v>
      </c>
      <c r="G337" s="51">
        <f>(O336*'AP01'!$P337)/($I$5-A336)</f>
        <v>902.8053347</v>
      </c>
      <c r="H337" s="82">
        <f>(O336*'AP01'!$P337)*'AP01'!$S337</f>
        <v>65.52218053</v>
      </c>
      <c r="I337" s="82">
        <f>'AP01'!$Q337*0.00899%</f>
        <v>40.73305943</v>
      </c>
      <c r="J337" s="51">
        <f t="shared" si="136"/>
        <v>25</v>
      </c>
      <c r="K337" s="51">
        <f t="shared" ref="K337:L337" si="378">K336</f>
        <v>0</v>
      </c>
      <c r="L337" s="51">
        <f t="shared" si="378"/>
        <v>0</v>
      </c>
      <c r="M337" s="51">
        <f>SUM('AP01'!$F337:$L337)</f>
        <v>1320.436686</v>
      </c>
      <c r="N337" s="51">
        <f>O336*('AP01'!$P337-1)</f>
        <v>0</v>
      </c>
      <c r="O337" s="51">
        <f>(O336*'AP01'!$P337)-'AP01'!$G337</f>
        <v>33403.79739</v>
      </c>
      <c r="P337" s="53">
        <f t="shared" si="141"/>
        <v>1</v>
      </c>
      <c r="Q337" s="51">
        <f>(Q336*'AP01'!$P337)</f>
        <v>453092.9859</v>
      </c>
      <c r="R337" s="46">
        <f>DATEDIF($S$7,'AP01'!$B337,"Y")</f>
        <v>59</v>
      </c>
      <c r="S337" s="47">
        <f>VLOOKUP('AP01'!$R337,SEGUROS!$A:$B,2,TRUE)</f>
        <v>0.0019099</v>
      </c>
      <c r="T337" s="51">
        <f>('AP01'!$O337*'AP01'!$P337)*'AP01'!$S337</f>
        <v>63.79791263</v>
      </c>
      <c r="U337" s="51">
        <f>'AP01'!$Q337*0.00899%</f>
        <v>40.73305943</v>
      </c>
      <c r="V337" s="4"/>
      <c r="W337" s="4"/>
      <c r="X337" s="4"/>
      <c r="Y337" s="4"/>
      <c r="Z337" s="4"/>
    </row>
    <row r="338" ht="18.75" customHeight="1">
      <c r="A338" s="56">
        <f t="shared" si="4"/>
        <v>324</v>
      </c>
      <c r="B338" s="50">
        <f t="shared" si="8"/>
        <v>53103</v>
      </c>
      <c r="C338" s="58">
        <f t="shared" si="128"/>
        <v>0.1049</v>
      </c>
      <c r="D338" s="58">
        <f>((1+'AP01'!$C338)^(1/12))-1</f>
        <v>0.00834755088</v>
      </c>
      <c r="E338" s="51">
        <f t="shared" si="126"/>
        <v>2171.371183</v>
      </c>
      <c r="F338" s="51">
        <f>(O337*'AP01'!$P338)*'AP01'!$D338</f>
        <v>278.8398983</v>
      </c>
      <c r="G338" s="51">
        <f>(O337*'AP01'!$P338)/($I$5-A337)</f>
        <v>902.8053347</v>
      </c>
      <c r="H338" s="82">
        <f>(O337*'AP01'!$P338)*'AP01'!$S338</f>
        <v>63.79791263</v>
      </c>
      <c r="I338" s="82">
        <f>'AP01'!$Q338*0.00899%</f>
        <v>40.73305943</v>
      </c>
      <c r="J338" s="51">
        <f t="shared" si="136"/>
        <v>25</v>
      </c>
      <c r="K338" s="51">
        <f t="shared" ref="K338:L338" si="379">K337</f>
        <v>0</v>
      </c>
      <c r="L338" s="51">
        <f t="shared" si="379"/>
        <v>0</v>
      </c>
      <c r="M338" s="51">
        <f>SUM('AP01'!$F338:$L338)</f>
        <v>1311.176205</v>
      </c>
      <c r="N338" s="51">
        <f>O337*('AP01'!$P338-1)</f>
        <v>0</v>
      </c>
      <c r="O338" s="51">
        <f>(O337*'AP01'!$P338)-'AP01'!$G338</f>
        <v>32500.99205</v>
      </c>
      <c r="P338" s="53">
        <f t="shared" si="141"/>
        <v>1</v>
      </c>
      <c r="Q338" s="51">
        <f>(Q337*'AP01'!$P338)</f>
        <v>453092.9859</v>
      </c>
      <c r="R338" s="46">
        <f>DATEDIF($S$7,'AP01'!$B338,"Y")</f>
        <v>59</v>
      </c>
      <c r="S338" s="47">
        <f>VLOOKUP('AP01'!$R338,SEGUROS!$A:$B,2,TRUE)</f>
        <v>0.0019099</v>
      </c>
      <c r="T338" s="51">
        <f>('AP01'!$O338*'AP01'!$P338)*'AP01'!$S338</f>
        <v>62.07364472</v>
      </c>
      <c r="U338" s="51">
        <f>'AP01'!$Q338*0.00899%</f>
        <v>40.73305943</v>
      </c>
      <c r="V338" s="4"/>
      <c r="W338" s="4"/>
      <c r="X338" s="4"/>
      <c r="Y338" s="4"/>
      <c r="Z338" s="4"/>
    </row>
    <row r="339" ht="18.75" customHeight="1">
      <c r="A339" s="56">
        <f t="shared" si="4"/>
        <v>325</v>
      </c>
      <c r="B339" s="50">
        <f t="shared" si="8"/>
        <v>53134</v>
      </c>
      <c r="C339" s="58">
        <f t="shared" si="128"/>
        <v>0.1049</v>
      </c>
      <c r="D339" s="58">
        <f>((1+'AP01'!$C339)^(1/12))-1</f>
        <v>0.00834755088</v>
      </c>
      <c r="E339" s="51">
        <f t="shared" si="126"/>
        <v>2171.371183</v>
      </c>
      <c r="F339" s="51">
        <f>(O338*'AP01'!$P339)*'AP01'!$D339</f>
        <v>271.3036848</v>
      </c>
      <c r="G339" s="51">
        <f>(O338*'AP01'!$P339)/($I$5-A338)</f>
        <v>902.8053347</v>
      </c>
      <c r="H339" s="82">
        <f>(O338*'AP01'!$P339)*'AP01'!$S339</f>
        <v>62.07364472</v>
      </c>
      <c r="I339" s="82">
        <f>'AP01'!$Q339*0.00899%</f>
        <v>40.73305943</v>
      </c>
      <c r="J339" s="51">
        <f t="shared" si="136"/>
        <v>25</v>
      </c>
      <c r="K339" s="51">
        <f t="shared" ref="K339:L339" si="380">K338</f>
        <v>0</v>
      </c>
      <c r="L339" s="51">
        <f t="shared" si="380"/>
        <v>0</v>
      </c>
      <c r="M339" s="51">
        <f>SUM('AP01'!$F339:$L339)</f>
        <v>1301.915724</v>
      </c>
      <c r="N339" s="51">
        <f>O338*('AP01'!$P339-1)</f>
        <v>0</v>
      </c>
      <c r="O339" s="51">
        <f>(O338*'AP01'!$P339)-'AP01'!$G339</f>
        <v>31598.18672</v>
      </c>
      <c r="P339" s="53">
        <f t="shared" si="141"/>
        <v>1</v>
      </c>
      <c r="Q339" s="51">
        <f>(Q338*'AP01'!$P339)</f>
        <v>453092.9859</v>
      </c>
      <c r="R339" s="46">
        <f>DATEDIF($S$7,'AP01'!$B339,"Y")</f>
        <v>59</v>
      </c>
      <c r="S339" s="47">
        <f>VLOOKUP('AP01'!$R339,SEGUROS!$A:$B,2,TRUE)</f>
        <v>0.0019099</v>
      </c>
      <c r="T339" s="51">
        <f>('AP01'!$O339*'AP01'!$P339)*'AP01'!$S339</f>
        <v>60.34937681</v>
      </c>
      <c r="U339" s="51">
        <f>'AP01'!$Q339*0.00899%</f>
        <v>40.73305943</v>
      </c>
      <c r="V339" s="4"/>
      <c r="W339" s="4"/>
      <c r="X339" s="4"/>
      <c r="Y339" s="4"/>
      <c r="Z339" s="4"/>
    </row>
    <row r="340" ht="18.75" customHeight="1">
      <c r="A340" s="56">
        <f t="shared" si="4"/>
        <v>326</v>
      </c>
      <c r="B340" s="50">
        <f t="shared" si="8"/>
        <v>53164</v>
      </c>
      <c r="C340" s="58">
        <f t="shared" si="128"/>
        <v>0.1049</v>
      </c>
      <c r="D340" s="58">
        <f>((1+'AP01'!$C340)^(1/12))-1</f>
        <v>0.00834755088</v>
      </c>
      <c r="E340" s="51">
        <f t="shared" si="126"/>
        <v>2171.371183</v>
      </c>
      <c r="F340" s="51">
        <f>(O339*'AP01'!$P340)*'AP01'!$D340</f>
        <v>263.7674713</v>
      </c>
      <c r="G340" s="51">
        <f>(O339*'AP01'!$P340)/($I$5-A339)</f>
        <v>902.8053347</v>
      </c>
      <c r="H340" s="82">
        <f>(O339*'AP01'!$P340)*'AP01'!$S340</f>
        <v>60.34937681</v>
      </c>
      <c r="I340" s="82">
        <f>'AP01'!$Q340*0.00899%</f>
        <v>40.73305943</v>
      </c>
      <c r="J340" s="51">
        <f t="shared" si="136"/>
        <v>25</v>
      </c>
      <c r="K340" s="51">
        <f t="shared" ref="K340:L340" si="381">K339</f>
        <v>0</v>
      </c>
      <c r="L340" s="51">
        <f t="shared" si="381"/>
        <v>0</v>
      </c>
      <c r="M340" s="51">
        <f>SUM('AP01'!$F340:$L340)</f>
        <v>1292.655242</v>
      </c>
      <c r="N340" s="51">
        <f>O339*('AP01'!$P340-1)</f>
        <v>0</v>
      </c>
      <c r="O340" s="51">
        <f>(O339*'AP01'!$P340)-'AP01'!$G340</f>
        <v>30695.38138</v>
      </c>
      <c r="P340" s="53">
        <f t="shared" si="141"/>
        <v>1</v>
      </c>
      <c r="Q340" s="51">
        <f>(Q339*'AP01'!$P340)</f>
        <v>453092.9859</v>
      </c>
      <c r="R340" s="46">
        <f>DATEDIF($S$7,'AP01'!$B340,"Y")</f>
        <v>59</v>
      </c>
      <c r="S340" s="47">
        <f>VLOOKUP('AP01'!$R340,SEGUROS!$A:$B,2,TRUE)</f>
        <v>0.0019099</v>
      </c>
      <c r="T340" s="51">
        <f>('AP01'!$O340*'AP01'!$P340)*'AP01'!$S340</f>
        <v>58.6251089</v>
      </c>
      <c r="U340" s="51">
        <f>'AP01'!$Q340*0.00899%</f>
        <v>40.73305943</v>
      </c>
      <c r="V340" s="4"/>
      <c r="W340" s="4"/>
      <c r="X340" s="4"/>
      <c r="Y340" s="4"/>
      <c r="Z340" s="4"/>
    </row>
    <row r="341" ht="18.75" customHeight="1">
      <c r="A341" s="56">
        <f t="shared" si="4"/>
        <v>327</v>
      </c>
      <c r="B341" s="50">
        <f t="shared" si="8"/>
        <v>53195</v>
      </c>
      <c r="C341" s="58">
        <f t="shared" si="128"/>
        <v>0.1049</v>
      </c>
      <c r="D341" s="58">
        <f>((1+'AP01'!$C341)^(1/12))-1</f>
        <v>0.00834755088</v>
      </c>
      <c r="E341" s="51">
        <f t="shared" si="126"/>
        <v>2171.371183</v>
      </c>
      <c r="F341" s="51">
        <f>(O340*'AP01'!$P341)*'AP01'!$D341</f>
        <v>256.2312579</v>
      </c>
      <c r="G341" s="51">
        <f>(O340*'AP01'!$P341)/($I$5-A340)</f>
        <v>902.8053347</v>
      </c>
      <c r="H341" s="82">
        <f>(O340*'AP01'!$P341)*'AP01'!$S341</f>
        <v>58.6251089</v>
      </c>
      <c r="I341" s="82">
        <f>'AP01'!$Q341*0.00899%</f>
        <v>40.73305943</v>
      </c>
      <c r="J341" s="51">
        <f t="shared" si="136"/>
        <v>25</v>
      </c>
      <c r="K341" s="51">
        <f t="shared" ref="K341:L341" si="382">K340</f>
        <v>0</v>
      </c>
      <c r="L341" s="51">
        <f t="shared" si="382"/>
        <v>0</v>
      </c>
      <c r="M341" s="51">
        <f>SUM('AP01'!$F341:$L341)</f>
        <v>1283.394761</v>
      </c>
      <c r="N341" s="51">
        <f>O340*('AP01'!$P341-1)</f>
        <v>0</v>
      </c>
      <c r="O341" s="51">
        <f>(O340*'AP01'!$P341)-'AP01'!$G341</f>
        <v>29792.57605</v>
      </c>
      <c r="P341" s="53">
        <f t="shared" si="141"/>
        <v>1</v>
      </c>
      <c r="Q341" s="51">
        <f>(Q340*'AP01'!$P341)</f>
        <v>453092.9859</v>
      </c>
      <c r="R341" s="46">
        <f>DATEDIF($S$7,'AP01'!$B341,"Y")</f>
        <v>59</v>
      </c>
      <c r="S341" s="47">
        <f>VLOOKUP('AP01'!$R341,SEGUROS!$A:$B,2,TRUE)</f>
        <v>0.0019099</v>
      </c>
      <c r="T341" s="51">
        <f>('AP01'!$O341*'AP01'!$P341)*'AP01'!$S341</f>
        <v>56.90084099</v>
      </c>
      <c r="U341" s="51">
        <f>'AP01'!$Q341*0.00899%</f>
        <v>40.73305943</v>
      </c>
      <c r="V341" s="4"/>
      <c r="W341" s="4"/>
      <c r="X341" s="4"/>
      <c r="Y341" s="4"/>
      <c r="Z341" s="4"/>
    </row>
    <row r="342" ht="18.75" customHeight="1">
      <c r="A342" s="56">
        <f t="shared" si="4"/>
        <v>328</v>
      </c>
      <c r="B342" s="50">
        <f t="shared" si="8"/>
        <v>53226</v>
      </c>
      <c r="C342" s="58">
        <f t="shared" si="128"/>
        <v>0.1049</v>
      </c>
      <c r="D342" s="58">
        <f>((1+'AP01'!$C342)^(1/12))-1</f>
        <v>0.00834755088</v>
      </c>
      <c r="E342" s="51">
        <f t="shared" si="126"/>
        <v>2171.371183</v>
      </c>
      <c r="F342" s="51">
        <f>(O341*'AP01'!$P342)*'AP01'!$D342</f>
        <v>248.6950444</v>
      </c>
      <c r="G342" s="51">
        <f>(O341*'AP01'!$P342)/($I$5-A341)</f>
        <v>902.8053347</v>
      </c>
      <c r="H342" s="82">
        <f>(O341*'AP01'!$P342)*'AP01'!$S342</f>
        <v>56.90084099</v>
      </c>
      <c r="I342" s="82">
        <f>'AP01'!$Q342*0.00899%</f>
        <v>40.73305943</v>
      </c>
      <c r="J342" s="51">
        <f t="shared" si="136"/>
        <v>25</v>
      </c>
      <c r="K342" s="51">
        <f t="shared" ref="K342:L342" si="383">K341</f>
        <v>0</v>
      </c>
      <c r="L342" s="51">
        <f t="shared" si="383"/>
        <v>0</v>
      </c>
      <c r="M342" s="51">
        <f>SUM('AP01'!$F342:$L342)</f>
        <v>1274.13428</v>
      </c>
      <c r="N342" s="51">
        <f>O341*('AP01'!$P342-1)</f>
        <v>0</v>
      </c>
      <c r="O342" s="51">
        <f>(O341*'AP01'!$P342)-'AP01'!$G342</f>
        <v>28889.77071</v>
      </c>
      <c r="P342" s="53">
        <f t="shared" si="141"/>
        <v>1</v>
      </c>
      <c r="Q342" s="51">
        <f>(Q341*'AP01'!$P342)</f>
        <v>453092.9859</v>
      </c>
      <c r="R342" s="46">
        <f>DATEDIF($S$7,'AP01'!$B342,"Y")</f>
        <v>59</v>
      </c>
      <c r="S342" s="47">
        <f>VLOOKUP('AP01'!$R342,SEGUROS!$A:$B,2,TRUE)</f>
        <v>0.0019099</v>
      </c>
      <c r="T342" s="51">
        <f>('AP01'!$O342*'AP01'!$P342)*'AP01'!$S342</f>
        <v>55.17657308</v>
      </c>
      <c r="U342" s="51">
        <f>'AP01'!$Q342*0.00899%</f>
        <v>40.73305943</v>
      </c>
      <c r="V342" s="4"/>
      <c r="W342" s="4"/>
      <c r="X342" s="4"/>
      <c r="Y342" s="4"/>
      <c r="Z342" s="4"/>
    </row>
    <row r="343" ht="18.75" customHeight="1">
      <c r="A343" s="56">
        <f t="shared" si="4"/>
        <v>329</v>
      </c>
      <c r="B343" s="50">
        <f t="shared" si="8"/>
        <v>53256</v>
      </c>
      <c r="C343" s="58">
        <f t="shared" si="128"/>
        <v>0.1049</v>
      </c>
      <c r="D343" s="58">
        <f>((1+'AP01'!$C343)^(1/12))-1</f>
        <v>0.00834755088</v>
      </c>
      <c r="E343" s="51">
        <f t="shared" si="126"/>
        <v>2171.371183</v>
      </c>
      <c r="F343" s="51">
        <f>(O342*'AP01'!$P343)*'AP01'!$D343</f>
        <v>241.1588309</v>
      </c>
      <c r="G343" s="51">
        <f>(O342*'AP01'!$P343)/($I$5-A342)</f>
        <v>902.8053347</v>
      </c>
      <c r="H343" s="82">
        <f>(O342*'AP01'!$P343)*'AP01'!$S343</f>
        <v>55.17657308</v>
      </c>
      <c r="I343" s="82">
        <f>'AP01'!$Q343*0.00899%</f>
        <v>40.73305943</v>
      </c>
      <c r="J343" s="51">
        <f t="shared" si="136"/>
        <v>25</v>
      </c>
      <c r="K343" s="51">
        <f t="shared" ref="K343:L343" si="384">K342</f>
        <v>0</v>
      </c>
      <c r="L343" s="51">
        <f t="shared" si="384"/>
        <v>0</v>
      </c>
      <c r="M343" s="51">
        <f>SUM('AP01'!$F343:$L343)</f>
        <v>1264.873798</v>
      </c>
      <c r="N343" s="51">
        <f>O342*('AP01'!$P343-1)</f>
        <v>0</v>
      </c>
      <c r="O343" s="51">
        <f>(O342*'AP01'!$P343)-'AP01'!$G343</f>
        <v>27986.96538</v>
      </c>
      <c r="P343" s="53">
        <f t="shared" si="141"/>
        <v>1</v>
      </c>
      <c r="Q343" s="51">
        <f>(Q342*'AP01'!$P343)</f>
        <v>453092.9859</v>
      </c>
      <c r="R343" s="46">
        <f>DATEDIF($S$7,'AP01'!$B343,"Y")</f>
        <v>59</v>
      </c>
      <c r="S343" s="47">
        <f>VLOOKUP('AP01'!$R343,SEGUROS!$A:$B,2,TRUE)</f>
        <v>0.0019099</v>
      </c>
      <c r="T343" s="51">
        <f>('AP01'!$O343*'AP01'!$P343)*'AP01'!$S343</f>
        <v>53.45230517</v>
      </c>
      <c r="U343" s="51">
        <f>'AP01'!$Q343*0.00899%</f>
        <v>40.73305943</v>
      </c>
      <c r="V343" s="4"/>
      <c r="W343" s="4"/>
      <c r="X343" s="4"/>
      <c r="Y343" s="4"/>
      <c r="Z343" s="4"/>
    </row>
    <row r="344" ht="18.75" customHeight="1">
      <c r="A344" s="56">
        <f t="shared" si="4"/>
        <v>330</v>
      </c>
      <c r="B344" s="50">
        <f t="shared" si="8"/>
        <v>53287</v>
      </c>
      <c r="C344" s="58">
        <f t="shared" si="128"/>
        <v>0.1049</v>
      </c>
      <c r="D344" s="58">
        <f>((1+'AP01'!$C344)^(1/12))-1</f>
        <v>0.00834755088</v>
      </c>
      <c r="E344" s="51">
        <f t="shared" si="126"/>
        <v>2171.371183</v>
      </c>
      <c r="F344" s="51">
        <f>(O343*'AP01'!$P344)*'AP01'!$D344</f>
        <v>233.6226175</v>
      </c>
      <c r="G344" s="51">
        <f>(O343*'AP01'!$P344)/($I$5-A343)</f>
        <v>902.8053347</v>
      </c>
      <c r="H344" s="82">
        <f>(O343*'AP01'!$P344)*'AP01'!$S344</f>
        <v>53.45230517</v>
      </c>
      <c r="I344" s="82">
        <f>'AP01'!$Q344*0.00899%</f>
        <v>40.73305943</v>
      </c>
      <c r="J344" s="51">
        <f t="shared" si="136"/>
        <v>25</v>
      </c>
      <c r="K344" s="51">
        <f t="shared" ref="K344:L344" si="385">K343</f>
        <v>0</v>
      </c>
      <c r="L344" s="51">
        <f t="shared" si="385"/>
        <v>0</v>
      </c>
      <c r="M344" s="51">
        <f>SUM('AP01'!$F344:$L344)</f>
        <v>1255.613317</v>
      </c>
      <c r="N344" s="51">
        <f>O343*('AP01'!$P344-1)</f>
        <v>0</v>
      </c>
      <c r="O344" s="51">
        <f>(O343*'AP01'!$P344)-'AP01'!$G344</f>
        <v>27084.16004</v>
      </c>
      <c r="P344" s="53">
        <f t="shared" si="141"/>
        <v>1</v>
      </c>
      <c r="Q344" s="51">
        <f>(Q343*'AP01'!$P344)</f>
        <v>453092.9859</v>
      </c>
      <c r="R344" s="46">
        <f>DATEDIF($S$7,'AP01'!$B344,"Y")</f>
        <v>59</v>
      </c>
      <c r="S344" s="47">
        <f>VLOOKUP('AP01'!$R344,SEGUROS!$A:$B,2,TRUE)</f>
        <v>0.0019099</v>
      </c>
      <c r="T344" s="51">
        <f>('AP01'!$O344*'AP01'!$P344)*'AP01'!$S344</f>
        <v>51.72803726</v>
      </c>
      <c r="U344" s="51">
        <f>'AP01'!$Q344*0.00899%</f>
        <v>40.73305943</v>
      </c>
      <c r="V344" s="4"/>
      <c r="W344" s="4"/>
      <c r="X344" s="4"/>
      <c r="Y344" s="4"/>
      <c r="Z344" s="4"/>
    </row>
    <row r="345" ht="18.75" customHeight="1">
      <c r="A345" s="56">
        <f t="shared" si="4"/>
        <v>331</v>
      </c>
      <c r="B345" s="50">
        <f t="shared" si="8"/>
        <v>53317</v>
      </c>
      <c r="C345" s="58">
        <f t="shared" si="128"/>
        <v>0.1049</v>
      </c>
      <c r="D345" s="58">
        <f>((1+'AP01'!$C345)^(1/12))-1</f>
        <v>0.00834755088</v>
      </c>
      <c r="E345" s="51">
        <f t="shared" si="126"/>
        <v>2171.371183</v>
      </c>
      <c r="F345" s="51">
        <f>(O344*'AP01'!$P345)*'AP01'!$D345</f>
        <v>226.086404</v>
      </c>
      <c r="G345" s="51">
        <f>(O344*'AP01'!$P345)/($I$5-A344)</f>
        <v>902.8053347</v>
      </c>
      <c r="H345" s="82">
        <f>(O344*'AP01'!$P345)*'AP01'!$S345</f>
        <v>56.39192962</v>
      </c>
      <c r="I345" s="82">
        <f>'AP01'!$Q345*0.00899%</f>
        <v>40.73305943</v>
      </c>
      <c r="J345" s="51">
        <f t="shared" si="136"/>
        <v>25</v>
      </c>
      <c r="K345" s="51">
        <f t="shared" ref="K345:L345" si="386">K344</f>
        <v>0</v>
      </c>
      <c r="L345" s="51">
        <f t="shared" si="386"/>
        <v>0</v>
      </c>
      <c r="M345" s="51">
        <f>SUM('AP01'!$F345:$L345)</f>
        <v>1251.016728</v>
      </c>
      <c r="N345" s="51">
        <f>O344*('AP01'!$P345-1)</f>
        <v>0</v>
      </c>
      <c r="O345" s="51">
        <f>(O344*'AP01'!$P345)-'AP01'!$G345</f>
        <v>26181.35471</v>
      </c>
      <c r="P345" s="53">
        <f t="shared" si="141"/>
        <v>1</v>
      </c>
      <c r="Q345" s="51">
        <f>(Q344*'AP01'!$P345)</f>
        <v>453092.9859</v>
      </c>
      <c r="R345" s="46">
        <f>DATEDIF($S$7,'AP01'!$B345,"Y")</f>
        <v>60</v>
      </c>
      <c r="S345" s="47">
        <f>VLOOKUP('AP01'!$R345,SEGUROS!$A:$B,2,TRUE)</f>
        <v>0.0020821</v>
      </c>
      <c r="T345" s="51">
        <f>('AP01'!$O345*'AP01'!$P345)*'AP01'!$S345</f>
        <v>54.51219864</v>
      </c>
      <c r="U345" s="51">
        <f>'AP01'!$Q345*0.00899%</f>
        <v>40.73305943</v>
      </c>
      <c r="V345" s="4"/>
      <c r="W345" s="4"/>
      <c r="X345" s="4"/>
      <c r="Y345" s="4"/>
      <c r="Z345" s="4"/>
    </row>
    <row r="346" ht="18.75" customHeight="1">
      <c r="A346" s="56">
        <f t="shared" si="4"/>
        <v>332</v>
      </c>
      <c r="B346" s="50">
        <f t="shared" si="8"/>
        <v>53348</v>
      </c>
      <c r="C346" s="58">
        <f t="shared" si="128"/>
        <v>0.1049</v>
      </c>
      <c r="D346" s="58">
        <f>((1+'AP01'!$C346)^(1/12))-1</f>
        <v>0.00834755088</v>
      </c>
      <c r="E346" s="51">
        <f t="shared" si="126"/>
        <v>2171.371183</v>
      </c>
      <c r="F346" s="51">
        <f>(O345*'AP01'!$P346)*'AP01'!$D346</f>
        <v>218.5501905</v>
      </c>
      <c r="G346" s="51">
        <f>(O345*'AP01'!$P346)/($I$5-A345)</f>
        <v>902.8053347</v>
      </c>
      <c r="H346" s="82">
        <f>(O345*'AP01'!$P346)*'AP01'!$S346</f>
        <v>54.51219864</v>
      </c>
      <c r="I346" s="82">
        <f>'AP01'!$Q346*0.00899%</f>
        <v>40.73305943</v>
      </c>
      <c r="J346" s="51">
        <f t="shared" si="136"/>
        <v>25</v>
      </c>
      <c r="K346" s="51">
        <f t="shared" ref="K346:L346" si="387">K345</f>
        <v>0</v>
      </c>
      <c r="L346" s="51">
        <f t="shared" si="387"/>
        <v>0</v>
      </c>
      <c r="M346" s="51">
        <f>SUM('AP01'!$F346:$L346)</f>
        <v>1241.600783</v>
      </c>
      <c r="N346" s="51">
        <f>O345*('AP01'!$P346-1)</f>
        <v>0</v>
      </c>
      <c r="O346" s="51">
        <f>(O345*'AP01'!$P346)-'AP01'!$G346</f>
        <v>25278.54937</v>
      </c>
      <c r="P346" s="53">
        <f t="shared" si="141"/>
        <v>1</v>
      </c>
      <c r="Q346" s="51">
        <f>(Q345*'AP01'!$P346)</f>
        <v>453092.9859</v>
      </c>
      <c r="R346" s="46">
        <f>DATEDIF($S$7,'AP01'!$B346,"Y")</f>
        <v>60</v>
      </c>
      <c r="S346" s="47">
        <f>VLOOKUP('AP01'!$R346,SEGUROS!$A:$B,2,TRUE)</f>
        <v>0.0020821</v>
      </c>
      <c r="T346" s="51">
        <f>('AP01'!$O346*'AP01'!$P346)*'AP01'!$S346</f>
        <v>52.63246765</v>
      </c>
      <c r="U346" s="51">
        <f>'AP01'!$Q346*0.00899%</f>
        <v>40.73305943</v>
      </c>
      <c r="V346" s="4"/>
      <c r="W346" s="4"/>
      <c r="X346" s="4"/>
      <c r="Y346" s="4"/>
      <c r="Z346" s="4"/>
    </row>
    <row r="347" ht="18.75" customHeight="1">
      <c r="A347" s="56">
        <f t="shared" si="4"/>
        <v>333</v>
      </c>
      <c r="B347" s="50">
        <f t="shared" si="8"/>
        <v>53379</v>
      </c>
      <c r="C347" s="58">
        <f t="shared" si="128"/>
        <v>0.1049</v>
      </c>
      <c r="D347" s="58">
        <f>((1+'AP01'!$C347)^(1/12))-1</f>
        <v>0.00834755088</v>
      </c>
      <c r="E347" s="51">
        <f t="shared" si="126"/>
        <v>2171.371183</v>
      </c>
      <c r="F347" s="51">
        <f>(O346*'AP01'!$P347)*'AP01'!$D347</f>
        <v>211.0139771</v>
      </c>
      <c r="G347" s="51">
        <f>(O346*'AP01'!$P347)/($I$5-A346)</f>
        <v>902.8053347</v>
      </c>
      <c r="H347" s="82">
        <f>(O346*'AP01'!$P347)*'AP01'!$S347</f>
        <v>52.63246765</v>
      </c>
      <c r="I347" s="82">
        <f>'AP01'!$Q347*0.00899%</f>
        <v>40.73305943</v>
      </c>
      <c r="J347" s="51">
        <f t="shared" si="136"/>
        <v>25</v>
      </c>
      <c r="K347" s="51">
        <f t="shared" ref="K347:L347" si="388">K346</f>
        <v>0</v>
      </c>
      <c r="L347" s="51">
        <f t="shared" si="388"/>
        <v>0</v>
      </c>
      <c r="M347" s="51">
        <f>SUM('AP01'!$F347:$L347)</f>
        <v>1232.184839</v>
      </c>
      <c r="N347" s="51">
        <f>O346*('AP01'!$P347-1)</f>
        <v>0</v>
      </c>
      <c r="O347" s="51">
        <f>(O346*'AP01'!$P347)-'AP01'!$G347</f>
        <v>24375.74404</v>
      </c>
      <c r="P347" s="53">
        <f t="shared" si="141"/>
        <v>1</v>
      </c>
      <c r="Q347" s="51">
        <f>(Q346*'AP01'!$P347)</f>
        <v>453092.9859</v>
      </c>
      <c r="R347" s="46">
        <f>DATEDIF($S$7,'AP01'!$B347,"Y")</f>
        <v>60</v>
      </c>
      <c r="S347" s="47">
        <f>VLOOKUP('AP01'!$R347,SEGUROS!$A:$B,2,TRUE)</f>
        <v>0.0020821</v>
      </c>
      <c r="T347" s="51">
        <f>('AP01'!$O347*'AP01'!$P347)*'AP01'!$S347</f>
        <v>50.75273666</v>
      </c>
      <c r="U347" s="51">
        <f>'AP01'!$Q347*0.00899%</f>
        <v>40.73305943</v>
      </c>
      <c r="V347" s="4"/>
      <c r="W347" s="4"/>
      <c r="X347" s="4"/>
      <c r="Y347" s="4"/>
      <c r="Z347" s="4"/>
    </row>
    <row r="348" ht="18.75" customHeight="1">
      <c r="A348" s="56">
        <f t="shared" si="4"/>
        <v>334</v>
      </c>
      <c r="B348" s="50">
        <f t="shared" si="8"/>
        <v>53407</v>
      </c>
      <c r="C348" s="58">
        <f t="shared" si="128"/>
        <v>0.1049</v>
      </c>
      <c r="D348" s="58">
        <f>((1+'AP01'!$C348)^(1/12))-1</f>
        <v>0.00834755088</v>
      </c>
      <c r="E348" s="51">
        <f t="shared" si="126"/>
        <v>2171.371183</v>
      </c>
      <c r="F348" s="51">
        <f>(O347*'AP01'!$P348)*'AP01'!$D348</f>
        <v>203.4777636</v>
      </c>
      <c r="G348" s="51">
        <f>(O347*'AP01'!$P348)/($I$5-A347)</f>
        <v>902.8053347</v>
      </c>
      <c r="H348" s="82">
        <f>(O347*'AP01'!$P348)*'AP01'!$S348</f>
        <v>50.75273666</v>
      </c>
      <c r="I348" s="82">
        <f>'AP01'!$Q348*0.00899%</f>
        <v>40.73305943</v>
      </c>
      <c r="J348" s="51">
        <f t="shared" si="136"/>
        <v>25</v>
      </c>
      <c r="K348" s="51">
        <f t="shared" ref="K348:L348" si="389">K347</f>
        <v>0</v>
      </c>
      <c r="L348" s="51">
        <f t="shared" si="389"/>
        <v>0</v>
      </c>
      <c r="M348" s="51">
        <f>SUM('AP01'!$F348:$L348)</f>
        <v>1222.768894</v>
      </c>
      <c r="N348" s="51">
        <f>O347*('AP01'!$P348-1)</f>
        <v>0</v>
      </c>
      <c r="O348" s="51">
        <f>(O347*'AP01'!$P348)-'AP01'!$G348</f>
        <v>23472.9387</v>
      </c>
      <c r="P348" s="53">
        <f t="shared" si="141"/>
        <v>1</v>
      </c>
      <c r="Q348" s="51">
        <f>(Q347*'AP01'!$P348)</f>
        <v>453092.9859</v>
      </c>
      <c r="R348" s="46">
        <f>DATEDIF($S$7,'AP01'!$B348,"Y")</f>
        <v>60</v>
      </c>
      <c r="S348" s="47">
        <f>VLOOKUP('AP01'!$R348,SEGUROS!$A:$B,2,TRUE)</f>
        <v>0.0020821</v>
      </c>
      <c r="T348" s="51">
        <f>('AP01'!$O348*'AP01'!$P348)*'AP01'!$S348</f>
        <v>48.87300567</v>
      </c>
      <c r="U348" s="51">
        <f>'AP01'!$Q348*0.00899%</f>
        <v>40.73305943</v>
      </c>
      <c r="V348" s="4"/>
      <c r="W348" s="4"/>
      <c r="X348" s="4"/>
      <c r="Y348" s="4"/>
      <c r="Z348" s="4"/>
    </row>
    <row r="349" ht="18.75" customHeight="1">
      <c r="A349" s="56">
        <f t="shared" si="4"/>
        <v>335</v>
      </c>
      <c r="B349" s="50">
        <f t="shared" si="8"/>
        <v>53438</v>
      </c>
      <c r="C349" s="58">
        <f t="shared" si="128"/>
        <v>0.1049</v>
      </c>
      <c r="D349" s="58">
        <f>((1+'AP01'!$C349)^(1/12))-1</f>
        <v>0.00834755088</v>
      </c>
      <c r="E349" s="51">
        <f t="shared" si="126"/>
        <v>2171.371183</v>
      </c>
      <c r="F349" s="51">
        <f>(O348*'AP01'!$P349)*'AP01'!$D349</f>
        <v>195.9415501</v>
      </c>
      <c r="G349" s="51">
        <f>(O348*'AP01'!$P349)/($I$5-A348)</f>
        <v>902.8053347</v>
      </c>
      <c r="H349" s="82">
        <f>(O348*'AP01'!$P349)*'AP01'!$S349</f>
        <v>48.87300567</v>
      </c>
      <c r="I349" s="82">
        <f>'AP01'!$Q349*0.00899%</f>
        <v>40.73305943</v>
      </c>
      <c r="J349" s="51">
        <f t="shared" si="136"/>
        <v>25</v>
      </c>
      <c r="K349" s="51">
        <f t="shared" ref="K349:L349" si="390">K348</f>
        <v>0</v>
      </c>
      <c r="L349" s="51">
        <f t="shared" si="390"/>
        <v>0</v>
      </c>
      <c r="M349" s="51">
        <f>SUM('AP01'!$F349:$L349)</f>
        <v>1213.35295</v>
      </c>
      <c r="N349" s="51">
        <f>O348*('AP01'!$P349-1)</f>
        <v>0</v>
      </c>
      <c r="O349" s="51">
        <f>(O348*'AP01'!$P349)-'AP01'!$G349</f>
        <v>22570.13337</v>
      </c>
      <c r="P349" s="53">
        <f t="shared" si="141"/>
        <v>1</v>
      </c>
      <c r="Q349" s="51">
        <f>(Q348*'AP01'!$P349)</f>
        <v>453092.9859</v>
      </c>
      <c r="R349" s="46">
        <f>DATEDIF($S$7,'AP01'!$B349,"Y")</f>
        <v>60</v>
      </c>
      <c r="S349" s="47">
        <f>VLOOKUP('AP01'!$R349,SEGUROS!$A:$B,2,TRUE)</f>
        <v>0.0020821</v>
      </c>
      <c r="T349" s="51">
        <f>('AP01'!$O349*'AP01'!$P349)*'AP01'!$S349</f>
        <v>46.99327469</v>
      </c>
      <c r="U349" s="51">
        <f>'AP01'!$Q349*0.00899%</f>
        <v>40.73305943</v>
      </c>
      <c r="V349" s="4"/>
      <c r="W349" s="4"/>
      <c r="X349" s="4"/>
      <c r="Y349" s="4"/>
      <c r="Z349" s="4"/>
    </row>
    <row r="350" ht="18.75" customHeight="1">
      <c r="A350" s="56">
        <f t="shared" si="4"/>
        <v>336</v>
      </c>
      <c r="B350" s="50">
        <f t="shared" si="8"/>
        <v>53468</v>
      </c>
      <c r="C350" s="58">
        <f t="shared" si="128"/>
        <v>0.1049</v>
      </c>
      <c r="D350" s="58">
        <f>((1+'AP01'!$C350)^(1/12))-1</f>
        <v>0.00834755088</v>
      </c>
      <c r="E350" s="51">
        <f t="shared" si="126"/>
        <v>2171.371183</v>
      </c>
      <c r="F350" s="51">
        <f>(O349*'AP01'!$P350)*'AP01'!$D350</f>
        <v>188.4053367</v>
      </c>
      <c r="G350" s="51">
        <f>(O349*'AP01'!$P350)/($I$5-A349)</f>
        <v>902.8053347</v>
      </c>
      <c r="H350" s="82">
        <f>(O349*'AP01'!$P350)*'AP01'!$S350</f>
        <v>46.99327469</v>
      </c>
      <c r="I350" s="82">
        <f>'AP01'!$Q350*0.00899%</f>
        <v>40.73305943</v>
      </c>
      <c r="J350" s="51">
        <f t="shared" si="136"/>
        <v>25</v>
      </c>
      <c r="K350" s="51">
        <f t="shared" ref="K350:L350" si="391">K349</f>
        <v>0</v>
      </c>
      <c r="L350" s="51">
        <f t="shared" si="391"/>
        <v>0</v>
      </c>
      <c r="M350" s="51">
        <f>SUM('AP01'!$F350:$L350)</f>
        <v>1203.937006</v>
      </c>
      <c r="N350" s="51">
        <f>O349*('AP01'!$P350-1)</f>
        <v>0</v>
      </c>
      <c r="O350" s="51">
        <f>(O349*'AP01'!$P350)-'AP01'!$G350</f>
        <v>21667.32803</v>
      </c>
      <c r="P350" s="53">
        <f t="shared" si="141"/>
        <v>1</v>
      </c>
      <c r="Q350" s="51">
        <f>(Q349*'AP01'!$P350)</f>
        <v>453092.9859</v>
      </c>
      <c r="R350" s="46">
        <f>DATEDIF($S$7,'AP01'!$B350,"Y")</f>
        <v>60</v>
      </c>
      <c r="S350" s="47">
        <f>VLOOKUP('AP01'!$R350,SEGUROS!$A:$B,2,TRUE)</f>
        <v>0.0020821</v>
      </c>
      <c r="T350" s="51">
        <f>('AP01'!$O350*'AP01'!$P350)*'AP01'!$S350</f>
        <v>45.1135437</v>
      </c>
      <c r="U350" s="51">
        <f>'AP01'!$Q350*0.00899%</f>
        <v>40.73305943</v>
      </c>
      <c r="V350" s="4"/>
      <c r="W350" s="4"/>
      <c r="X350" s="4"/>
      <c r="Y350" s="4"/>
      <c r="Z350" s="4"/>
    </row>
    <row r="351" ht="18.75" customHeight="1">
      <c r="A351" s="56">
        <f t="shared" si="4"/>
        <v>337</v>
      </c>
      <c r="B351" s="50">
        <f t="shared" si="8"/>
        <v>53499</v>
      </c>
      <c r="C351" s="58">
        <f t="shared" si="128"/>
        <v>0.1049</v>
      </c>
      <c r="D351" s="58">
        <f>((1+'AP01'!$C351)^(1/12))-1</f>
        <v>0.00834755088</v>
      </c>
      <c r="E351" s="51">
        <f t="shared" si="126"/>
        <v>2171.371183</v>
      </c>
      <c r="F351" s="51">
        <f>(O350*'AP01'!$P351)*'AP01'!$D351</f>
        <v>180.8691232</v>
      </c>
      <c r="G351" s="51">
        <f>(O350*'AP01'!$P351)/($I$5-A350)</f>
        <v>902.8053347</v>
      </c>
      <c r="H351" s="82">
        <f>(O350*'AP01'!$P351)*'AP01'!$S351</f>
        <v>45.1135437</v>
      </c>
      <c r="I351" s="82">
        <f>'AP01'!$Q351*0.00899%</f>
        <v>40.73305943</v>
      </c>
      <c r="J351" s="51">
        <f t="shared" si="136"/>
        <v>25</v>
      </c>
      <c r="K351" s="51">
        <f t="shared" ref="K351:L351" si="392">K350</f>
        <v>0</v>
      </c>
      <c r="L351" s="51">
        <f t="shared" si="392"/>
        <v>0</v>
      </c>
      <c r="M351" s="51">
        <f>SUM('AP01'!$F351:$L351)</f>
        <v>1194.521061</v>
      </c>
      <c r="N351" s="51">
        <f>O350*('AP01'!$P351-1)</f>
        <v>0</v>
      </c>
      <c r="O351" s="51">
        <f>(O350*'AP01'!$P351)-'AP01'!$G351</f>
        <v>20764.5227</v>
      </c>
      <c r="P351" s="53">
        <f t="shared" si="141"/>
        <v>1</v>
      </c>
      <c r="Q351" s="51">
        <f>(Q350*'AP01'!$P351)</f>
        <v>453092.9859</v>
      </c>
      <c r="R351" s="46">
        <f>DATEDIF($S$7,'AP01'!$B351,"Y")</f>
        <v>60</v>
      </c>
      <c r="S351" s="47">
        <f>VLOOKUP('AP01'!$R351,SEGUROS!$A:$B,2,TRUE)</f>
        <v>0.0020821</v>
      </c>
      <c r="T351" s="51">
        <f>('AP01'!$O351*'AP01'!$P351)*'AP01'!$S351</f>
        <v>43.23381271</v>
      </c>
      <c r="U351" s="51">
        <f>'AP01'!$Q351*0.00899%</f>
        <v>40.73305943</v>
      </c>
      <c r="V351" s="4"/>
      <c r="W351" s="4"/>
      <c r="X351" s="4"/>
      <c r="Y351" s="4"/>
      <c r="Z351" s="4"/>
    </row>
    <row r="352" ht="18.75" customHeight="1">
      <c r="A352" s="56">
        <f t="shared" si="4"/>
        <v>338</v>
      </c>
      <c r="B352" s="50">
        <f t="shared" si="8"/>
        <v>53529</v>
      </c>
      <c r="C352" s="58">
        <f t="shared" si="128"/>
        <v>0.1049</v>
      </c>
      <c r="D352" s="58">
        <f>((1+'AP01'!$C352)^(1/12))-1</f>
        <v>0.00834755088</v>
      </c>
      <c r="E352" s="51">
        <f t="shared" si="126"/>
        <v>2171.371183</v>
      </c>
      <c r="F352" s="51">
        <f>(O351*'AP01'!$P352)*'AP01'!$D352</f>
        <v>173.3329097</v>
      </c>
      <c r="G352" s="51">
        <f>(O351*'AP01'!$P352)/($I$5-A351)</f>
        <v>902.8053347</v>
      </c>
      <c r="H352" s="82">
        <f>(O351*'AP01'!$P352)*'AP01'!$S352</f>
        <v>43.23381271</v>
      </c>
      <c r="I352" s="82">
        <f>'AP01'!$Q352*0.00899%</f>
        <v>40.73305943</v>
      </c>
      <c r="J352" s="51">
        <f t="shared" si="136"/>
        <v>25</v>
      </c>
      <c r="K352" s="51">
        <f t="shared" ref="K352:L352" si="393">K351</f>
        <v>0</v>
      </c>
      <c r="L352" s="51">
        <f t="shared" si="393"/>
        <v>0</v>
      </c>
      <c r="M352" s="51">
        <f>SUM('AP01'!$F352:$L352)</f>
        <v>1185.105117</v>
      </c>
      <c r="N352" s="51">
        <f>O351*('AP01'!$P352-1)</f>
        <v>0</v>
      </c>
      <c r="O352" s="51">
        <f>(O351*'AP01'!$P352)-'AP01'!$G352</f>
        <v>19861.71736</v>
      </c>
      <c r="P352" s="53">
        <f t="shared" si="141"/>
        <v>1</v>
      </c>
      <c r="Q352" s="51">
        <f>(Q351*'AP01'!$P352)</f>
        <v>453092.9859</v>
      </c>
      <c r="R352" s="46">
        <f>DATEDIF($S$7,'AP01'!$B352,"Y")</f>
        <v>60</v>
      </c>
      <c r="S352" s="47">
        <f>VLOOKUP('AP01'!$R352,SEGUROS!$A:$B,2,TRUE)</f>
        <v>0.0020821</v>
      </c>
      <c r="T352" s="51">
        <f>('AP01'!$O352*'AP01'!$P352)*'AP01'!$S352</f>
        <v>41.35408172</v>
      </c>
      <c r="U352" s="51">
        <f>'AP01'!$Q352*0.00899%</f>
        <v>40.73305943</v>
      </c>
      <c r="V352" s="4"/>
      <c r="W352" s="4"/>
      <c r="X352" s="4"/>
      <c r="Y352" s="4"/>
      <c r="Z352" s="4"/>
    </row>
    <row r="353" ht="18.75" customHeight="1">
      <c r="A353" s="56">
        <f t="shared" si="4"/>
        <v>339</v>
      </c>
      <c r="B353" s="50">
        <f t="shared" si="8"/>
        <v>53560</v>
      </c>
      <c r="C353" s="58">
        <f t="shared" si="128"/>
        <v>0.1049</v>
      </c>
      <c r="D353" s="58">
        <f>((1+'AP01'!$C353)^(1/12))-1</f>
        <v>0.00834755088</v>
      </c>
      <c r="E353" s="51">
        <f t="shared" si="126"/>
        <v>2171.371183</v>
      </c>
      <c r="F353" s="51">
        <f>(O352*'AP01'!$P353)*'AP01'!$D353</f>
        <v>165.7966963</v>
      </c>
      <c r="G353" s="51">
        <f>(O352*'AP01'!$P353)/($I$5-A352)</f>
        <v>902.8053347</v>
      </c>
      <c r="H353" s="82">
        <f>(O352*'AP01'!$P353)*'AP01'!$S353</f>
        <v>41.35408172</v>
      </c>
      <c r="I353" s="82">
        <f>'AP01'!$Q353*0.00899%</f>
        <v>40.73305943</v>
      </c>
      <c r="J353" s="51">
        <f t="shared" si="136"/>
        <v>25</v>
      </c>
      <c r="K353" s="51">
        <f t="shared" ref="K353:L353" si="394">K352</f>
        <v>0</v>
      </c>
      <c r="L353" s="51">
        <f t="shared" si="394"/>
        <v>0</v>
      </c>
      <c r="M353" s="51">
        <f>SUM('AP01'!$F353:$L353)</f>
        <v>1175.689172</v>
      </c>
      <c r="N353" s="51">
        <f>O352*('AP01'!$P353-1)</f>
        <v>0</v>
      </c>
      <c r="O353" s="51">
        <f>(O352*'AP01'!$P353)-'AP01'!$G353</f>
        <v>18958.91203</v>
      </c>
      <c r="P353" s="53">
        <f t="shared" si="141"/>
        <v>1</v>
      </c>
      <c r="Q353" s="51">
        <f>(Q352*'AP01'!$P353)</f>
        <v>453092.9859</v>
      </c>
      <c r="R353" s="46">
        <f>DATEDIF($S$7,'AP01'!$B353,"Y")</f>
        <v>60</v>
      </c>
      <c r="S353" s="47">
        <f>VLOOKUP('AP01'!$R353,SEGUROS!$A:$B,2,TRUE)</f>
        <v>0.0020821</v>
      </c>
      <c r="T353" s="51">
        <f>('AP01'!$O353*'AP01'!$P353)*'AP01'!$S353</f>
        <v>39.47435074</v>
      </c>
      <c r="U353" s="51">
        <f>'AP01'!$Q353*0.00899%</f>
        <v>40.73305943</v>
      </c>
      <c r="V353" s="4"/>
      <c r="W353" s="4"/>
      <c r="X353" s="4"/>
      <c r="Y353" s="4"/>
      <c r="Z353" s="4"/>
    </row>
    <row r="354" ht="18.75" customHeight="1">
      <c r="A354" s="56">
        <f t="shared" si="4"/>
        <v>340</v>
      </c>
      <c r="B354" s="50">
        <f t="shared" si="8"/>
        <v>53591</v>
      </c>
      <c r="C354" s="58">
        <f t="shared" si="128"/>
        <v>0.1049</v>
      </c>
      <c r="D354" s="58">
        <f>((1+'AP01'!$C354)^(1/12))-1</f>
        <v>0.00834755088</v>
      </c>
      <c r="E354" s="51">
        <f t="shared" si="126"/>
        <v>2171.371183</v>
      </c>
      <c r="F354" s="51">
        <f>(O353*'AP01'!$P354)*'AP01'!$D354</f>
        <v>158.2604828</v>
      </c>
      <c r="G354" s="51">
        <f>(O353*'AP01'!$P354)/($I$5-A353)</f>
        <v>902.8053347</v>
      </c>
      <c r="H354" s="82">
        <f>(O353*'AP01'!$P354)*'AP01'!$S354</f>
        <v>39.47435074</v>
      </c>
      <c r="I354" s="82">
        <f>'AP01'!$Q354*0.00899%</f>
        <v>40.73305943</v>
      </c>
      <c r="J354" s="51">
        <f t="shared" si="136"/>
        <v>25</v>
      </c>
      <c r="K354" s="51">
        <f t="shared" ref="K354:L354" si="395">K353</f>
        <v>0</v>
      </c>
      <c r="L354" s="51">
        <f t="shared" si="395"/>
        <v>0</v>
      </c>
      <c r="M354" s="51">
        <f>SUM('AP01'!$F354:$L354)</f>
        <v>1166.273228</v>
      </c>
      <c r="N354" s="51">
        <f>O353*('AP01'!$P354-1)</f>
        <v>0</v>
      </c>
      <c r="O354" s="51">
        <f>(O353*'AP01'!$P354)-'AP01'!$G354</f>
        <v>18056.10669</v>
      </c>
      <c r="P354" s="53">
        <f t="shared" si="141"/>
        <v>1</v>
      </c>
      <c r="Q354" s="51">
        <f>(Q353*'AP01'!$P354)</f>
        <v>453092.9859</v>
      </c>
      <c r="R354" s="46">
        <f>DATEDIF($S$7,'AP01'!$B354,"Y")</f>
        <v>60</v>
      </c>
      <c r="S354" s="47">
        <f>VLOOKUP('AP01'!$R354,SEGUROS!$A:$B,2,TRUE)</f>
        <v>0.0020821</v>
      </c>
      <c r="T354" s="51">
        <f>('AP01'!$O354*'AP01'!$P354)*'AP01'!$S354</f>
        <v>37.59461975</v>
      </c>
      <c r="U354" s="51">
        <f>'AP01'!$Q354*0.00899%</f>
        <v>40.73305943</v>
      </c>
      <c r="V354" s="4"/>
      <c r="W354" s="4"/>
      <c r="X354" s="4"/>
      <c r="Y354" s="4"/>
      <c r="Z354" s="4"/>
    </row>
    <row r="355" ht="18.75" customHeight="1">
      <c r="A355" s="56">
        <f t="shared" si="4"/>
        <v>341</v>
      </c>
      <c r="B355" s="50">
        <f t="shared" si="8"/>
        <v>53621</v>
      </c>
      <c r="C355" s="58">
        <f t="shared" si="128"/>
        <v>0.1049</v>
      </c>
      <c r="D355" s="58">
        <f>((1+'AP01'!$C355)^(1/12))-1</f>
        <v>0.00834755088</v>
      </c>
      <c r="E355" s="51">
        <f t="shared" si="126"/>
        <v>2171.371183</v>
      </c>
      <c r="F355" s="51">
        <f>(O354*'AP01'!$P355)*'AP01'!$D355</f>
        <v>150.7242693</v>
      </c>
      <c r="G355" s="51">
        <f>(O354*'AP01'!$P355)/($I$5-A354)</f>
        <v>902.8053347</v>
      </c>
      <c r="H355" s="82">
        <f>(O354*'AP01'!$P355)*'AP01'!$S355</f>
        <v>37.59461975</v>
      </c>
      <c r="I355" s="82">
        <f>'AP01'!$Q355*0.00899%</f>
        <v>40.73305943</v>
      </c>
      <c r="J355" s="51">
        <f t="shared" si="136"/>
        <v>25</v>
      </c>
      <c r="K355" s="51">
        <f t="shared" ref="K355:L355" si="396">K354</f>
        <v>0</v>
      </c>
      <c r="L355" s="51">
        <f t="shared" si="396"/>
        <v>0</v>
      </c>
      <c r="M355" s="51">
        <f>SUM('AP01'!$F355:$L355)</f>
        <v>1156.857283</v>
      </c>
      <c r="N355" s="51">
        <f>O354*('AP01'!$P355-1)</f>
        <v>0</v>
      </c>
      <c r="O355" s="51">
        <f>(O354*'AP01'!$P355)-'AP01'!$G355</f>
        <v>17153.30136</v>
      </c>
      <c r="P355" s="53">
        <f t="shared" si="141"/>
        <v>1</v>
      </c>
      <c r="Q355" s="51">
        <f>(Q354*'AP01'!$P355)</f>
        <v>453092.9859</v>
      </c>
      <c r="R355" s="46">
        <f>DATEDIF($S$7,'AP01'!$B355,"Y")</f>
        <v>60</v>
      </c>
      <c r="S355" s="47">
        <f>VLOOKUP('AP01'!$R355,SEGUROS!$A:$B,2,TRUE)</f>
        <v>0.0020821</v>
      </c>
      <c r="T355" s="51">
        <f>('AP01'!$O355*'AP01'!$P355)*'AP01'!$S355</f>
        <v>35.71488876</v>
      </c>
      <c r="U355" s="51">
        <f>'AP01'!$Q355*0.00899%</f>
        <v>40.73305943</v>
      </c>
      <c r="V355" s="4"/>
      <c r="W355" s="4"/>
      <c r="X355" s="4"/>
      <c r="Y355" s="4"/>
      <c r="Z355" s="4"/>
    </row>
    <row r="356" ht="18.75" customHeight="1">
      <c r="A356" s="56">
        <f t="shared" si="4"/>
        <v>342</v>
      </c>
      <c r="B356" s="50">
        <f t="shared" si="8"/>
        <v>53652</v>
      </c>
      <c r="C356" s="58">
        <f t="shared" si="128"/>
        <v>0.1049</v>
      </c>
      <c r="D356" s="58">
        <f>((1+'AP01'!$C356)^(1/12))-1</f>
        <v>0.00834755088</v>
      </c>
      <c r="E356" s="51">
        <f t="shared" si="126"/>
        <v>2171.371183</v>
      </c>
      <c r="F356" s="51">
        <f>(O355*'AP01'!$P356)*'AP01'!$D356</f>
        <v>143.1880559</v>
      </c>
      <c r="G356" s="51">
        <f>(O355*'AP01'!$P356)/($I$5-A355)</f>
        <v>902.8053347</v>
      </c>
      <c r="H356" s="82">
        <f>(O355*'AP01'!$P356)*'AP01'!$S356</f>
        <v>35.71488876</v>
      </c>
      <c r="I356" s="82">
        <f>'AP01'!$Q356*0.00899%</f>
        <v>40.73305943</v>
      </c>
      <c r="J356" s="51">
        <f t="shared" si="136"/>
        <v>25</v>
      </c>
      <c r="K356" s="51">
        <f t="shared" ref="K356:L356" si="397">K355</f>
        <v>0</v>
      </c>
      <c r="L356" s="51">
        <f t="shared" si="397"/>
        <v>0</v>
      </c>
      <c r="M356" s="51">
        <f>SUM('AP01'!$F356:$L356)</f>
        <v>1147.441339</v>
      </c>
      <c r="N356" s="51">
        <f>O355*('AP01'!$P356-1)</f>
        <v>0</v>
      </c>
      <c r="O356" s="51">
        <f>(O355*'AP01'!$P356)-'AP01'!$G356</f>
        <v>16250.49603</v>
      </c>
      <c r="P356" s="53">
        <f t="shared" si="141"/>
        <v>1</v>
      </c>
      <c r="Q356" s="51">
        <f>(Q355*'AP01'!$P356)</f>
        <v>453092.9859</v>
      </c>
      <c r="R356" s="46">
        <f>DATEDIF($S$7,'AP01'!$B356,"Y")</f>
        <v>60</v>
      </c>
      <c r="S356" s="47">
        <f>VLOOKUP('AP01'!$R356,SEGUROS!$A:$B,2,TRUE)</f>
        <v>0.0020821</v>
      </c>
      <c r="T356" s="51">
        <f>('AP01'!$O356*'AP01'!$P356)*'AP01'!$S356</f>
        <v>33.83515777</v>
      </c>
      <c r="U356" s="51">
        <f>'AP01'!$Q356*0.00899%</f>
        <v>40.73305943</v>
      </c>
      <c r="V356" s="4"/>
      <c r="W356" s="4"/>
      <c r="X356" s="4"/>
      <c r="Y356" s="4"/>
      <c r="Z356" s="4"/>
    </row>
    <row r="357" ht="18.75" customHeight="1">
      <c r="A357" s="56">
        <f t="shared" si="4"/>
        <v>343</v>
      </c>
      <c r="B357" s="50">
        <f t="shared" si="8"/>
        <v>53682</v>
      </c>
      <c r="C357" s="58">
        <f t="shared" si="128"/>
        <v>0.1049</v>
      </c>
      <c r="D357" s="58">
        <f>((1+'AP01'!$C357)^(1/12))-1</f>
        <v>0.00834755088</v>
      </c>
      <c r="E357" s="51">
        <f t="shared" si="126"/>
        <v>2171.371183</v>
      </c>
      <c r="F357" s="51">
        <f>(O356*'AP01'!$P357)*'AP01'!$D357</f>
        <v>135.6518424</v>
      </c>
      <c r="G357" s="51">
        <f>(O356*'AP01'!$P357)/($I$5-A356)</f>
        <v>902.8053347</v>
      </c>
      <c r="H357" s="82">
        <f>(O356*'AP01'!$P357)*'AP01'!$S357</f>
        <v>44.87249467</v>
      </c>
      <c r="I357" s="82">
        <f>'AP01'!$Q357*0.00899%</f>
        <v>40.73305943</v>
      </c>
      <c r="J357" s="51">
        <f t="shared" si="136"/>
        <v>25</v>
      </c>
      <c r="K357" s="51">
        <f t="shared" ref="K357:L357" si="398">K356</f>
        <v>0</v>
      </c>
      <c r="L357" s="51">
        <f t="shared" si="398"/>
        <v>0</v>
      </c>
      <c r="M357" s="51">
        <f>SUM('AP01'!$F357:$L357)</f>
        <v>1149.062731</v>
      </c>
      <c r="N357" s="51">
        <f>O356*('AP01'!$P357-1)</f>
        <v>0</v>
      </c>
      <c r="O357" s="51">
        <f>(O356*'AP01'!$P357)-'AP01'!$G357</f>
        <v>15347.69069</v>
      </c>
      <c r="P357" s="53">
        <f t="shared" si="141"/>
        <v>1</v>
      </c>
      <c r="Q357" s="51">
        <f>(Q356*'AP01'!$P357)</f>
        <v>453092.9859</v>
      </c>
      <c r="R357" s="46">
        <f>DATEDIF($S$7,'AP01'!$B357,"Y")</f>
        <v>61</v>
      </c>
      <c r="S357" s="47">
        <f>VLOOKUP('AP01'!$R357,SEGUROS!$A:$B,2,TRUE)</f>
        <v>0.0027613</v>
      </c>
      <c r="T357" s="51">
        <f>('AP01'!$O357*'AP01'!$P357)*'AP01'!$S357</f>
        <v>42.3795783</v>
      </c>
      <c r="U357" s="51">
        <f>'AP01'!$Q357*0.00899%</f>
        <v>40.73305943</v>
      </c>
      <c r="V357" s="4"/>
      <c r="W357" s="4"/>
      <c r="X357" s="4"/>
      <c r="Y357" s="4"/>
      <c r="Z357" s="4"/>
    </row>
    <row r="358" ht="18.75" customHeight="1">
      <c r="A358" s="56">
        <f t="shared" si="4"/>
        <v>344</v>
      </c>
      <c r="B358" s="50">
        <f t="shared" si="8"/>
        <v>53713</v>
      </c>
      <c r="C358" s="58">
        <f t="shared" si="128"/>
        <v>0.1049</v>
      </c>
      <c r="D358" s="58">
        <f>((1+'AP01'!$C358)^(1/12))-1</f>
        <v>0.00834755088</v>
      </c>
      <c r="E358" s="51">
        <f t="shared" si="126"/>
        <v>2171.371183</v>
      </c>
      <c r="F358" s="51">
        <f>(O357*'AP01'!$P358)*'AP01'!$D358</f>
        <v>128.1156289</v>
      </c>
      <c r="G358" s="51">
        <f>(O357*'AP01'!$P358)/($I$5-A357)</f>
        <v>902.8053347</v>
      </c>
      <c r="H358" s="82">
        <f>(O357*'AP01'!$P358)*'AP01'!$S358</f>
        <v>42.3795783</v>
      </c>
      <c r="I358" s="82">
        <f>'AP01'!$Q358*0.00899%</f>
        <v>40.73305943</v>
      </c>
      <c r="J358" s="51">
        <f t="shared" si="136"/>
        <v>25</v>
      </c>
      <c r="K358" s="51">
        <f t="shared" ref="K358:L358" si="399">K357</f>
        <v>0</v>
      </c>
      <c r="L358" s="51">
        <f t="shared" si="399"/>
        <v>0</v>
      </c>
      <c r="M358" s="51">
        <f>SUM('AP01'!$F358:$L358)</f>
        <v>1139.033601</v>
      </c>
      <c r="N358" s="51">
        <f>O357*('AP01'!$P358-1)</f>
        <v>0</v>
      </c>
      <c r="O358" s="51">
        <f>(O357*'AP01'!$P358)-'AP01'!$G358</f>
        <v>14444.88536</v>
      </c>
      <c r="P358" s="53">
        <f t="shared" si="141"/>
        <v>1</v>
      </c>
      <c r="Q358" s="51">
        <f>(Q357*'AP01'!$P358)</f>
        <v>453092.9859</v>
      </c>
      <c r="R358" s="46">
        <f>DATEDIF($S$7,'AP01'!$B358,"Y")</f>
        <v>61</v>
      </c>
      <c r="S358" s="47">
        <f>VLOOKUP('AP01'!$R358,SEGUROS!$A:$B,2,TRUE)</f>
        <v>0.0027613</v>
      </c>
      <c r="T358" s="51">
        <f>('AP01'!$O358*'AP01'!$P358)*'AP01'!$S358</f>
        <v>39.88666193</v>
      </c>
      <c r="U358" s="51">
        <f>'AP01'!$Q358*0.00899%</f>
        <v>40.73305943</v>
      </c>
      <c r="V358" s="4"/>
      <c r="W358" s="4"/>
      <c r="X358" s="4"/>
      <c r="Y358" s="4"/>
      <c r="Z358" s="4"/>
    </row>
    <row r="359" ht="18.75" customHeight="1">
      <c r="A359" s="56">
        <f t="shared" si="4"/>
        <v>345</v>
      </c>
      <c r="B359" s="50">
        <f t="shared" si="8"/>
        <v>53744</v>
      </c>
      <c r="C359" s="58">
        <f t="shared" si="128"/>
        <v>0.1049</v>
      </c>
      <c r="D359" s="58">
        <f>((1+'AP01'!$C359)^(1/12))-1</f>
        <v>0.00834755088</v>
      </c>
      <c r="E359" s="51">
        <f t="shared" si="126"/>
        <v>2171.371183</v>
      </c>
      <c r="F359" s="51">
        <f>(O358*'AP01'!$P359)*'AP01'!$D359</f>
        <v>120.5794155</v>
      </c>
      <c r="G359" s="51">
        <f>(O358*'AP01'!$P359)/($I$5-A358)</f>
        <v>902.8053347</v>
      </c>
      <c r="H359" s="82">
        <f>(O358*'AP01'!$P359)*'AP01'!$S359</f>
        <v>39.88666193</v>
      </c>
      <c r="I359" s="82">
        <f>'AP01'!$Q359*0.00899%</f>
        <v>40.73305943</v>
      </c>
      <c r="J359" s="51">
        <f t="shared" si="136"/>
        <v>25</v>
      </c>
      <c r="K359" s="51">
        <f t="shared" ref="K359:L359" si="400">K358</f>
        <v>0</v>
      </c>
      <c r="L359" s="51">
        <f t="shared" si="400"/>
        <v>0</v>
      </c>
      <c r="M359" s="51">
        <f>SUM('AP01'!$F359:$L359)</f>
        <v>1129.004472</v>
      </c>
      <c r="N359" s="51">
        <f>O358*('AP01'!$P359-1)</f>
        <v>0</v>
      </c>
      <c r="O359" s="51">
        <f>(O358*'AP01'!$P359)-'AP01'!$G359</f>
        <v>13542.08002</v>
      </c>
      <c r="P359" s="53">
        <f t="shared" si="141"/>
        <v>1</v>
      </c>
      <c r="Q359" s="51">
        <f>(Q358*'AP01'!$P359)</f>
        <v>453092.9859</v>
      </c>
      <c r="R359" s="46">
        <f>DATEDIF($S$7,'AP01'!$B359,"Y")</f>
        <v>61</v>
      </c>
      <c r="S359" s="47">
        <f>VLOOKUP('AP01'!$R359,SEGUROS!$A:$B,2,TRUE)</f>
        <v>0.0027613</v>
      </c>
      <c r="T359" s="51">
        <f>('AP01'!$O359*'AP01'!$P359)*'AP01'!$S359</f>
        <v>37.39374556</v>
      </c>
      <c r="U359" s="51">
        <f>'AP01'!$Q359*0.00899%</f>
        <v>40.73305943</v>
      </c>
      <c r="V359" s="4"/>
      <c r="W359" s="4"/>
      <c r="X359" s="4"/>
      <c r="Y359" s="4"/>
      <c r="Z359" s="4"/>
    </row>
    <row r="360" ht="18.75" customHeight="1">
      <c r="A360" s="56">
        <f t="shared" si="4"/>
        <v>346</v>
      </c>
      <c r="B360" s="50">
        <f t="shared" si="8"/>
        <v>53772</v>
      </c>
      <c r="C360" s="58">
        <f t="shared" si="128"/>
        <v>0.1049</v>
      </c>
      <c r="D360" s="58">
        <f>((1+'AP01'!$C360)^(1/12))-1</f>
        <v>0.00834755088</v>
      </c>
      <c r="E360" s="51">
        <f t="shared" si="126"/>
        <v>2171.371183</v>
      </c>
      <c r="F360" s="51">
        <f>(O359*'AP01'!$P360)*'AP01'!$D360</f>
        <v>113.043202</v>
      </c>
      <c r="G360" s="51">
        <f>(O359*'AP01'!$P360)/($I$5-A359)</f>
        <v>902.8053347</v>
      </c>
      <c r="H360" s="82">
        <f>(O359*'AP01'!$P360)*'AP01'!$S360</f>
        <v>37.39374556</v>
      </c>
      <c r="I360" s="82">
        <f>'AP01'!$Q360*0.00899%</f>
        <v>40.73305943</v>
      </c>
      <c r="J360" s="51">
        <f t="shared" si="136"/>
        <v>25</v>
      </c>
      <c r="K360" s="51">
        <f t="shared" ref="K360:L360" si="401">K359</f>
        <v>0</v>
      </c>
      <c r="L360" s="51">
        <f t="shared" si="401"/>
        <v>0</v>
      </c>
      <c r="M360" s="51">
        <f>SUM('AP01'!$F360:$L360)</f>
        <v>1118.975342</v>
      </c>
      <c r="N360" s="51">
        <f>O359*('AP01'!$P360-1)</f>
        <v>0</v>
      </c>
      <c r="O360" s="51">
        <f>(O359*'AP01'!$P360)-'AP01'!$G360</f>
        <v>12639.27469</v>
      </c>
      <c r="P360" s="53">
        <f t="shared" si="141"/>
        <v>1</v>
      </c>
      <c r="Q360" s="51">
        <f>(Q359*'AP01'!$P360)</f>
        <v>453092.9859</v>
      </c>
      <c r="R360" s="46">
        <f>DATEDIF($S$7,'AP01'!$B360,"Y")</f>
        <v>61</v>
      </c>
      <c r="S360" s="47">
        <f>VLOOKUP('AP01'!$R360,SEGUROS!$A:$B,2,TRUE)</f>
        <v>0.0027613</v>
      </c>
      <c r="T360" s="51">
        <f>('AP01'!$O360*'AP01'!$P360)*'AP01'!$S360</f>
        <v>34.90082919</v>
      </c>
      <c r="U360" s="51">
        <f>'AP01'!$Q360*0.00899%</f>
        <v>40.73305943</v>
      </c>
      <c r="V360" s="4"/>
      <c r="W360" s="4"/>
      <c r="X360" s="4"/>
      <c r="Y360" s="4"/>
      <c r="Z360" s="4"/>
    </row>
    <row r="361" ht="18.75" customHeight="1">
      <c r="A361" s="56">
        <f t="shared" si="4"/>
        <v>347</v>
      </c>
      <c r="B361" s="50">
        <f t="shared" si="8"/>
        <v>53803</v>
      </c>
      <c r="C361" s="58">
        <f t="shared" si="128"/>
        <v>0.1049</v>
      </c>
      <c r="D361" s="58">
        <f>((1+'AP01'!$C361)^(1/12))-1</f>
        <v>0.00834755088</v>
      </c>
      <c r="E361" s="51">
        <f t="shared" si="126"/>
        <v>2171.371183</v>
      </c>
      <c r="F361" s="51">
        <f>(O360*'AP01'!$P361)*'AP01'!$D361</f>
        <v>105.5069885</v>
      </c>
      <c r="G361" s="51">
        <f>(O360*'AP01'!$P361)/($I$5-A360)</f>
        <v>902.8053347</v>
      </c>
      <c r="H361" s="82">
        <f>(O360*'AP01'!$P361)*'AP01'!$S361</f>
        <v>34.90082919</v>
      </c>
      <c r="I361" s="82">
        <f>'AP01'!$Q361*0.00899%</f>
        <v>40.73305943</v>
      </c>
      <c r="J361" s="51">
        <f t="shared" si="136"/>
        <v>25</v>
      </c>
      <c r="K361" s="51">
        <f t="shared" ref="K361:L361" si="402">K360</f>
        <v>0</v>
      </c>
      <c r="L361" s="51">
        <f t="shared" si="402"/>
        <v>0</v>
      </c>
      <c r="M361" s="51">
        <f>SUM('AP01'!$F361:$L361)</f>
        <v>1108.946212</v>
      </c>
      <c r="N361" s="51">
        <f>O360*('AP01'!$P361-1)</f>
        <v>0</v>
      </c>
      <c r="O361" s="51">
        <f>(O360*'AP01'!$P361)-'AP01'!$G361</f>
        <v>11736.46935</v>
      </c>
      <c r="P361" s="53">
        <f t="shared" si="141"/>
        <v>1</v>
      </c>
      <c r="Q361" s="51">
        <f>(Q360*'AP01'!$P361)</f>
        <v>453092.9859</v>
      </c>
      <c r="R361" s="46">
        <f>DATEDIF($S$7,'AP01'!$B361,"Y")</f>
        <v>61</v>
      </c>
      <c r="S361" s="47">
        <f>VLOOKUP('AP01'!$R361,SEGUROS!$A:$B,2,TRUE)</f>
        <v>0.0027613</v>
      </c>
      <c r="T361" s="51">
        <f>('AP01'!$O361*'AP01'!$P361)*'AP01'!$S361</f>
        <v>32.40791282</v>
      </c>
      <c r="U361" s="51">
        <f>'AP01'!$Q361*0.00899%</f>
        <v>40.73305943</v>
      </c>
      <c r="V361" s="4"/>
      <c r="W361" s="4"/>
      <c r="X361" s="4"/>
      <c r="Y361" s="4"/>
      <c r="Z361" s="4"/>
    </row>
    <row r="362" ht="18.75" customHeight="1">
      <c r="A362" s="56">
        <f t="shared" si="4"/>
        <v>348</v>
      </c>
      <c r="B362" s="50">
        <f t="shared" si="8"/>
        <v>53833</v>
      </c>
      <c r="C362" s="58">
        <f t="shared" si="128"/>
        <v>0.1049</v>
      </c>
      <c r="D362" s="58">
        <f>((1+'AP01'!$C362)^(1/12))-1</f>
        <v>0.00834755088</v>
      </c>
      <c r="E362" s="51">
        <f t="shared" si="126"/>
        <v>2171.371183</v>
      </c>
      <c r="F362" s="51">
        <f>(O361*'AP01'!$P362)*'AP01'!$D362</f>
        <v>97.97077506</v>
      </c>
      <c r="G362" s="51">
        <f>(O361*'AP01'!$P362)/($I$5-A361)</f>
        <v>902.8053347</v>
      </c>
      <c r="H362" s="82">
        <f>(O361*'AP01'!$P362)*'AP01'!$S362</f>
        <v>32.40791282</v>
      </c>
      <c r="I362" s="82">
        <f>'AP01'!$Q362*0.00899%</f>
        <v>40.73305943</v>
      </c>
      <c r="J362" s="51">
        <f t="shared" si="136"/>
        <v>25</v>
      </c>
      <c r="K362" s="51">
        <f t="shared" ref="K362:L362" si="403">K361</f>
        <v>0</v>
      </c>
      <c r="L362" s="51">
        <f t="shared" si="403"/>
        <v>0</v>
      </c>
      <c r="M362" s="51">
        <f>SUM('AP01'!$F362:$L362)</f>
        <v>1098.917082</v>
      </c>
      <c r="N362" s="51">
        <f>O361*('AP01'!$P362-1)</f>
        <v>0</v>
      </c>
      <c r="O362" s="51">
        <f>(O361*'AP01'!$P362)-'AP01'!$G362</f>
        <v>10833.66402</v>
      </c>
      <c r="P362" s="53">
        <f t="shared" si="141"/>
        <v>1</v>
      </c>
      <c r="Q362" s="51">
        <f>(Q361*'AP01'!$P362)</f>
        <v>453092.9859</v>
      </c>
      <c r="R362" s="46">
        <f>DATEDIF($S$7,'AP01'!$B362,"Y")</f>
        <v>61</v>
      </c>
      <c r="S362" s="47">
        <f>VLOOKUP('AP01'!$R362,SEGUROS!$A:$B,2,TRUE)</f>
        <v>0.0027613</v>
      </c>
      <c r="T362" s="51">
        <f>('AP01'!$O362*'AP01'!$P362)*'AP01'!$S362</f>
        <v>29.91499645</v>
      </c>
      <c r="U362" s="51">
        <f>'AP01'!$Q362*0.00899%</f>
        <v>40.73305943</v>
      </c>
      <c r="V362" s="4"/>
      <c r="W362" s="4"/>
      <c r="X362" s="4"/>
      <c r="Y362" s="4"/>
      <c r="Z362" s="4"/>
    </row>
    <row r="363" ht="18.75" customHeight="1">
      <c r="A363" s="56">
        <f t="shared" si="4"/>
        <v>349</v>
      </c>
      <c r="B363" s="50">
        <f t="shared" si="8"/>
        <v>53864</v>
      </c>
      <c r="C363" s="58">
        <f t="shared" si="128"/>
        <v>0.1049</v>
      </c>
      <c r="D363" s="58">
        <f>((1+'AP01'!$C363)^(1/12))-1</f>
        <v>0.00834755088</v>
      </c>
      <c r="E363" s="51">
        <f t="shared" si="126"/>
        <v>2171.371183</v>
      </c>
      <c r="F363" s="51">
        <f>(O362*'AP01'!$P363)*'AP01'!$D363</f>
        <v>90.4345616</v>
      </c>
      <c r="G363" s="51">
        <f>(O362*'AP01'!$P363)/($I$5-A362)</f>
        <v>902.8053347</v>
      </c>
      <c r="H363" s="82">
        <f>(O362*'AP01'!$P363)*'AP01'!$S363</f>
        <v>29.91499645</v>
      </c>
      <c r="I363" s="82">
        <f>'AP01'!$Q363*0.00899%</f>
        <v>40.73305943</v>
      </c>
      <c r="J363" s="51">
        <f t="shared" si="136"/>
        <v>25</v>
      </c>
      <c r="K363" s="51">
        <f t="shared" ref="K363:L363" si="404">K362</f>
        <v>0</v>
      </c>
      <c r="L363" s="51">
        <f t="shared" si="404"/>
        <v>0</v>
      </c>
      <c r="M363" s="51">
        <f>SUM('AP01'!$F363:$L363)</f>
        <v>1088.887952</v>
      </c>
      <c r="N363" s="51">
        <f>O362*('AP01'!$P363-1)</f>
        <v>0</v>
      </c>
      <c r="O363" s="51">
        <f>(O362*'AP01'!$P363)-'AP01'!$G363</f>
        <v>9930.858682</v>
      </c>
      <c r="P363" s="53">
        <f t="shared" si="141"/>
        <v>1</v>
      </c>
      <c r="Q363" s="51">
        <f>(Q362*'AP01'!$P363)</f>
        <v>453092.9859</v>
      </c>
      <c r="R363" s="46">
        <f>DATEDIF($S$7,'AP01'!$B363,"Y")</f>
        <v>61</v>
      </c>
      <c r="S363" s="47">
        <f>VLOOKUP('AP01'!$R363,SEGUROS!$A:$B,2,TRUE)</f>
        <v>0.0027613</v>
      </c>
      <c r="T363" s="51">
        <f>('AP01'!$O363*'AP01'!$P363)*'AP01'!$S363</f>
        <v>27.42208008</v>
      </c>
      <c r="U363" s="51">
        <f>'AP01'!$Q363*0.00899%</f>
        <v>40.73305943</v>
      </c>
      <c r="V363" s="4"/>
      <c r="W363" s="4"/>
      <c r="X363" s="4"/>
      <c r="Y363" s="4"/>
      <c r="Z363" s="4"/>
    </row>
    <row r="364" ht="18.75" customHeight="1">
      <c r="A364" s="56">
        <f t="shared" si="4"/>
        <v>350</v>
      </c>
      <c r="B364" s="50">
        <f t="shared" si="8"/>
        <v>53894</v>
      </c>
      <c r="C364" s="58">
        <f t="shared" si="128"/>
        <v>0.1049</v>
      </c>
      <c r="D364" s="58">
        <f>((1+'AP01'!$C364)^(1/12))-1</f>
        <v>0.00834755088</v>
      </c>
      <c r="E364" s="51">
        <f t="shared" si="126"/>
        <v>2171.371183</v>
      </c>
      <c r="F364" s="51">
        <f>(O363*'AP01'!$P364)*'AP01'!$D364</f>
        <v>82.89834813</v>
      </c>
      <c r="G364" s="51">
        <f>(O363*'AP01'!$P364)/($I$5-A363)</f>
        <v>902.8053347</v>
      </c>
      <c r="H364" s="82">
        <f>(O363*'AP01'!$P364)*'AP01'!$S364</f>
        <v>27.42208008</v>
      </c>
      <c r="I364" s="82">
        <f>'AP01'!$Q364*0.00899%</f>
        <v>40.73305943</v>
      </c>
      <c r="J364" s="51">
        <f t="shared" si="136"/>
        <v>25</v>
      </c>
      <c r="K364" s="51">
        <f t="shared" ref="K364:L364" si="405">K363</f>
        <v>0</v>
      </c>
      <c r="L364" s="51">
        <f t="shared" si="405"/>
        <v>0</v>
      </c>
      <c r="M364" s="51">
        <f>SUM('AP01'!$F364:$L364)</f>
        <v>1078.858822</v>
      </c>
      <c r="N364" s="51">
        <f>O363*('AP01'!$P364-1)</f>
        <v>0</v>
      </c>
      <c r="O364" s="51">
        <f>(O363*'AP01'!$P364)-'AP01'!$G364</f>
        <v>9028.053347</v>
      </c>
      <c r="P364" s="53">
        <f t="shared" si="141"/>
        <v>1</v>
      </c>
      <c r="Q364" s="51">
        <f>(Q363*'AP01'!$P364)</f>
        <v>453092.9859</v>
      </c>
      <c r="R364" s="46">
        <f>DATEDIF($S$7,'AP01'!$B364,"Y")</f>
        <v>61</v>
      </c>
      <c r="S364" s="47">
        <f>VLOOKUP('AP01'!$R364,SEGUROS!$A:$B,2,TRUE)</f>
        <v>0.0027613</v>
      </c>
      <c r="T364" s="51">
        <f>('AP01'!$O364*'AP01'!$P364)*'AP01'!$S364</f>
        <v>24.92916371</v>
      </c>
      <c r="U364" s="51">
        <f>'AP01'!$Q364*0.00899%</f>
        <v>40.73305943</v>
      </c>
      <c r="V364" s="4"/>
      <c r="W364" s="4"/>
      <c r="X364" s="4"/>
      <c r="Y364" s="4"/>
      <c r="Z364" s="4"/>
    </row>
    <row r="365" ht="18.75" customHeight="1">
      <c r="A365" s="56">
        <f t="shared" si="4"/>
        <v>351</v>
      </c>
      <c r="B365" s="50">
        <f t="shared" si="8"/>
        <v>53925</v>
      </c>
      <c r="C365" s="58">
        <f t="shared" si="128"/>
        <v>0.1049</v>
      </c>
      <c r="D365" s="58">
        <f>((1+'AP01'!$C365)^(1/12))-1</f>
        <v>0.00834755088</v>
      </c>
      <c r="E365" s="51">
        <f t="shared" si="126"/>
        <v>2171.371183</v>
      </c>
      <c r="F365" s="51">
        <f>(O364*'AP01'!$P365)*'AP01'!$D365</f>
        <v>75.36213466</v>
      </c>
      <c r="G365" s="51">
        <f>(O364*'AP01'!$P365)/($I$5-A364)</f>
        <v>902.8053347</v>
      </c>
      <c r="H365" s="82">
        <f>(O364*'AP01'!$P365)*'AP01'!$S365</f>
        <v>24.92916371</v>
      </c>
      <c r="I365" s="82">
        <f>'AP01'!$Q365*0.00899%</f>
        <v>40.73305943</v>
      </c>
      <c r="J365" s="51">
        <f t="shared" si="136"/>
        <v>25</v>
      </c>
      <c r="K365" s="51">
        <f t="shared" ref="K365:L365" si="406">K364</f>
        <v>0</v>
      </c>
      <c r="L365" s="51">
        <f t="shared" si="406"/>
        <v>0</v>
      </c>
      <c r="M365" s="51">
        <f>SUM('AP01'!$F365:$L365)</f>
        <v>1068.829693</v>
      </c>
      <c r="N365" s="51">
        <f>O364*('AP01'!$P365-1)</f>
        <v>0</v>
      </c>
      <c r="O365" s="51">
        <f>(O364*'AP01'!$P365)-'AP01'!$G365</f>
        <v>8125.248013</v>
      </c>
      <c r="P365" s="53">
        <f t="shared" si="141"/>
        <v>1</v>
      </c>
      <c r="Q365" s="51">
        <f>(Q364*'AP01'!$P365)</f>
        <v>453092.9859</v>
      </c>
      <c r="R365" s="46">
        <f>DATEDIF($S$7,'AP01'!$B365,"Y")</f>
        <v>61</v>
      </c>
      <c r="S365" s="47">
        <f>VLOOKUP('AP01'!$R365,SEGUROS!$A:$B,2,TRUE)</f>
        <v>0.0027613</v>
      </c>
      <c r="T365" s="51">
        <f>('AP01'!$O365*'AP01'!$P365)*'AP01'!$S365</f>
        <v>22.43624734</v>
      </c>
      <c r="U365" s="51">
        <f>'AP01'!$Q365*0.00899%</f>
        <v>40.73305943</v>
      </c>
      <c r="V365" s="4"/>
      <c r="W365" s="4"/>
      <c r="X365" s="4"/>
      <c r="Y365" s="4"/>
      <c r="Z365" s="4"/>
    </row>
    <row r="366" ht="18.75" customHeight="1">
      <c r="A366" s="56">
        <f t="shared" si="4"/>
        <v>352</v>
      </c>
      <c r="B366" s="50">
        <f t="shared" si="8"/>
        <v>53956</v>
      </c>
      <c r="C366" s="58">
        <f t="shared" si="128"/>
        <v>0.1049</v>
      </c>
      <c r="D366" s="58">
        <f>((1+'AP01'!$C366)^(1/12))-1</f>
        <v>0.00834755088</v>
      </c>
      <c r="E366" s="51">
        <f t="shared" si="126"/>
        <v>2171.371183</v>
      </c>
      <c r="F366" s="51">
        <f>(O365*'AP01'!$P366)*'AP01'!$D366</f>
        <v>67.8259212</v>
      </c>
      <c r="G366" s="51">
        <f>(O365*'AP01'!$P366)/($I$5-A365)</f>
        <v>902.8053347</v>
      </c>
      <c r="H366" s="82">
        <f>(O365*'AP01'!$P366)*'AP01'!$S366</f>
        <v>22.43624734</v>
      </c>
      <c r="I366" s="82">
        <f>'AP01'!$Q366*0.00899%</f>
        <v>40.73305943</v>
      </c>
      <c r="J366" s="51">
        <f t="shared" si="136"/>
        <v>25</v>
      </c>
      <c r="K366" s="51">
        <f t="shared" ref="K366:L366" si="407">K365</f>
        <v>0</v>
      </c>
      <c r="L366" s="51">
        <f t="shared" si="407"/>
        <v>0</v>
      </c>
      <c r="M366" s="51">
        <f>SUM('AP01'!$F366:$L366)</f>
        <v>1058.800563</v>
      </c>
      <c r="N366" s="51">
        <f>O365*('AP01'!$P366-1)</f>
        <v>0</v>
      </c>
      <c r="O366" s="51">
        <f>(O365*'AP01'!$P366)-'AP01'!$G366</f>
        <v>7222.442678</v>
      </c>
      <c r="P366" s="53">
        <f t="shared" si="141"/>
        <v>1</v>
      </c>
      <c r="Q366" s="51">
        <f>(Q365*'AP01'!$P366)</f>
        <v>453092.9859</v>
      </c>
      <c r="R366" s="46">
        <f>DATEDIF($S$7,'AP01'!$B366,"Y")</f>
        <v>61</v>
      </c>
      <c r="S366" s="47">
        <f>VLOOKUP('AP01'!$R366,SEGUROS!$A:$B,2,TRUE)</f>
        <v>0.0027613</v>
      </c>
      <c r="T366" s="51">
        <f>('AP01'!$O366*'AP01'!$P366)*'AP01'!$S366</f>
        <v>19.94333097</v>
      </c>
      <c r="U366" s="51">
        <f>'AP01'!$Q366*0.00899%</f>
        <v>40.73305943</v>
      </c>
      <c r="V366" s="4"/>
      <c r="W366" s="4"/>
      <c r="X366" s="4"/>
      <c r="Y366" s="4"/>
      <c r="Z366" s="4"/>
    </row>
    <row r="367" ht="18.75" customHeight="1">
      <c r="A367" s="56">
        <f t="shared" si="4"/>
        <v>353</v>
      </c>
      <c r="B367" s="50">
        <f t="shared" si="8"/>
        <v>53986</v>
      </c>
      <c r="C367" s="58">
        <f t="shared" si="128"/>
        <v>0.1049</v>
      </c>
      <c r="D367" s="58">
        <f>((1+'AP01'!$C367)^(1/12))-1</f>
        <v>0.00834755088</v>
      </c>
      <c r="E367" s="51">
        <f t="shared" si="126"/>
        <v>2171.371183</v>
      </c>
      <c r="F367" s="51">
        <f>(O366*'AP01'!$P367)*'AP01'!$D367</f>
        <v>60.28970773</v>
      </c>
      <c r="G367" s="51">
        <f>(O366*'AP01'!$P367)/($I$5-A366)</f>
        <v>902.8053347</v>
      </c>
      <c r="H367" s="82">
        <f>(O366*'AP01'!$P367)*'AP01'!$S367</f>
        <v>19.94333097</v>
      </c>
      <c r="I367" s="82">
        <f>'AP01'!$Q367*0.00899%</f>
        <v>40.73305943</v>
      </c>
      <c r="J367" s="51">
        <f t="shared" si="136"/>
        <v>25</v>
      </c>
      <c r="K367" s="51">
        <f t="shared" ref="K367:L367" si="408">K366</f>
        <v>0</v>
      </c>
      <c r="L367" s="51">
        <f t="shared" si="408"/>
        <v>0</v>
      </c>
      <c r="M367" s="51">
        <f>SUM('AP01'!$F367:$L367)</f>
        <v>1048.771433</v>
      </c>
      <c r="N367" s="51">
        <f>O366*('AP01'!$P367-1)</f>
        <v>0</v>
      </c>
      <c r="O367" s="51">
        <f>(O366*'AP01'!$P367)-'AP01'!$G367</f>
        <v>6319.637343</v>
      </c>
      <c r="P367" s="53">
        <f t="shared" si="141"/>
        <v>1</v>
      </c>
      <c r="Q367" s="51">
        <f>(Q366*'AP01'!$P367)</f>
        <v>453092.9859</v>
      </c>
      <c r="R367" s="46">
        <f>DATEDIF($S$7,'AP01'!$B367,"Y")</f>
        <v>61</v>
      </c>
      <c r="S367" s="47">
        <f>VLOOKUP('AP01'!$R367,SEGUROS!$A:$B,2,TRUE)</f>
        <v>0.0027613</v>
      </c>
      <c r="T367" s="51">
        <f>('AP01'!$O367*'AP01'!$P367)*'AP01'!$S367</f>
        <v>17.4504146</v>
      </c>
      <c r="U367" s="51">
        <f>'AP01'!$Q367*0.00899%</f>
        <v>40.73305943</v>
      </c>
      <c r="V367" s="4"/>
      <c r="W367" s="4"/>
      <c r="X367" s="4"/>
      <c r="Y367" s="4"/>
      <c r="Z367" s="4"/>
    </row>
    <row r="368" ht="18.75" customHeight="1">
      <c r="A368" s="56">
        <f t="shared" si="4"/>
        <v>354</v>
      </c>
      <c r="B368" s="50">
        <f t="shared" si="8"/>
        <v>54017</v>
      </c>
      <c r="C368" s="58">
        <f t="shared" si="128"/>
        <v>0.1049</v>
      </c>
      <c r="D368" s="58">
        <f>((1+'AP01'!$C368)^(1/12))-1</f>
        <v>0.00834755088</v>
      </c>
      <c r="E368" s="51">
        <f t="shared" si="126"/>
        <v>2171.371183</v>
      </c>
      <c r="F368" s="51">
        <f>(O367*'AP01'!$P368)*'AP01'!$D368</f>
        <v>52.75349426</v>
      </c>
      <c r="G368" s="51">
        <f>(O367*'AP01'!$P368)/($I$5-A367)</f>
        <v>902.8053347</v>
      </c>
      <c r="H368" s="82">
        <f>(O367*'AP01'!$P368)*'AP01'!$S368</f>
        <v>17.4504146</v>
      </c>
      <c r="I368" s="82">
        <f>'AP01'!$Q368*0.00899%</f>
        <v>40.73305943</v>
      </c>
      <c r="J368" s="51">
        <f t="shared" si="136"/>
        <v>25</v>
      </c>
      <c r="K368" s="51">
        <f t="shared" ref="K368:L368" si="409">K367</f>
        <v>0</v>
      </c>
      <c r="L368" s="51">
        <f t="shared" si="409"/>
        <v>0</v>
      </c>
      <c r="M368" s="51">
        <f>SUM('AP01'!$F368:$L368)</f>
        <v>1038.742303</v>
      </c>
      <c r="N368" s="51">
        <f>O367*('AP01'!$P368-1)</f>
        <v>0</v>
      </c>
      <c r="O368" s="51">
        <f>(O367*'AP01'!$P368)-'AP01'!$G368</f>
        <v>5416.832008</v>
      </c>
      <c r="P368" s="53">
        <f t="shared" si="141"/>
        <v>1</v>
      </c>
      <c r="Q368" s="51">
        <f>(Q367*'AP01'!$P368)</f>
        <v>453092.9859</v>
      </c>
      <c r="R368" s="46">
        <f>DATEDIF($S$7,'AP01'!$B368,"Y")</f>
        <v>61</v>
      </c>
      <c r="S368" s="47">
        <f>VLOOKUP('AP01'!$R368,SEGUROS!$A:$B,2,TRUE)</f>
        <v>0.0027613</v>
      </c>
      <c r="T368" s="51">
        <f>('AP01'!$O368*'AP01'!$P368)*'AP01'!$S368</f>
        <v>14.95749822</v>
      </c>
      <c r="U368" s="51">
        <f>'AP01'!$Q368*0.00899%</f>
        <v>40.73305943</v>
      </c>
      <c r="V368" s="4"/>
      <c r="W368" s="4"/>
      <c r="X368" s="4"/>
      <c r="Y368" s="4"/>
      <c r="Z368" s="4"/>
    </row>
    <row r="369" ht="18.75" customHeight="1">
      <c r="A369" s="56">
        <f t="shared" si="4"/>
        <v>355</v>
      </c>
      <c r="B369" s="50">
        <f t="shared" si="8"/>
        <v>54047</v>
      </c>
      <c r="C369" s="58">
        <f t="shared" si="128"/>
        <v>0.1049</v>
      </c>
      <c r="D369" s="58">
        <f>((1+'AP01'!$C369)^(1/12))-1</f>
        <v>0.00834755088</v>
      </c>
      <c r="E369" s="51">
        <f t="shared" si="126"/>
        <v>2171.371183</v>
      </c>
      <c r="F369" s="51">
        <f>(O368*'AP01'!$P369)*'AP01'!$D369</f>
        <v>45.2172808</v>
      </c>
      <c r="G369" s="51">
        <f>(O368*'AP01'!$P369)/($I$5-A368)</f>
        <v>902.8053347</v>
      </c>
      <c r="H369" s="82">
        <f>(O368*'AP01'!$P369)*'AP01'!$S369</f>
        <v>16.45796069</v>
      </c>
      <c r="I369" s="82">
        <f>'AP01'!$Q369*0.00899%</f>
        <v>40.73305943</v>
      </c>
      <c r="J369" s="51">
        <f t="shared" si="136"/>
        <v>25</v>
      </c>
      <c r="K369" s="51">
        <f t="shared" ref="K369:L369" si="410">K368</f>
        <v>0</v>
      </c>
      <c r="L369" s="51">
        <f t="shared" si="410"/>
        <v>0</v>
      </c>
      <c r="M369" s="51">
        <f>SUM('AP01'!$F369:$L369)</f>
        <v>1030.213636</v>
      </c>
      <c r="N369" s="51">
        <f>O368*('AP01'!$P369-1)</f>
        <v>0</v>
      </c>
      <c r="O369" s="51">
        <f>(O368*'AP01'!$P369)-'AP01'!$G369</f>
        <v>4514.026674</v>
      </c>
      <c r="P369" s="53">
        <f t="shared" si="141"/>
        <v>1</v>
      </c>
      <c r="Q369" s="51">
        <f>(Q368*'AP01'!$P369)</f>
        <v>453092.9859</v>
      </c>
      <c r="R369" s="46">
        <f>DATEDIF($S$7,'AP01'!$B369,"Y")</f>
        <v>62</v>
      </c>
      <c r="S369" s="47">
        <f>VLOOKUP('AP01'!$R369,SEGUROS!$A:$B,2,TRUE)</f>
        <v>0.0030383</v>
      </c>
      <c r="T369" s="51">
        <f>('AP01'!$O369*'AP01'!$P369)*'AP01'!$S369</f>
        <v>13.71496724</v>
      </c>
      <c r="U369" s="51">
        <f>'AP01'!$Q369*0.00899%</f>
        <v>40.73305943</v>
      </c>
      <c r="V369" s="4"/>
      <c r="W369" s="4"/>
      <c r="X369" s="4"/>
      <c r="Y369" s="4"/>
      <c r="Z369" s="4"/>
    </row>
    <row r="370" ht="18.75" customHeight="1">
      <c r="A370" s="56">
        <f t="shared" si="4"/>
        <v>356</v>
      </c>
      <c r="B370" s="50">
        <f t="shared" si="8"/>
        <v>54078</v>
      </c>
      <c r="C370" s="58">
        <f t="shared" si="128"/>
        <v>0.1049</v>
      </c>
      <c r="D370" s="58">
        <f>((1+'AP01'!$C370)^(1/12))-1</f>
        <v>0.00834755088</v>
      </c>
      <c r="E370" s="51">
        <f t="shared" si="126"/>
        <v>2171.371183</v>
      </c>
      <c r="F370" s="51">
        <f>(O369*'AP01'!$P370)*'AP01'!$D370</f>
        <v>37.68106733</v>
      </c>
      <c r="G370" s="51">
        <f>(O369*'AP01'!$P370)/($I$5-A369)</f>
        <v>902.8053347</v>
      </c>
      <c r="H370" s="82">
        <f>(O369*'AP01'!$P370)*'AP01'!$S370</f>
        <v>13.71496724</v>
      </c>
      <c r="I370" s="82">
        <f>'AP01'!$Q370*0.00899%</f>
        <v>40.73305943</v>
      </c>
      <c r="J370" s="51">
        <f t="shared" si="136"/>
        <v>25</v>
      </c>
      <c r="K370" s="51">
        <f t="shared" ref="K370:L370" si="411">K369</f>
        <v>0</v>
      </c>
      <c r="L370" s="51">
        <f t="shared" si="411"/>
        <v>0</v>
      </c>
      <c r="M370" s="51">
        <f>SUM('AP01'!$F370:$L370)</f>
        <v>1019.934429</v>
      </c>
      <c r="N370" s="51">
        <f>O369*('AP01'!$P370-1)</f>
        <v>0</v>
      </c>
      <c r="O370" s="51">
        <f>(O369*'AP01'!$P370)-'AP01'!$G370</f>
        <v>3611.221339</v>
      </c>
      <c r="P370" s="53">
        <f t="shared" si="141"/>
        <v>1</v>
      </c>
      <c r="Q370" s="51">
        <f>(Q369*'AP01'!$P370)</f>
        <v>453092.9859</v>
      </c>
      <c r="R370" s="46">
        <f>DATEDIF($S$7,'AP01'!$B370,"Y")</f>
        <v>62</v>
      </c>
      <c r="S370" s="47">
        <f>VLOOKUP('AP01'!$R370,SEGUROS!$A:$B,2,TRUE)</f>
        <v>0.0030383</v>
      </c>
      <c r="T370" s="51">
        <f>('AP01'!$O370*'AP01'!$P370)*'AP01'!$S370</f>
        <v>10.97197379</v>
      </c>
      <c r="U370" s="51">
        <f>'AP01'!$Q370*0.00899%</f>
        <v>40.73305943</v>
      </c>
      <c r="V370" s="4"/>
      <c r="W370" s="4"/>
      <c r="X370" s="4"/>
      <c r="Y370" s="4"/>
      <c r="Z370" s="4"/>
    </row>
    <row r="371" ht="18.75" customHeight="1">
      <c r="A371" s="56">
        <f t="shared" si="4"/>
        <v>357</v>
      </c>
      <c r="B371" s="50">
        <f t="shared" si="8"/>
        <v>54109</v>
      </c>
      <c r="C371" s="58">
        <f t="shared" si="128"/>
        <v>0.1049</v>
      </c>
      <c r="D371" s="58">
        <f>((1+'AP01'!$C371)^(1/12))-1</f>
        <v>0.00834755088</v>
      </c>
      <c r="E371" s="51">
        <f t="shared" si="126"/>
        <v>2171.371183</v>
      </c>
      <c r="F371" s="51">
        <f>(O370*'AP01'!$P371)*'AP01'!$D371</f>
        <v>30.14485387</v>
      </c>
      <c r="G371" s="51">
        <f>(O370*'AP01'!$P371)/($I$5-A370)</f>
        <v>902.8053347</v>
      </c>
      <c r="H371" s="82">
        <f>(O370*'AP01'!$P371)*'AP01'!$S371</f>
        <v>10.97197379</v>
      </c>
      <c r="I371" s="82">
        <f>'AP01'!$Q371*0.00899%</f>
        <v>40.73305943</v>
      </c>
      <c r="J371" s="51">
        <f t="shared" si="136"/>
        <v>25</v>
      </c>
      <c r="K371" s="51">
        <f t="shared" ref="K371:L371" si="412">K370</f>
        <v>0</v>
      </c>
      <c r="L371" s="51">
        <f t="shared" si="412"/>
        <v>0</v>
      </c>
      <c r="M371" s="51">
        <f>SUM('AP01'!$F371:$L371)</f>
        <v>1009.655222</v>
      </c>
      <c r="N371" s="51">
        <f>O370*('AP01'!$P371-1)</f>
        <v>0</v>
      </c>
      <c r="O371" s="51">
        <f>(O370*'AP01'!$P371)-'AP01'!$G371</f>
        <v>2708.416004</v>
      </c>
      <c r="P371" s="53">
        <f t="shared" si="141"/>
        <v>1</v>
      </c>
      <c r="Q371" s="51">
        <f>(Q370*'AP01'!$P371)</f>
        <v>453092.9859</v>
      </c>
      <c r="R371" s="46">
        <f>DATEDIF($S$7,'AP01'!$B371,"Y")</f>
        <v>62</v>
      </c>
      <c r="S371" s="47">
        <f>VLOOKUP('AP01'!$R371,SEGUROS!$A:$B,2,TRUE)</f>
        <v>0.0030383</v>
      </c>
      <c r="T371" s="51">
        <f>('AP01'!$O371*'AP01'!$P371)*'AP01'!$S371</f>
        <v>8.228980346</v>
      </c>
      <c r="U371" s="51">
        <f>'AP01'!$Q371*0.00899%</f>
        <v>40.73305943</v>
      </c>
      <c r="V371" s="4"/>
      <c r="W371" s="4"/>
      <c r="X371" s="4"/>
      <c r="Y371" s="4"/>
      <c r="Z371" s="4"/>
    </row>
    <row r="372" ht="18.75" customHeight="1">
      <c r="A372" s="56">
        <f t="shared" si="4"/>
        <v>358</v>
      </c>
      <c r="B372" s="50">
        <f t="shared" si="8"/>
        <v>54138</v>
      </c>
      <c r="C372" s="58">
        <f t="shared" si="128"/>
        <v>0.1049</v>
      </c>
      <c r="D372" s="58">
        <f>((1+'AP01'!$C372)^(1/12))-1</f>
        <v>0.00834755088</v>
      </c>
      <c r="E372" s="51">
        <f t="shared" si="126"/>
        <v>2171.371183</v>
      </c>
      <c r="F372" s="51">
        <f>(O371*'AP01'!$P372)*'AP01'!$D372</f>
        <v>22.6086404</v>
      </c>
      <c r="G372" s="51">
        <f>(O371*'AP01'!$P372)/($I$5-A371)</f>
        <v>902.8053347</v>
      </c>
      <c r="H372" s="82">
        <f>(O371*'AP01'!$P372)*'AP01'!$S372</f>
        <v>8.228980346</v>
      </c>
      <c r="I372" s="82">
        <f>'AP01'!$Q372*0.00899%</f>
        <v>40.73305943</v>
      </c>
      <c r="J372" s="51">
        <f t="shared" si="136"/>
        <v>25</v>
      </c>
      <c r="K372" s="51">
        <f t="shared" ref="K372:L372" si="413">K371</f>
        <v>0</v>
      </c>
      <c r="L372" s="51">
        <f t="shared" si="413"/>
        <v>0</v>
      </c>
      <c r="M372" s="51">
        <f>SUM('AP01'!$F372:$L372)</f>
        <v>999.3760149</v>
      </c>
      <c r="N372" s="51">
        <f>O371*('AP01'!$P372-1)</f>
        <v>0</v>
      </c>
      <c r="O372" s="51">
        <f>(O371*'AP01'!$P372)-'AP01'!$G372</f>
        <v>1805.610669</v>
      </c>
      <c r="P372" s="53">
        <f t="shared" si="141"/>
        <v>1</v>
      </c>
      <c r="Q372" s="51">
        <f>(Q371*'AP01'!$P372)</f>
        <v>453092.9859</v>
      </c>
      <c r="R372" s="46">
        <f>DATEDIF($S$7,'AP01'!$B372,"Y")</f>
        <v>62</v>
      </c>
      <c r="S372" s="47">
        <f>VLOOKUP('AP01'!$R372,SEGUROS!$A:$B,2,TRUE)</f>
        <v>0.0030383</v>
      </c>
      <c r="T372" s="51">
        <f>('AP01'!$O372*'AP01'!$P372)*'AP01'!$S372</f>
        <v>5.485986897</v>
      </c>
      <c r="U372" s="51">
        <f>'AP01'!$Q372*0.00899%</f>
        <v>40.73305943</v>
      </c>
      <c r="V372" s="4"/>
      <c r="W372" s="4"/>
      <c r="X372" s="4"/>
      <c r="Y372" s="4"/>
      <c r="Z372" s="4"/>
    </row>
    <row r="373" ht="18.75" customHeight="1">
      <c r="A373" s="56">
        <f t="shared" si="4"/>
        <v>359</v>
      </c>
      <c r="B373" s="50">
        <f t="shared" si="8"/>
        <v>54169</v>
      </c>
      <c r="C373" s="58">
        <f t="shared" si="128"/>
        <v>0.1049</v>
      </c>
      <c r="D373" s="58">
        <f>((1+'AP01'!$C373)^(1/12))-1</f>
        <v>0.00834755088</v>
      </c>
      <c r="E373" s="51">
        <f t="shared" si="126"/>
        <v>2171.371183</v>
      </c>
      <c r="F373" s="51">
        <f>(O372*'AP01'!$P373)*'AP01'!$D373</f>
        <v>15.07242693</v>
      </c>
      <c r="G373" s="51">
        <f>(O372*'AP01'!$P373)/($I$5-A372)</f>
        <v>902.8053347</v>
      </c>
      <c r="H373" s="82">
        <f>(O372*'AP01'!$P373)*'AP01'!$S373</f>
        <v>5.485986897</v>
      </c>
      <c r="I373" s="82">
        <f>'AP01'!$Q373*0.00899%</f>
        <v>40.73305943</v>
      </c>
      <c r="J373" s="51">
        <f t="shared" si="136"/>
        <v>25</v>
      </c>
      <c r="K373" s="51">
        <f t="shared" ref="K373:L373" si="414">K372</f>
        <v>0</v>
      </c>
      <c r="L373" s="51">
        <f t="shared" si="414"/>
        <v>0</v>
      </c>
      <c r="M373" s="51">
        <f>SUM('AP01'!$F373:$L373)</f>
        <v>989.096808</v>
      </c>
      <c r="N373" s="51">
        <f>O372*('AP01'!$P373-1)</f>
        <v>0</v>
      </c>
      <c r="O373" s="51">
        <f>(O372*'AP01'!$P373)-'AP01'!$G373</f>
        <v>902.8053347</v>
      </c>
      <c r="P373" s="53">
        <f t="shared" si="141"/>
        <v>1</v>
      </c>
      <c r="Q373" s="51">
        <f>(Q372*'AP01'!$P373)</f>
        <v>453092.9859</v>
      </c>
      <c r="R373" s="46">
        <f>DATEDIF($S$7,'AP01'!$B373,"Y")</f>
        <v>62</v>
      </c>
      <c r="S373" s="47">
        <f>VLOOKUP('AP01'!$R373,SEGUROS!$A:$B,2,TRUE)</f>
        <v>0.0030383</v>
      </c>
      <c r="T373" s="51">
        <f>('AP01'!$O373*'AP01'!$P373)*'AP01'!$S373</f>
        <v>2.742993449</v>
      </c>
      <c r="U373" s="51">
        <f>'AP01'!$Q373*0.00899%</f>
        <v>40.73305943</v>
      </c>
      <c r="V373" s="4"/>
      <c r="W373" s="4"/>
      <c r="X373" s="4"/>
      <c r="Y373" s="4"/>
      <c r="Z373" s="4"/>
    </row>
    <row r="374" ht="18.75" customHeight="1">
      <c r="A374" s="56">
        <f t="shared" si="4"/>
        <v>360</v>
      </c>
      <c r="B374" s="50">
        <f t="shared" si="8"/>
        <v>54199</v>
      </c>
      <c r="C374" s="58">
        <f t="shared" si="128"/>
        <v>0.1049</v>
      </c>
      <c r="D374" s="58">
        <f>((1+'AP01'!$C374)^(1/12))-1</f>
        <v>0.00834755088</v>
      </c>
      <c r="E374" s="51">
        <f t="shared" si="126"/>
        <v>2171.371183</v>
      </c>
      <c r="F374" s="51">
        <f>(O373*'AP01'!$P374)*'AP01'!$D374</f>
        <v>7.536213466</v>
      </c>
      <c r="G374" s="51">
        <f>(O373*'AP01'!$P374)/($I$5-A373)</f>
        <v>902.8053347</v>
      </c>
      <c r="H374" s="82">
        <f>(O373*'AP01'!$P374)*'AP01'!$S374</f>
        <v>2.742993449</v>
      </c>
      <c r="I374" s="82">
        <f>'AP01'!$Q374*0.00899%</f>
        <v>40.73305943</v>
      </c>
      <c r="J374" s="51">
        <f t="shared" si="136"/>
        <v>25</v>
      </c>
      <c r="K374" s="51">
        <f t="shared" ref="K374:L374" si="415">K373</f>
        <v>0</v>
      </c>
      <c r="L374" s="51">
        <f t="shared" si="415"/>
        <v>0</v>
      </c>
      <c r="M374" s="51">
        <f>SUM('AP01'!$F374:$L374)</f>
        <v>978.8176011</v>
      </c>
      <c r="N374" s="51">
        <f>O373*('AP01'!$P374-1)</f>
        <v>0</v>
      </c>
      <c r="O374" s="85">
        <f>(O373*'AP01'!$P374)-'AP01'!$G374</f>
        <v>0</v>
      </c>
      <c r="P374" s="53">
        <f t="shared" si="141"/>
        <v>1</v>
      </c>
      <c r="Q374" s="51">
        <f>(Q373*'AP01'!$P374)</f>
        <v>453092.9859</v>
      </c>
      <c r="R374" s="46">
        <f>DATEDIF($S$7,'AP01'!$B374,"Y")</f>
        <v>62</v>
      </c>
      <c r="S374" s="47">
        <f>VLOOKUP('AP01'!$R374,SEGUROS!$A:$B,2,TRUE)</f>
        <v>0.0030383</v>
      </c>
      <c r="T374" s="51">
        <f>('AP01'!$O374*'AP01'!$P374)*'AP01'!$S374</f>
        <v>0</v>
      </c>
      <c r="U374" s="69">
        <f>'AP01'!$Q374*0.00899%</f>
        <v>40.73305943</v>
      </c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5.25" customHeight="1">
      <c r="A376" s="86" t="s">
        <v>41</v>
      </c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8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89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1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P1"/>
    <mergeCell ref="A376:P377"/>
  </mergeCells>
  <printOptions horizontalCentered="1"/>
  <pageMargins bottom="1.1360416666666666" footer="0.0" header="0.0" left="0.5118110236220472" right="0.5118110236220472" top="1.050625"/>
  <pageSetup paperSize="8" scale="82" orientation="landscape"/>
  <headerFooter>
    <oddHeader/>
    <oddFooter>&amp;RPágina 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57"/>
    <col customWidth="1" min="3" max="3" width="9.14"/>
    <col customWidth="1" min="4" max="4" width="20.71"/>
    <col customWidth="1" min="5" max="5" width="15.57"/>
    <col customWidth="1" min="6" max="6" width="9.14"/>
    <col customWidth="1" min="7" max="26" width="8.71"/>
  </cols>
  <sheetData>
    <row r="1" ht="18.75" customHeight="1">
      <c r="A1" s="92" t="s">
        <v>37</v>
      </c>
      <c r="B1" s="92" t="s">
        <v>42</v>
      </c>
      <c r="C1" s="3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93">
        <v>21.0</v>
      </c>
      <c r="B2" s="94">
        <v>7.57E-5</v>
      </c>
      <c r="C2" s="3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93">
        <f t="shared" ref="A3:A11" si="1">A2+1</f>
        <v>22</v>
      </c>
      <c r="B3" s="94">
        <v>7.57E-5</v>
      </c>
      <c r="C3" s="3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93">
        <f t="shared" si="1"/>
        <v>23</v>
      </c>
      <c r="B4" s="94">
        <v>7.57E-5</v>
      </c>
      <c r="C4" s="3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3">
        <f t="shared" si="1"/>
        <v>24</v>
      </c>
      <c r="B5" s="94">
        <v>7.57E-5</v>
      </c>
      <c r="C5" s="3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93">
        <f t="shared" si="1"/>
        <v>25</v>
      </c>
      <c r="B6" s="94">
        <v>7.57E-5</v>
      </c>
      <c r="C6" s="3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93">
        <f t="shared" si="1"/>
        <v>26</v>
      </c>
      <c r="B7" s="94">
        <v>7.57E-5</v>
      </c>
      <c r="C7" s="3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93">
        <f t="shared" si="1"/>
        <v>27</v>
      </c>
      <c r="B8" s="94">
        <v>7.57E-5</v>
      </c>
      <c r="C8" s="3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3">
        <f t="shared" si="1"/>
        <v>28</v>
      </c>
      <c r="B9" s="94">
        <v>7.57E-5</v>
      </c>
      <c r="C9" s="3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93">
        <f t="shared" si="1"/>
        <v>29</v>
      </c>
      <c r="B10" s="94">
        <v>7.57E-5</v>
      </c>
      <c r="C10" s="3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93">
        <f t="shared" si="1"/>
        <v>30</v>
      </c>
      <c r="B11" s="94">
        <v>7.57E-5</v>
      </c>
      <c r="C11" s="3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93">
        <v>31.0</v>
      </c>
      <c r="B12" s="94">
        <v>1.34E-4</v>
      </c>
      <c r="C12" s="3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93">
        <f t="shared" ref="A13:A61" si="2">A12+1</f>
        <v>32</v>
      </c>
      <c r="B13" s="94">
        <v>1.381E-4</v>
      </c>
      <c r="C13" s="36"/>
      <c r="D13" s="95"/>
      <c r="E13" s="9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93">
        <f t="shared" si="2"/>
        <v>33</v>
      </c>
      <c r="B14" s="94">
        <v>1.423E-4</v>
      </c>
      <c r="C14" s="36"/>
      <c r="D14" s="95"/>
      <c r="E14" s="9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93">
        <f t="shared" si="2"/>
        <v>34</v>
      </c>
      <c r="B15" s="94">
        <v>1.472E-4</v>
      </c>
      <c r="C15" s="3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93">
        <f t="shared" si="2"/>
        <v>35</v>
      </c>
      <c r="B16" s="94">
        <v>1.548E-4</v>
      </c>
      <c r="C16" s="3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93">
        <f t="shared" si="2"/>
        <v>36</v>
      </c>
      <c r="B17" s="94">
        <v>2.337E-4</v>
      </c>
      <c r="C17" s="3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93">
        <f t="shared" si="2"/>
        <v>37</v>
      </c>
      <c r="B18" s="94">
        <v>2.469E-4</v>
      </c>
      <c r="C18" s="3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93">
        <f t="shared" si="2"/>
        <v>38</v>
      </c>
      <c r="B19" s="94">
        <v>2.632E-4</v>
      </c>
      <c r="C19" s="3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93">
        <f t="shared" si="2"/>
        <v>39</v>
      </c>
      <c r="B20" s="94">
        <v>2.832E-4</v>
      </c>
      <c r="C20" s="3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93">
        <f t="shared" si="2"/>
        <v>40</v>
      </c>
      <c r="B21" s="94">
        <v>3.073E-4</v>
      </c>
      <c r="C21" s="3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93">
        <f t="shared" si="2"/>
        <v>41</v>
      </c>
      <c r="B22" s="94">
        <v>3.179E-4</v>
      </c>
      <c r="C22" s="3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93">
        <f t="shared" si="2"/>
        <v>42</v>
      </c>
      <c r="B23" s="94">
        <v>3.181E-4</v>
      </c>
      <c r="C23" s="3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93">
        <f t="shared" si="2"/>
        <v>43</v>
      </c>
      <c r="B24" s="94">
        <v>3.525E-4</v>
      </c>
      <c r="C24" s="3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93">
        <f t="shared" si="2"/>
        <v>44</v>
      </c>
      <c r="B25" s="94">
        <v>3.918E-4</v>
      </c>
      <c r="C25" s="3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93">
        <f t="shared" si="2"/>
        <v>45</v>
      </c>
      <c r="B26" s="94">
        <v>4.359E-4</v>
      </c>
      <c r="C26" s="3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93">
        <f t="shared" si="2"/>
        <v>46</v>
      </c>
      <c r="B27" s="94">
        <v>5.154E-4</v>
      </c>
      <c r="C27" s="3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93">
        <f t="shared" si="2"/>
        <v>47</v>
      </c>
      <c r="B28" s="94">
        <v>5.715E-4</v>
      </c>
      <c r="C28" s="3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93">
        <f t="shared" si="2"/>
        <v>48</v>
      </c>
      <c r="B29" s="94">
        <v>6.32E-4</v>
      </c>
      <c r="C29" s="3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93">
        <f t="shared" si="2"/>
        <v>49</v>
      </c>
      <c r="B30" s="94">
        <v>6.968E-4</v>
      </c>
      <c r="C30" s="3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93">
        <f t="shared" si="2"/>
        <v>50</v>
      </c>
      <c r="B31" s="94">
        <v>7.656E-4</v>
      </c>
      <c r="C31" s="3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3">
        <f t="shared" si="2"/>
        <v>51</v>
      </c>
      <c r="B32" s="94">
        <v>8.766E-4</v>
      </c>
      <c r="C32" s="3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93">
        <f t="shared" si="2"/>
        <v>52</v>
      </c>
      <c r="B33" s="94">
        <v>9.571E-4</v>
      </c>
      <c r="C33" s="3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93">
        <f t="shared" si="2"/>
        <v>53</v>
      </c>
      <c r="B34" s="94">
        <v>0.001042</v>
      </c>
      <c r="C34" s="3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93">
        <f t="shared" si="2"/>
        <v>54</v>
      </c>
      <c r="B35" s="94">
        <v>0.001132</v>
      </c>
      <c r="C35" s="3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93">
        <f t="shared" si="2"/>
        <v>55</v>
      </c>
      <c r="B36" s="94">
        <v>0.0012281</v>
      </c>
      <c r="C36" s="3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93">
        <f t="shared" si="2"/>
        <v>56</v>
      </c>
      <c r="B37" s="94">
        <v>0.0014965</v>
      </c>
      <c r="C37" s="3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93">
        <f t="shared" si="2"/>
        <v>57</v>
      </c>
      <c r="B38" s="94">
        <v>0.0016218</v>
      </c>
      <c r="C38" s="3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93">
        <f t="shared" si="2"/>
        <v>58</v>
      </c>
      <c r="B39" s="94">
        <v>0.0017581</v>
      </c>
      <c r="C39" s="3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93">
        <f t="shared" si="2"/>
        <v>59</v>
      </c>
      <c r="B40" s="94">
        <v>0.0019099</v>
      </c>
      <c r="C40" s="3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93">
        <f t="shared" si="2"/>
        <v>60</v>
      </c>
      <c r="B41" s="94">
        <v>0.0020821</v>
      </c>
      <c r="C41" s="3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93">
        <f t="shared" si="2"/>
        <v>61</v>
      </c>
      <c r="B42" s="94">
        <v>0.0027613</v>
      </c>
      <c r="C42" s="3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93">
        <f t="shared" si="2"/>
        <v>62</v>
      </c>
      <c r="B43" s="94">
        <v>0.0030383</v>
      </c>
      <c r="C43" s="3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93">
        <f t="shared" si="2"/>
        <v>63</v>
      </c>
      <c r="B44" s="94">
        <v>0.003359</v>
      </c>
      <c r="C44" s="3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93">
        <f t="shared" si="2"/>
        <v>64</v>
      </c>
      <c r="B45" s="94">
        <v>0.0037279</v>
      </c>
      <c r="C45" s="3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93">
        <f t="shared" si="2"/>
        <v>65</v>
      </c>
      <c r="B46" s="94">
        <v>0.004149</v>
      </c>
      <c r="C46" s="3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93">
        <f t="shared" si="2"/>
        <v>66</v>
      </c>
      <c r="B47" s="94">
        <v>0.0041613</v>
      </c>
      <c r="C47" s="3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93">
        <f t="shared" si="2"/>
        <v>67</v>
      </c>
      <c r="B48" s="94">
        <v>0.0041827</v>
      </c>
      <c r="C48" s="3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93">
        <f t="shared" si="2"/>
        <v>68</v>
      </c>
      <c r="B49" s="94">
        <v>0.0043932</v>
      </c>
      <c r="C49" s="3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93">
        <f t="shared" si="2"/>
        <v>69</v>
      </c>
      <c r="B50" s="94">
        <v>0.0049119</v>
      </c>
      <c r="C50" s="3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93">
        <f t="shared" si="2"/>
        <v>70</v>
      </c>
      <c r="B51" s="94">
        <v>0.0054912</v>
      </c>
      <c r="C51" s="3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93">
        <f t="shared" si="2"/>
        <v>71</v>
      </c>
      <c r="B52" s="94">
        <v>0.0054961</v>
      </c>
      <c r="C52" s="3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93">
        <f t="shared" si="2"/>
        <v>72</v>
      </c>
      <c r="B53" s="94">
        <v>0.0061394</v>
      </c>
      <c r="C53" s="3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93">
        <f t="shared" si="2"/>
        <v>73</v>
      </c>
      <c r="B54" s="94">
        <v>0.0068522</v>
      </c>
      <c r="C54" s="3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93">
        <f t="shared" si="2"/>
        <v>74</v>
      </c>
      <c r="B55" s="94">
        <v>0.0076446</v>
      </c>
      <c r="C55" s="3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93">
        <f t="shared" si="2"/>
        <v>75</v>
      </c>
      <c r="B56" s="94">
        <v>0.0085301</v>
      </c>
      <c r="C56" s="3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93">
        <f t="shared" si="2"/>
        <v>76</v>
      </c>
      <c r="B57" s="94">
        <v>0.0100537</v>
      </c>
      <c r="C57" s="3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93">
        <f t="shared" si="2"/>
        <v>77</v>
      </c>
      <c r="B58" s="94">
        <v>0.0112188</v>
      </c>
      <c r="C58" s="3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93">
        <f t="shared" si="2"/>
        <v>78</v>
      </c>
      <c r="B59" s="94">
        <v>0.0127399</v>
      </c>
      <c r="C59" s="3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93">
        <f t="shared" si="2"/>
        <v>79</v>
      </c>
      <c r="B60" s="94">
        <v>0.0139674</v>
      </c>
      <c r="C60" s="3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93">
        <f t="shared" si="2"/>
        <v>80</v>
      </c>
      <c r="B61" s="94">
        <v>0.0155781</v>
      </c>
      <c r="C61" s="3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36"/>
      <c r="B62" s="36"/>
      <c r="C62" s="3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36"/>
      <c r="B63" s="36"/>
      <c r="C63" s="3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36"/>
      <c r="B64" s="36"/>
      <c r="C64" s="3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36"/>
      <c r="B65" s="36"/>
      <c r="C65" s="3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36"/>
      <c r="B66" s="36"/>
      <c r="C66" s="3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36"/>
      <c r="B67" s="36"/>
      <c r="C67" s="3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36"/>
      <c r="B68" s="36"/>
      <c r="C68" s="3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36"/>
      <c r="B69" s="36"/>
      <c r="C69" s="3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36"/>
      <c r="B70" s="36"/>
      <c r="C70" s="3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36"/>
      <c r="B71" s="36"/>
      <c r="C71" s="3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36"/>
      <c r="B72" s="36"/>
      <c r="C72" s="3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36"/>
      <c r="B73" s="36"/>
      <c r="C73" s="3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36"/>
      <c r="B74" s="36"/>
      <c r="C74" s="3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36"/>
      <c r="B75" s="36"/>
      <c r="C75" s="3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36"/>
      <c r="B76" s="36"/>
      <c r="C76" s="3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36"/>
      <c r="B77" s="36"/>
      <c r="C77" s="3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36"/>
      <c r="B78" s="36"/>
      <c r="C78" s="3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36"/>
      <c r="B79" s="36"/>
      <c r="C79" s="3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36"/>
      <c r="B80" s="36"/>
      <c r="C80" s="3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36"/>
      <c r="B81" s="36"/>
      <c r="C81" s="3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36"/>
      <c r="B82" s="36"/>
      <c r="C82" s="3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36"/>
      <c r="B83" s="36"/>
      <c r="C83" s="3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36"/>
      <c r="B84" s="36"/>
      <c r="C84" s="3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36"/>
      <c r="B85" s="36"/>
      <c r="C85" s="3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36"/>
      <c r="B86" s="36"/>
      <c r="C86" s="3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36"/>
      <c r="B87" s="36"/>
      <c r="C87" s="3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36"/>
      <c r="B88" s="36"/>
      <c r="C88" s="3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36"/>
      <c r="B89" s="36"/>
      <c r="C89" s="3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36"/>
      <c r="B90" s="36"/>
      <c r="C90" s="3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36"/>
      <c r="B91" s="36"/>
      <c r="C91" s="3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36"/>
      <c r="B92" s="36"/>
      <c r="C92" s="3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36"/>
      <c r="B93" s="36"/>
      <c r="C93" s="3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36"/>
      <c r="B94" s="36"/>
      <c r="C94" s="3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36"/>
      <c r="B95" s="36"/>
      <c r="C95" s="3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36"/>
      <c r="B96" s="36"/>
      <c r="C96" s="3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36"/>
      <c r="B97" s="36"/>
      <c r="C97" s="3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36"/>
      <c r="B98" s="36"/>
      <c r="C98" s="3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36"/>
      <c r="B99" s="36"/>
      <c r="C99" s="3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36"/>
      <c r="B100" s="36"/>
      <c r="C100" s="3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36"/>
      <c r="B101" s="36"/>
      <c r="C101" s="3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36"/>
      <c r="B102" s="36"/>
      <c r="C102" s="3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36"/>
      <c r="B103" s="36"/>
      <c r="C103" s="3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36"/>
      <c r="B104" s="36"/>
      <c r="C104" s="3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36"/>
      <c r="B105" s="36"/>
      <c r="C105" s="3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36"/>
      <c r="B106" s="36"/>
      <c r="C106" s="3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36"/>
      <c r="B107" s="36"/>
      <c r="C107" s="3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36"/>
      <c r="B108" s="36"/>
      <c r="C108" s="3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36"/>
      <c r="B109" s="36"/>
      <c r="C109" s="3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36"/>
      <c r="B110" s="36"/>
      <c r="C110" s="3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36"/>
      <c r="B111" s="36"/>
      <c r="C111" s="3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36"/>
      <c r="B112" s="36"/>
      <c r="C112" s="3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36"/>
      <c r="B113" s="36"/>
      <c r="C113" s="3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36"/>
      <c r="B114" s="36"/>
      <c r="C114" s="3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36"/>
      <c r="B115" s="36"/>
      <c r="C115" s="3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36"/>
      <c r="B116" s="36"/>
      <c r="C116" s="3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36"/>
      <c r="B117" s="36"/>
      <c r="C117" s="3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36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36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36"/>
      <c r="B121" s="36"/>
      <c r="C121" s="3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36"/>
      <c r="B122" s="36"/>
      <c r="C122" s="3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36"/>
      <c r="B123" s="36"/>
      <c r="C123" s="3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36"/>
      <c r="B124" s="36"/>
      <c r="C124" s="3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36"/>
      <c r="B125" s="36"/>
      <c r="C125" s="3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36"/>
      <c r="B126" s="36"/>
      <c r="C126" s="3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36"/>
      <c r="B127" s="36"/>
      <c r="C127" s="3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36"/>
      <c r="B128" s="36"/>
      <c r="C128" s="3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36"/>
      <c r="B129" s="36"/>
      <c r="C129" s="3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36"/>
      <c r="B130" s="36"/>
      <c r="C130" s="3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36"/>
      <c r="B131" s="36"/>
      <c r="C131" s="3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36"/>
      <c r="B132" s="36"/>
      <c r="C132" s="3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36"/>
      <c r="B133" s="36"/>
      <c r="C133" s="3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36"/>
      <c r="B134" s="36"/>
      <c r="C134" s="3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36"/>
      <c r="B135" s="36"/>
      <c r="C135" s="3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36"/>
      <c r="B136" s="36"/>
      <c r="C136" s="3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36"/>
      <c r="B137" s="36"/>
      <c r="C137" s="3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36"/>
      <c r="B138" s="36"/>
      <c r="C138" s="3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36"/>
      <c r="B139" s="36"/>
      <c r="C139" s="3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36"/>
      <c r="B140" s="36"/>
      <c r="C140" s="3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36"/>
      <c r="B141" s="36"/>
      <c r="C141" s="3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36"/>
      <c r="B142" s="36"/>
      <c r="C142" s="3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36"/>
      <c r="B143" s="36"/>
      <c r="C143" s="3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36"/>
      <c r="B144" s="36"/>
      <c r="C144" s="3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36"/>
      <c r="B145" s="36"/>
      <c r="C145" s="3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36"/>
      <c r="B146" s="36"/>
      <c r="C146" s="3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36"/>
      <c r="B147" s="36"/>
      <c r="C147" s="3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36"/>
      <c r="B148" s="36"/>
      <c r="C148" s="3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36"/>
      <c r="B149" s="36"/>
      <c r="C149" s="3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36"/>
      <c r="B150" s="36"/>
      <c r="C150" s="3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36"/>
      <c r="B151" s="36"/>
      <c r="C151" s="3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36"/>
      <c r="B152" s="36"/>
      <c r="C152" s="3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36"/>
      <c r="B153" s="36"/>
      <c r="C153" s="3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36"/>
      <c r="B154" s="36"/>
      <c r="C154" s="3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36"/>
      <c r="B155" s="36"/>
      <c r="C155" s="3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36"/>
      <c r="B156" s="36"/>
      <c r="C156" s="3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36"/>
      <c r="B157" s="36"/>
      <c r="C157" s="3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36"/>
      <c r="B158" s="36"/>
      <c r="C158" s="3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36"/>
      <c r="B159" s="36"/>
      <c r="C159" s="3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36"/>
      <c r="B160" s="36"/>
      <c r="C160" s="3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36"/>
      <c r="B161" s="36"/>
      <c r="C161" s="3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36"/>
      <c r="B162" s="36"/>
      <c r="C162" s="3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36"/>
      <c r="B163" s="36"/>
      <c r="C163" s="3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36"/>
      <c r="B164" s="36"/>
      <c r="C164" s="3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36"/>
      <c r="B165" s="36"/>
      <c r="C165" s="3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36"/>
      <c r="B166" s="36"/>
      <c r="C166" s="3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36"/>
      <c r="B167" s="36"/>
      <c r="C167" s="3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36"/>
      <c r="B168" s="36"/>
      <c r="C168" s="3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36"/>
      <c r="B169" s="36"/>
      <c r="C169" s="3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36"/>
      <c r="B170" s="36"/>
      <c r="C170" s="3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36"/>
      <c r="B171" s="36"/>
      <c r="C171" s="3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36"/>
      <c r="B172" s="36"/>
      <c r="C172" s="3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36"/>
      <c r="B173" s="36"/>
      <c r="C173" s="3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36"/>
      <c r="B174" s="36"/>
      <c r="C174" s="3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36"/>
      <c r="B175" s="36"/>
      <c r="C175" s="3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36"/>
      <c r="B176" s="36"/>
      <c r="C176" s="3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36"/>
      <c r="B177" s="36"/>
      <c r="C177" s="3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36"/>
      <c r="B178" s="36"/>
      <c r="C178" s="3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36"/>
      <c r="B179" s="36"/>
      <c r="C179" s="3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36"/>
      <c r="B180" s="36"/>
      <c r="C180" s="3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36"/>
      <c r="B181" s="36"/>
      <c r="C181" s="3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36"/>
      <c r="B182" s="36"/>
      <c r="C182" s="3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36"/>
      <c r="B183" s="36"/>
      <c r="C183" s="3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36"/>
      <c r="B184" s="36"/>
      <c r="C184" s="3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36"/>
      <c r="B185" s="36"/>
      <c r="C185" s="3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36"/>
      <c r="B186" s="36"/>
      <c r="C186" s="3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36"/>
      <c r="B187" s="36"/>
      <c r="C187" s="3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36"/>
      <c r="B188" s="36"/>
      <c r="C188" s="3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36"/>
      <c r="B189" s="36"/>
      <c r="C189" s="3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36"/>
      <c r="B190" s="36"/>
      <c r="C190" s="3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36"/>
      <c r="B191" s="36"/>
      <c r="C191" s="3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36"/>
      <c r="B192" s="36"/>
      <c r="C192" s="3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36"/>
      <c r="B193" s="36"/>
      <c r="C193" s="3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36"/>
      <c r="B194" s="36"/>
      <c r="C194" s="3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36"/>
      <c r="B195" s="36"/>
      <c r="C195" s="3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36"/>
      <c r="B196" s="36"/>
      <c r="C196" s="3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36"/>
      <c r="B197" s="36"/>
      <c r="C197" s="3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36"/>
      <c r="B198" s="36"/>
      <c r="C198" s="3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36"/>
      <c r="B199" s="36"/>
      <c r="C199" s="3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36"/>
      <c r="B200" s="36"/>
      <c r="C200" s="3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36"/>
      <c r="B201" s="36"/>
      <c r="C201" s="3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36"/>
      <c r="B202" s="36"/>
      <c r="C202" s="3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36"/>
      <c r="B203" s="36"/>
      <c r="C203" s="3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36"/>
      <c r="B204" s="36"/>
      <c r="C204" s="3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36"/>
      <c r="B205" s="36"/>
      <c r="C205" s="3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36"/>
      <c r="B206" s="36"/>
      <c r="C206" s="3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36"/>
      <c r="B207" s="36"/>
      <c r="C207" s="3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36"/>
      <c r="B208" s="36"/>
      <c r="C208" s="3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36"/>
      <c r="B209" s="36"/>
      <c r="C209" s="3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36"/>
      <c r="B210" s="36"/>
      <c r="C210" s="3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36"/>
      <c r="B211" s="36"/>
      <c r="C211" s="3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36"/>
      <c r="B212" s="36"/>
      <c r="C212" s="3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36"/>
      <c r="B213" s="36"/>
      <c r="C213" s="3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36"/>
      <c r="B214" s="36"/>
      <c r="C214" s="3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36"/>
      <c r="B215" s="36"/>
      <c r="C215" s="3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36"/>
      <c r="B216" s="36"/>
      <c r="C216" s="3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36"/>
      <c r="B217" s="36"/>
      <c r="C217" s="3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36"/>
      <c r="B218" s="36"/>
      <c r="C218" s="3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36"/>
      <c r="B219" s="36"/>
      <c r="C219" s="3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36"/>
      <c r="B220" s="36"/>
      <c r="C220" s="3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36"/>
      <c r="B221" s="36"/>
      <c r="C221" s="3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36"/>
      <c r="B222" s="36"/>
      <c r="C222" s="3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36"/>
      <c r="B223" s="36"/>
      <c r="C223" s="3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36"/>
      <c r="B224" s="36"/>
      <c r="C224" s="3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36"/>
      <c r="B225" s="36"/>
      <c r="C225" s="3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36"/>
      <c r="B226" s="36"/>
      <c r="C226" s="3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36"/>
      <c r="B227" s="36"/>
      <c r="C227" s="3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36"/>
      <c r="B228" s="36"/>
      <c r="C228" s="3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36"/>
      <c r="B229" s="36"/>
      <c r="C229" s="3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36"/>
      <c r="B230" s="36"/>
      <c r="C230" s="3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36"/>
      <c r="B231" s="36"/>
      <c r="C231" s="3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36"/>
      <c r="B232" s="36"/>
      <c r="C232" s="3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36"/>
      <c r="B233" s="36"/>
      <c r="C233" s="3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36"/>
      <c r="B234" s="36"/>
      <c r="C234" s="3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36"/>
      <c r="B235" s="36"/>
      <c r="C235" s="3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36"/>
      <c r="B236" s="36"/>
      <c r="C236" s="3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36"/>
      <c r="B237" s="36"/>
      <c r="C237" s="3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36"/>
      <c r="B238" s="36"/>
      <c r="C238" s="3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36"/>
      <c r="B239" s="36"/>
      <c r="C239" s="3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36"/>
      <c r="B240" s="36"/>
      <c r="C240" s="3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36"/>
      <c r="B241" s="36"/>
      <c r="C241" s="3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36"/>
      <c r="B242" s="36"/>
      <c r="C242" s="3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36"/>
      <c r="B243" s="36"/>
      <c r="C243" s="3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36"/>
      <c r="B244" s="36"/>
      <c r="C244" s="3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36"/>
      <c r="B245" s="36"/>
      <c r="C245" s="3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36"/>
      <c r="B246" s="36"/>
      <c r="C246" s="3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36"/>
      <c r="B247" s="36"/>
      <c r="C247" s="3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36"/>
      <c r="B248" s="36"/>
      <c r="C248" s="3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36"/>
      <c r="B249" s="36"/>
      <c r="C249" s="3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36"/>
      <c r="B250" s="36"/>
      <c r="C250" s="3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36"/>
      <c r="B251" s="36"/>
      <c r="C251" s="3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36"/>
      <c r="B252" s="36"/>
      <c r="C252" s="3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36"/>
      <c r="B253" s="36"/>
      <c r="C253" s="3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36"/>
      <c r="B254" s="36"/>
      <c r="C254" s="3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36"/>
      <c r="B255" s="36"/>
      <c r="C255" s="3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36"/>
      <c r="B256" s="36"/>
      <c r="C256" s="3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36"/>
      <c r="B257" s="36"/>
      <c r="C257" s="3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36"/>
      <c r="B258" s="36"/>
      <c r="C258" s="3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36"/>
      <c r="B259" s="36"/>
      <c r="C259" s="3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36"/>
      <c r="B260" s="36"/>
      <c r="C260" s="3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36"/>
      <c r="B261" s="36"/>
      <c r="C261" s="3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36"/>
      <c r="B262" s="36"/>
      <c r="C262" s="3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36"/>
      <c r="B263" s="36"/>
      <c r="C263" s="3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36"/>
      <c r="B264" s="36"/>
      <c r="C264" s="3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36"/>
      <c r="B265" s="36"/>
      <c r="C265" s="3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36"/>
      <c r="B266" s="36"/>
      <c r="C266" s="3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36"/>
      <c r="B267" s="36"/>
      <c r="C267" s="3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36"/>
      <c r="B268" s="36"/>
      <c r="C268" s="3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36"/>
      <c r="B269" s="36"/>
      <c r="C269" s="3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36"/>
      <c r="B270" s="36"/>
      <c r="C270" s="3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36"/>
      <c r="B271" s="36"/>
      <c r="C271" s="3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36"/>
      <c r="B272" s="36"/>
      <c r="C272" s="3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36"/>
      <c r="B273" s="36"/>
      <c r="C273" s="3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36"/>
      <c r="B274" s="36"/>
      <c r="C274" s="3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36"/>
      <c r="B275" s="36"/>
      <c r="C275" s="3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36"/>
      <c r="B276" s="36"/>
      <c r="C276" s="3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36"/>
      <c r="B277" s="36"/>
      <c r="C277" s="3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36"/>
      <c r="B278" s="36"/>
      <c r="C278" s="3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36"/>
      <c r="B279" s="36"/>
      <c r="C279" s="3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36"/>
      <c r="B280" s="36"/>
      <c r="C280" s="3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36"/>
      <c r="B281" s="36"/>
      <c r="C281" s="3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36"/>
      <c r="B282" s="36"/>
      <c r="C282" s="3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36"/>
      <c r="B283" s="36"/>
      <c r="C283" s="3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36"/>
      <c r="B284" s="36"/>
      <c r="C284" s="3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36"/>
      <c r="B285" s="36"/>
      <c r="C285" s="3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36"/>
      <c r="B286" s="36"/>
      <c r="C286" s="3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36"/>
      <c r="B287" s="36"/>
      <c r="C287" s="3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36"/>
      <c r="B288" s="36"/>
      <c r="C288" s="3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36"/>
      <c r="B289" s="36"/>
      <c r="C289" s="3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36"/>
      <c r="B290" s="36"/>
      <c r="C290" s="3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36"/>
      <c r="B291" s="36"/>
      <c r="C291" s="3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36"/>
      <c r="B292" s="36"/>
      <c r="C292" s="3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36"/>
      <c r="B293" s="36"/>
      <c r="C293" s="3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36"/>
      <c r="B294" s="36"/>
      <c r="C294" s="3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36"/>
      <c r="B295" s="36"/>
      <c r="C295" s="3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36"/>
      <c r="B296" s="36"/>
      <c r="C296" s="3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36"/>
      <c r="B297" s="36"/>
      <c r="C297" s="3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36"/>
      <c r="B298" s="36"/>
      <c r="C298" s="3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36"/>
      <c r="B299" s="36"/>
      <c r="C299" s="3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36"/>
      <c r="B300" s="36"/>
      <c r="C300" s="3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36"/>
      <c r="B301" s="36"/>
      <c r="C301" s="3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36"/>
      <c r="B302" s="36"/>
      <c r="C302" s="3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36"/>
      <c r="B303" s="36"/>
      <c r="C303" s="3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36"/>
      <c r="B304" s="36"/>
      <c r="C304" s="3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36"/>
      <c r="B305" s="36"/>
      <c r="C305" s="3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36"/>
      <c r="B306" s="36"/>
      <c r="C306" s="3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36"/>
      <c r="B307" s="36"/>
      <c r="C307" s="3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36"/>
      <c r="B308" s="36"/>
      <c r="C308" s="3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36"/>
      <c r="B309" s="36"/>
      <c r="C309" s="3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36"/>
      <c r="B310" s="36"/>
      <c r="C310" s="3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36"/>
      <c r="B311" s="36"/>
      <c r="C311" s="3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36"/>
      <c r="B312" s="36"/>
      <c r="C312" s="3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36"/>
      <c r="B313" s="36"/>
      <c r="C313" s="3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36"/>
      <c r="B314" s="36"/>
      <c r="C314" s="3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36"/>
      <c r="B315" s="36"/>
      <c r="C315" s="3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36"/>
      <c r="B316" s="36"/>
      <c r="C316" s="3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36"/>
      <c r="B317" s="36"/>
      <c r="C317" s="3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36"/>
      <c r="B318" s="36"/>
      <c r="C318" s="3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36"/>
      <c r="B319" s="36"/>
      <c r="C319" s="3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36"/>
      <c r="B320" s="36"/>
      <c r="C320" s="3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36"/>
      <c r="B321" s="36"/>
      <c r="C321" s="3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36"/>
      <c r="B322" s="36"/>
      <c r="C322" s="3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36"/>
      <c r="B323" s="36"/>
      <c r="C323" s="3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36"/>
      <c r="B324" s="36"/>
      <c r="C324" s="3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36"/>
      <c r="B325" s="36"/>
      <c r="C325" s="3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36"/>
      <c r="B326" s="36"/>
      <c r="C326" s="3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36"/>
      <c r="B327" s="36"/>
      <c r="C327" s="3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36"/>
      <c r="B328" s="36"/>
      <c r="C328" s="3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36"/>
      <c r="B329" s="36"/>
      <c r="C329" s="3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36"/>
      <c r="B330" s="36"/>
      <c r="C330" s="3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36"/>
      <c r="B331" s="36"/>
      <c r="C331" s="3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36"/>
      <c r="B332" s="36"/>
      <c r="C332" s="3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36"/>
      <c r="B333" s="36"/>
      <c r="C333" s="3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36"/>
      <c r="B334" s="36"/>
      <c r="C334" s="3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36"/>
      <c r="B335" s="36"/>
      <c r="C335" s="3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36"/>
      <c r="B336" s="36"/>
      <c r="C336" s="3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36"/>
      <c r="B337" s="36"/>
      <c r="C337" s="3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36"/>
      <c r="B338" s="36"/>
      <c r="C338" s="3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36"/>
      <c r="B339" s="36"/>
      <c r="C339" s="3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36"/>
      <c r="B340" s="36"/>
      <c r="C340" s="3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36"/>
      <c r="B341" s="36"/>
      <c r="C341" s="3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36"/>
      <c r="B342" s="36"/>
      <c r="C342" s="3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36"/>
      <c r="B343" s="36"/>
      <c r="C343" s="3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36"/>
      <c r="B344" s="36"/>
      <c r="C344" s="3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36"/>
      <c r="B345" s="36"/>
      <c r="C345" s="3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36"/>
      <c r="B346" s="36"/>
      <c r="C346" s="3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36"/>
      <c r="B347" s="36"/>
      <c r="C347" s="3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36"/>
      <c r="B348" s="36"/>
      <c r="C348" s="3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36"/>
      <c r="B349" s="36"/>
      <c r="C349" s="3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36"/>
      <c r="B350" s="36"/>
      <c r="C350" s="3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36"/>
      <c r="B351" s="36"/>
      <c r="C351" s="3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36"/>
      <c r="B352" s="36"/>
      <c r="C352" s="3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36"/>
      <c r="B353" s="36"/>
      <c r="C353" s="3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36"/>
      <c r="B354" s="36"/>
      <c r="C354" s="3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36"/>
      <c r="B355" s="36"/>
      <c r="C355" s="3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36"/>
      <c r="B356" s="36"/>
      <c r="C356" s="3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36"/>
      <c r="B357" s="36"/>
      <c r="C357" s="3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36"/>
      <c r="B358" s="36"/>
      <c r="C358" s="3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36"/>
      <c r="B359" s="36"/>
      <c r="C359" s="3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36"/>
      <c r="B360" s="36"/>
      <c r="C360" s="3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36"/>
      <c r="B361" s="36"/>
      <c r="C361" s="3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36"/>
      <c r="B362" s="36"/>
      <c r="C362" s="3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36"/>
      <c r="B363" s="36"/>
      <c r="C363" s="3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36"/>
      <c r="B364" s="36"/>
      <c r="C364" s="3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36"/>
      <c r="B365" s="36"/>
      <c r="C365" s="3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36"/>
      <c r="B366" s="36"/>
      <c r="C366" s="3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36"/>
      <c r="B367" s="36"/>
      <c r="C367" s="3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36"/>
      <c r="B368" s="36"/>
      <c r="C368" s="3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36"/>
      <c r="B369" s="36"/>
      <c r="C369" s="3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36"/>
      <c r="B370" s="36"/>
      <c r="C370" s="3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36"/>
      <c r="B371" s="36"/>
      <c r="C371" s="3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36"/>
      <c r="B372" s="36"/>
      <c r="C372" s="3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36"/>
      <c r="B373" s="36"/>
      <c r="C373" s="3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36"/>
      <c r="B374" s="36"/>
      <c r="C374" s="3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36"/>
      <c r="B375" s="36"/>
      <c r="C375" s="3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36"/>
      <c r="B376" s="36"/>
      <c r="C376" s="3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36"/>
      <c r="B377" s="36"/>
      <c r="C377" s="3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36"/>
      <c r="B378" s="36"/>
      <c r="C378" s="3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36"/>
      <c r="B379" s="36"/>
      <c r="C379" s="3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36"/>
      <c r="B380" s="36"/>
      <c r="C380" s="3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36"/>
      <c r="B381" s="36"/>
      <c r="C381" s="3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36"/>
      <c r="B382" s="36"/>
      <c r="C382" s="3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36"/>
      <c r="B383" s="36"/>
      <c r="C383" s="3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36"/>
      <c r="B384" s="36"/>
      <c r="C384" s="3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36"/>
      <c r="B385" s="36"/>
      <c r="C385" s="3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36"/>
      <c r="B386" s="36"/>
      <c r="C386" s="3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36"/>
      <c r="B387" s="36"/>
      <c r="C387" s="3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36"/>
      <c r="B388" s="36"/>
      <c r="C388" s="3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36"/>
      <c r="B389" s="36"/>
      <c r="C389" s="3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36"/>
      <c r="B390" s="36"/>
      <c r="C390" s="3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36"/>
      <c r="B391" s="36"/>
      <c r="C391" s="3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36"/>
      <c r="B392" s="36"/>
      <c r="C392" s="3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36"/>
      <c r="B393" s="36"/>
      <c r="C393" s="3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36"/>
      <c r="B394" s="36"/>
      <c r="C394" s="3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36"/>
      <c r="B395" s="36"/>
      <c r="C395" s="3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36"/>
      <c r="B396" s="36"/>
      <c r="C396" s="3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36"/>
      <c r="B397" s="36"/>
      <c r="C397" s="3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36"/>
      <c r="B398" s="36"/>
      <c r="C398" s="3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36"/>
      <c r="B399" s="36"/>
      <c r="C399" s="3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36"/>
      <c r="B400" s="36"/>
      <c r="C400" s="3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36"/>
      <c r="B401" s="36"/>
      <c r="C401" s="3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36"/>
      <c r="B402" s="36"/>
      <c r="C402" s="3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36"/>
      <c r="B403" s="36"/>
      <c r="C403" s="3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36"/>
      <c r="B404" s="36"/>
      <c r="C404" s="3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36"/>
      <c r="B405" s="36"/>
      <c r="C405" s="3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36"/>
      <c r="B406" s="36"/>
      <c r="C406" s="3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36"/>
      <c r="B407" s="36"/>
      <c r="C407" s="3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36"/>
      <c r="B408" s="36"/>
      <c r="C408" s="3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36"/>
      <c r="B409" s="36"/>
      <c r="C409" s="3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36"/>
      <c r="B410" s="36"/>
      <c r="C410" s="3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36"/>
      <c r="B411" s="36"/>
      <c r="C411" s="3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36"/>
      <c r="B412" s="36"/>
      <c r="C412" s="3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36"/>
      <c r="B413" s="36"/>
      <c r="C413" s="3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36"/>
      <c r="B414" s="36"/>
      <c r="C414" s="3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36"/>
      <c r="B415" s="36"/>
      <c r="C415" s="3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36"/>
      <c r="B416" s="36"/>
      <c r="C416" s="3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36"/>
      <c r="B417" s="36"/>
      <c r="C417" s="3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36"/>
      <c r="B418" s="36"/>
      <c r="C418" s="3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36"/>
      <c r="B419" s="36"/>
      <c r="C419" s="3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36"/>
      <c r="B420" s="36"/>
      <c r="C420" s="3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36"/>
      <c r="B421" s="36"/>
      <c r="C421" s="3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36"/>
      <c r="B422" s="36"/>
      <c r="C422" s="3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36"/>
      <c r="B423" s="36"/>
      <c r="C423" s="3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36"/>
      <c r="B424" s="36"/>
      <c r="C424" s="3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36"/>
      <c r="B425" s="36"/>
      <c r="C425" s="3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36"/>
      <c r="B426" s="36"/>
      <c r="C426" s="3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36"/>
      <c r="B427" s="36"/>
      <c r="C427" s="3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36"/>
      <c r="B428" s="36"/>
      <c r="C428" s="3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36"/>
      <c r="B429" s="36"/>
      <c r="C429" s="3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36"/>
      <c r="B430" s="36"/>
      <c r="C430" s="3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36"/>
      <c r="B431" s="36"/>
      <c r="C431" s="3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36"/>
      <c r="B432" s="36"/>
      <c r="C432" s="3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36"/>
      <c r="B433" s="36"/>
      <c r="C433" s="3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36"/>
      <c r="B434" s="36"/>
      <c r="C434" s="3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36"/>
      <c r="B435" s="36"/>
      <c r="C435" s="3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36"/>
      <c r="B436" s="36"/>
      <c r="C436" s="3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36"/>
      <c r="B437" s="36"/>
      <c r="C437" s="3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36"/>
      <c r="B438" s="36"/>
      <c r="C438" s="3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36"/>
      <c r="B439" s="36"/>
      <c r="C439" s="3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36"/>
      <c r="B440" s="36"/>
      <c r="C440" s="3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36"/>
      <c r="B441" s="36"/>
      <c r="C441" s="3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36"/>
      <c r="B442" s="36"/>
      <c r="C442" s="3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36"/>
      <c r="B443" s="36"/>
      <c r="C443" s="3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36"/>
      <c r="B444" s="36"/>
      <c r="C444" s="3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36"/>
      <c r="B445" s="36"/>
      <c r="C445" s="3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36"/>
      <c r="B446" s="36"/>
      <c r="C446" s="3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36"/>
      <c r="B447" s="36"/>
      <c r="C447" s="3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36"/>
      <c r="B448" s="36"/>
      <c r="C448" s="3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36"/>
      <c r="B449" s="36"/>
      <c r="C449" s="3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36"/>
      <c r="B450" s="36"/>
      <c r="C450" s="3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36"/>
      <c r="B451" s="36"/>
      <c r="C451" s="3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36"/>
      <c r="B452" s="36"/>
      <c r="C452" s="3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36"/>
      <c r="B453" s="36"/>
      <c r="C453" s="3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36"/>
      <c r="B454" s="36"/>
      <c r="C454" s="3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36"/>
      <c r="B455" s="36"/>
      <c r="C455" s="3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36"/>
      <c r="B456" s="36"/>
      <c r="C456" s="3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36"/>
      <c r="B457" s="36"/>
      <c r="C457" s="3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36"/>
      <c r="B458" s="36"/>
      <c r="C458" s="3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36"/>
      <c r="B459" s="36"/>
      <c r="C459" s="3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36"/>
      <c r="B460" s="36"/>
      <c r="C460" s="3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36"/>
      <c r="B461" s="36"/>
      <c r="C461" s="3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36"/>
      <c r="B462" s="36"/>
      <c r="C462" s="3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36"/>
      <c r="B463" s="36"/>
      <c r="C463" s="3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36"/>
      <c r="B464" s="36"/>
      <c r="C464" s="3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36"/>
      <c r="B465" s="36"/>
      <c r="C465" s="3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36"/>
      <c r="B466" s="36"/>
      <c r="C466" s="3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36"/>
      <c r="B467" s="36"/>
      <c r="C467" s="3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36"/>
      <c r="B468" s="36"/>
      <c r="C468" s="3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36"/>
      <c r="B469" s="36"/>
      <c r="C469" s="3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36"/>
      <c r="B470" s="36"/>
      <c r="C470" s="3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36"/>
      <c r="B471" s="36"/>
      <c r="C471" s="3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36"/>
      <c r="B472" s="36"/>
      <c r="C472" s="3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36"/>
      <c r="B473" s="36"/>
      <c r="C473" s="3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36"/>
      <c r="B474" s="36"/>
      <c r="C474" s="3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36"/>
      <c r="B475" s="36"/>
      <c r="C475" s="3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36"/>
      <c r="B476" s="36"/>
      <c r="C476" s="3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36"/>
      <c r="B477" s="36"/>
      <c r="C477" s="3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36"/>
      <c r="B478" s="36"/>
      <c r="C478" s="3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36"/>
      <c r="B479" s="36"/>
      <c r="C479" s="3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36"/>
      <c r="B480" s="36"/>
      <c r="C480" s="3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36"/>
      <c r="B481" s="36"/>
      <c r="C481" s="3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36"/>
      <c r="B482" s="36"/>
      <c r="C482" s="3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36"/>
      <c r="B483" s="36"/>
      <c r="C483" s="3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36"/>
      <c r="B484" s="36"/>
      <c r="C484" s="3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36"/>
      <c r="B485" s="36"/>
      <c r="C485" s="3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36"/>
      <c r="B486" s="36"/>
      <c r="C486" s="3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36"/>
      <c r="B487" s="36"/>
      <c r="C487" s="3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36"/>
      <c r="B488" s="36"/>
      <c r="C488" s="3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36"/>
      <c r="B489" s="36"/>
      <c r="C489" s="3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36"/>
      <c r="B490" s="36"/>
      <c r="C490" s="3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36"/>
      <c r="B491" s="36"/>
      <c r="C491" s="3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36"/>
      <c r="B492" s="36"/>
      <c r="C492" s="3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36"/>
      <c r="B493" s="36"/>
      <c r="C493" s="3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36"/>
      <c r="B494" s="36"/>
      <c r="C494" s="3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36"/>
      <c r="B495" s="36"/>
      <c r="C495" s="3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36"/>
      <c r="B496" s="36"/>
      <c r="C496" s="3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36"/>
      <c r="B497" s="36"/>
      <c r="C497" s="3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36"/>
      <c r="B498" s="36"/>
      <c r="C498" s="3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36"/>
      <c r="B499" s="36"/>
      <c r="C499" s="3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36"/>
      <c r="B500" s="36"/>
      <c r="C500" s="3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36"/>
      <c r="B501" s="36"/>
      <c r="C501" s="3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36"/>
      <c r="B502" s="36"/>
      <c r="C502" s="3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36"/>
      <c r="B503" s="36"/>
      <c r="C503" s="3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36"/>
      <c r="B504" s="36"/>
      <c r="C504" s="3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36"/>
      <c r="B505" s="36"/>
      <c r="C505" s="3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36"/>
      <c r="B506" s="36"/>
      <c r="C506" s="3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36"/>
      <c r="B507" s="36"/>
      <c r="C507" s="3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36"/>
      <c r="B508" s="36"/>
      <c r="C508" s="3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36"/>
      <c r="B509" s="36"/>
      <c r="C509" s="3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36"/>
      <c r="B510" s="36"/>
      <c r="C510" s="3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36"/>
      <c r="B511" s="36"/>
      <c r="C511" s="3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36"/>
      <c r="B512" s="36"/>
      <c r="C512" s="3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36"/>
      <c r="B513" s="36"/>
      <c r="C513" s="3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36"/>
      <c r="B514" s="36"/>
      <c r="C514" s="3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36"/>
      <c r="B515" s="36"/>
      <c r="C515" s="3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36"/>
      <c r="B516" s="36"/>
      <c r="C516" s="3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36"/>
      <c r="B517" s="36"/>
      <c r="C517" s="3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36"/>
      <c r="B518" s="36"/>
      <c r="C518" s="3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36"/>
      <c r="B519" s="36"/>
      <c r="C519" s="3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36"/>
      <c r="B520" s="36"/>
      <c r="C520" s="3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36"/>
      <c r="B521" s="36"/>
      <c r="C521" s="3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36"/>
      <c r="B522" s="36"/>
      <c r="C522" s="3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36"/>
      <c r="B523" s="36"/>
      <c r="C523" s="3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36"/>
      <c r="B524" s="36"/>
      <c r="C524" s="3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36"/>
      <c r="B525" s="36"/>
      <c r="C525" s="3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36"/>
      <c r="B526" s="36"/>
      <c r="C526" s="3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36"/>
      <c r="B527" s="36"/>
      <c r="C527" s="3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36"/>
      <c r="B528" s="36"/>
      <c r="C528" s="3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36"/>
      <c r="B529" s="36"/>
      <c r="C529" s="3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36"/>
      <c r="B530" s="36"/>
      <c r="C530" s="3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36"/>
      <c r="B531" s="36"/>
      <c r="C531" s="3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36"/>
      <c r="B532" s="36"/>
      <c r="C532" s="3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36"/>
      <c r="B533" s="36"/>
      <c r="C533" s="3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36"/>
      <c r="B534" s="36"/>
      <c r="C534" s="3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36"/>
      <c r="B535" s="36"/>
      <c r="C535" s="3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36"/>
      <c r="B536" s="36"/>
      <c r="C536" s="3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36"/>
      <c r="B537" s="36"/>
      <c r="C537" s="3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36"/>
      <c r="B538" s="36"/>
      <c r="C538" s="3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36"/>
      <c r="B539" s="36"/>
      <c r="C539" s="3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36"/>
      <c r="B540" s="36"/>
      <c r="C540" s="3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36"/>
      <c r="B541" s="36"/>
      <c r="C541" s="3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36"/>
      <c r="B542" s="36"/>
      <c r="C542" s="3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36"/>
      <c r="B543" s="36"/>
      <c r="C543" s="3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36"/>
      <c r="B544" s="36"/>
      <c r="C544" s="3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36"/>
      <c r="B545" s="36"/>
      <c r="C545" s="3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36"/>
      <c r="B546" s="36"/>
      <c r="C546" s="3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36"/>
      <c r="B547" s="36"/>
      <c r="C547" s="3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36"/>
      <c r="B548" s="36"/>
      <c r="C548" s="3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36"/>
      <c r="B549" s="36"/>
      <c r="C549" s="3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36"/>
      <c r="B550" s="36"/>
      <c r="C550" s="3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36"/>
      <c r="B551" s="36"/>
      <c r="C551" s="3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36"/>
      <c r="B552" s="36"/>
      <c r="C552" s="3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36"/>
      <c r="B553" s="36"/>
      <c r="C553" s="3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36"/>
      <c r="B554" s="36"/>
      <c r="C554" s="3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36"/>
      <c r="B555" s="36"/>
      <c r="C555" s="3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36"/>
      <c r="B556" s="36"/>
      <c r="C556" s="3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36"/>
      <c r="B557" s="36"/>
      <c r="C557" s="3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36"/>
      <c r="B558" s="36"/>
      <c r="C558" s="3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36"/>
      <c r="B559" s="36"/>
      <c r="C559" s="3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36"/>
      <c r="B560" s="36"/>
      <c r="C560" s="3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36"/>
      <c r="B561" s="36"/>
      <c r="C561" s="3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36"/>
      <c r="B562" s="36"/>
      <c r="C562" s="3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36"/>
      <c r="B563" s="36"/>
      <c r="C563" s="3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36"/>
      <c r="B564" s="36"/>
      <c r="C564" s="3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36"/>
      <c r="B565" s="36"/>
      <c r="C565" s="3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36"/>
      <c r="B566" s="36"/>
      <c r="C566" s="3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36"/>
      <c r="B567" s="36"/>
      <c r="C567" s="3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36"/>
      <c r="B568" s="36"/>
      <c r="C568" s="3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36"/>
      <c r="B569" s="36"/>
      <c r="C569" s="3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36"/>
      <c r="B570" s="36"/>
      <c r="C570" s="3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36"/>
      <c r="B571" s="36"/>
      <c r="C571" s="3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36"/>
      <c r="B572" s="36"/>
      <c r="C572" s="3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36"/>
      <c r="B573" s="36"/>
      <c r="C573" s="3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36"/>
      <c r="B574" s="36"/>
      <c r="C574" s="3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36"/>
      <c r="B575" s="36"/>
      <c r="C575" s="3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36"/>
      <c r="B576" s="36"/>
      <c r="C576" s="3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36"/>
      <c r="B577" s="36"/>
      <c r="C577" s="3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36"/>
      <c r="B578" s="36"/>
      <c r="C578" s="3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36"/>
      <c r="B579" s="36"/>
      <c r="C579" s="3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36"/>
      <c r="B580" s="36"/>
      <c r="C580" s="3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36"/>
      <c r="B581" s="36"/>
      <c r="C581" s="3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36"/>
      <c r="B582" s="36"/>
      <c r="C582" s="3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36"/>
      <c r="B583" s="36"/>
      <c r="C583" s="3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36"/>
      <c r="B584" s="36"/>
      <c r="C584" s="3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36"/>
      <c r="B585" s="36"/>
      <c r="C585" s="3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36"/>
      <c r="B586" s="36"/>
      <c r="C586" s="3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36"/>
      <c r="B587" s="36"/>
      <c r="C587" s="3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36"/>
      <c r="B588" s="36"/>
      <c r="C588" s="3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36"/>
      <c r="B589" s="36"/>
      <c r="C589" s="3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36"/>
      <c r="B590" s="36"/>
      <c r="C590" s="3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36"/>
      <c r="B591" s="36"/>
      <c r="C591" s="3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36"/>
      <c r="B592" s="36"/>
      <c r="C592" s="3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36"/>
      <c r="B593" s="36"/>
      <c r="C593" s="3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36"/>
      <c r="B594" s="36"/>
      <c r="C594" s="3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36"/>
      <c r="B595" s="36"/>
      <c r="C595" s="3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36"/>
      <c r="B596" s="36"/>
      <c r="C596" s="3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36"/>
      <c r="B597" s="36"/>
      <c r="C597" s="3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36"/>
      <c r="B598" s="36"/>
      <c r="C598" s="3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36"/>
      <c r="B599" s="36"/>
      <c r="C599" s="3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36"/>
      <c r="B600" s="36"/>
      <c r="C600" s="3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36"/>
      <c r="B601" s="36"/>
      <c r="C601" s="3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36"/>
      <c r="B602" s="36"/>
      <c r="C602" s="3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36"/>
      <c r="B603" s="36"/>
      <c r="C603" s="3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36"/>
      <c r="B604" s="36"/>
      <c r="C604" s="3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36"/>
      <c r="B605" s="36"/>
      <c r="C605" s="3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36"/>
      <c r="B606" s="36"/>
      <c r="C606" s="3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36"/>
      <c r="B607" s="36"/>
      <c r="C607" s="3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36"/>
      <c r="B608" s="36"/>
      <c r="C608" s="3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36"/>
      <c r="B609" s="36"/>
      <c r="C609" s="3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36"/>
      <c r="B610" s="36"/>
      <c r="C610" s="3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36"/>
      <c r="B611" s="36"/>
      <c r="C611" s="3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36"/>
      <c r="B612" s="36"/>
      <c r="C612" s="3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36"/>
      <c r="B613" s="36"/>
      <c r="C613" s="3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36"/>
      <c r="B614" s="36"/>
      <c r="C614" s="3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36"/>
      <c r="B615" s="36"/>
      <c r="C615" s="3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36"/>
      <c r="B616" s="36"/>
      <c r="C616" s="3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36"/>
      <c r="B617" s="36"/>
      <c r="C617" s="3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36"/>
      <c r="B618" s="36"/>
      <c r="C618" s="3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36"/>
      <c r="B619" s="36"/>
      <c r="C619" s="3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36"/>
      <c r="B620" s="36"/>
      <c r="C620" s="3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36"/>
      <c r="B621" s="36"/>
      <c r="C621" s="3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36"/>
      <c r="B622" s="36"/>
      <c r="C622" s="3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36"/>
      <c r="B623" s="36"/>
      <c r="C623" s="3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36"/>
      <c r="B624" s="36"/>
      <c r="C624" s="3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36"/>
      <c r="B625" s="36"/>
      <c r="C625" s="3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36"/>
      <c r="B626" s="36"/>
      <c r="C626" s="3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36"/>
      <c r="B627" s="36"/>
      <c r="C627" s="3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36"/>
      <c r="B628" s="36"/>
      <c r="C628" s="3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36"/>
      <c r="B629" s="36"/>
      <c r="C629" s="3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36"/>
      <c r="B630" s="36"/>
      <c r="C630" s="3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36"/>
      <c r="B631" s="36"/>
      <c r="C631" s="3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36"/>
      <c r="B632" s="36"/>
      <c r="C632" s="3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36"/>
      <c r="B633" s="36"/>
      <c r="C633" s="3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36"/>
      <c r="B634" s="36"/>
      <c r="C634" s="3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36"/>
      <c r="B635" s="36"/>
      <c r="C635" s="3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36"/>
      <c r="B636" s="36"/>
      <c r="C636" s="3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36"/>
      <c r="B637" s="36"/>
      <c r="C637" s="3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36"/>
      <c r="B638" s="36"/>
      <c r="C638" s="3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36"/>
      <c r="B639" s="36"/>
      <c r="C639" s="3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36"/>
      <c r="B640" s="36"/>
      <c r="C640" s="3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36"/>
      <c r="B641" s="36"/>
      <c r="C641" s="3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36"/>
      <c r="B642" s="36"/>
      <c r="C642" s="3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36"/>
      <c r="B643" s="36"/>
      <c r="C643" s="3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36"/>
      <c r="B644" s="36"/>
      <c r="C644" s="3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36"/>
      <c r="B645" s="36"/>
      <c r="C645" s="3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36"/>
      <c r="B646" s="36"/>
      <c r="C646" s="3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36"/>
      <c r="B647" s="36"/>
      <c r="C647" s="3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36"/>
      <c r="B648" s="36"/>
      <c r="C648" s="3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36"/>
      <c r="B649" s="36"/>
      <c r="C649" s="3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36"/>
      <c r="B650" s="36"/>
      <c r="C650" s="3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36"/>
      <c r="B651" s="36"/>
      <c r="C651" s="3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36"/>
      <c r="B652" s="36"/>
      <c r="C652" s="3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36"/>
      <c r="B653" s="36"/>
      <c r="C653" s="3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36"/>
      <c r="B654" s="36"/>
      <c r="C654" s="3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36"/>
      <c r="B655" s="36"/>
      <c r="C655" s="3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36"/>
      <c r="B656" s="36"/>
      <c r="C656" s="3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36"/>
      <c r="B657" s="36"/>
      <c r="C657" s="3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36"/>
      <c r="B658" s="36"/>
      <c r="C658" s="3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36"/>
      <c r="B659" s="36"/>
      <c r="C659" s="3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36"/>
      <c r="B660" s="36"/>
      <c r="C660" s="3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36"/>
      <c r="B661" s="36"/>
      <c r="C661" s="3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36"/>
      <c r="B662" s="36"/>
      <c r="C662" s="3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36"/>
      <c r="B663" s="36"/>
      <c r="C663" s="3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36"/>
      <c r="B664" s="36"/>
      <c r="C664" s="3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36"/>
      <c r="B665" s="36"/>
      <c r="C665" s="3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36"/>
      <c r="B666" s="36"/>
      <c r="C666" s="3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36"/>
      <c r="B667" s="36"/>
      <c r="C667" s="3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36"/>
      <c r="B668" s="36"/>
      <c r="C668" s="3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36"/>
      <c r="B669" s="36"/>
      <c r="C669" s="3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36"/>
      <c r="B670" s="36"/>
      <c r="C670" s="3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36"/>
      <c r="B671" s="36"/>
      <c r="C671" s="3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36"/>
      <c r="B672" s="36"/>
      <c r="C672" s="3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36"/>
      <c r="B673" s="36"/>
      <c r="C673" s="3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36"/>
      <c r="B674" s="36"/>
      <c r="C674" s="3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36"/>
      <c r="B675" s="36"/>
      <c r="C675" s="3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36"/>
      <c r="B676" s="36"/>
      <c r="C676" s="3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36"/>
      <c r="B677" s="36"/>
      <c r="C677" s="3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36"/>
      <c r="B678" s="36"/>
      <c r="C678" s="3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36"/>
      <c r="B679" s="36"/>
      <c r="C679" s="3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36"/>
      <c r="B680" s="36"/>
      <c r="C680" s="3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36"/>
      <c r="B681" s="36"/>
      <c r="C681" s="3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36"/>
      <c r="B682" s="36"/>
      <c r="C682" s="3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36"/>
      <c r="B683" s="36"/>
      <c r="C683" s="3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36"/>
      <c r="B684" s="36"/>
      <c r="C684" s="3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36"/>
      <c r="B685" s="36"/>
      <c r="C685" s="3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36"/>
      <c r="B686" s="36"/>
      <c r="C686" s="3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36"/>
      <c r="B687" s="36"/>
      <c r="C687" s="3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36"/>
      <c r="B688" s="36"/>
      <c r="C688" s="3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36"/>
      <c r="B689" s="36"/>
      <c r="C689" s="3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36"/>
      <c r="B690" s="36"/>
      <c r="C690" s="3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36"/>
      <c r="B691" s="36"/>
      <c r="C691" s="3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36"/>
      <c r="B692" s="36"/>
      <c r="C692" s="3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36"/>
      <c r="B693" s="36"/>
      <c r="C693" s="3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36"/>
      <c r="B694" s="36"/>
      <c r="C694" s="3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36"/>
      <c r="B695" s="36"/>
      <c r="C695" s="3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36"/>
      <c r="B696" s="36"/>
      <c r="C696" s="3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36"/>
      <c r="B697" s="36"/>
      <c r="C697" s="3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36"/>
      <c r="B698" s="36"/>
      <c r="C698" s="3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36"/>
      <c r="B699" s="36"/>
      <c r="C699" s="3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36"/>
      <c r="B700" s="36"/>
      <c r="C700" s="3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36"/>
      <c r="B701" s="36"/>
      <c r="C701" s="3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36"/>
      <c r="B702" s="36"/>
      <c r="C702" s="3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36"/>
      <c r="B703" s="36"/>
      <c r="C703" s="3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36"/>
      <c r="B704" s="36"/>
      <c r="C704" s="3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36"/>
      <c r="B705" s="36"/>
      <c r="C705" s="3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36"/>
      <c r="B706" s="36"/>
      <c r="C706" s="3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36"/>
      <c r="B707" s="36"/>
      <c r="C707" s="3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36"/>
      <c r="B708" s="36"/>
      <c r="C708" s="3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36"/>
      <c r="B709" s="36"/>
      <c r="C709" s="3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36"/>
      <c r="B710" s="36"/>
      <c r="C710" s="3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36"/>
      <c r="B711" s="36"/>
      <c r="C711" s="3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36"/>
      <c r="B712" s="36"/>
      <c r="C712" s="3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36"/>
      <c r="B713" s="36"/>
      <c r="C713" s="3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36"/>
      <c r="B714" s="36"/>
      <c r="C714" s="3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36"/>
      <c r="B715" s="36"/>
      <c r="C715" s="3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36"/>
      <c r="B716" s="36"/>
      <c r="C716" s="3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36"/>
      <c r="B717" s="36"/>
      <c r="C717" s="3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36"/>
      <c r="B718" s="36"/>
      <c r="C718" s="3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36"/>
      <c r="B719" s="36"/>
      <c r="C719" s="3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36"/>
      <c r="B720" s="36"/>
      <c r="C720" s="3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36"/>
      <c r="B721" s="36"/>
      <c r="C721" s="3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36"/>
      <c r="B722" s="36"/>
      <c r="C722" s="3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36"/>
      <c r="B723" s="36"/>
      <c r="C723" s="3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36"/>
      <c r="B724" s="36"/>
      <c r="C724" s="3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36"/>
      <c r="B725" s="36"/>
      <c r="C725" s="3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36"/>
      <c r="B726" s="36"/>
      <c r="C726" s="3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36"/>
      <c r="B727" s="36"/>
      <c r="C727" s="3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36"/>
      <c r="B728" s="36"/>
      <c r="C728" s="3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36"/>
      <c r="B729" s="36"/>
      <c r="C729" s="3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36"/>
      <c r="B730" s="36"/>
      <c r="C730" s="3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36"/>
      <c r="B731" s="36"/>
      <c r="C731" s="3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36"/>
      <c r="B732" s="36"/>
      <c r="C732" s="3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36"/>
      <c r="B733" s="36"/>
      <c r="C733" s="3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36"/>
      <c r="B734" s="36"/>
      <c r="C734" s="3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36"/>
      <c r="B735" s="36"/>
      <c r="C735" s="3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36"/>
      <c r="B736" s="36"/>
      <c r="C736" s="3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36"/>
      <c r="B737" s="36"/>
      <c r="C737" s="3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36"/>
      <c r="B738" s="36"/>
      <c r="C738" s="3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36"/>
      <c r="B739" s="36"/>
      <c r="C739" s="3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36"/>
      <c r="B740" s="36"/>
      <c r="C740" s="3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36"/>
      <c r="B741" s="36"/>
      <c r="C741" s="3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36"/>
      <c r="B742" s="36"/>
      <c r="C742" s="3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36"/>
      <c r="B743" s="36"/>
      <c r="C743" s="3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36"/>
      <c r="B744" s="36"/>
      <c r="C744" s="3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36"/>
      <c r="B745" s="36"/>
      <c r="C745" s="3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36"/>
      <c r="B746" s="36"/>
      <c r="C746" s="3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36"/>
      <c r="B747" s="36"/>
      <c r="C747" s="3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36"/>
      <c r="B748" s="36"/>
      <c r="C748" s="3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36"/>
      <c r="B749" s="36"/>
      <c r="C749" s="3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36"/>
      <c r="B750" s="36"/>
      <c r="C750" s="3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36"/>
      <c r="B751" s="36"/>
      <c r="C751" s="3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36"/>
      <c r="B752" s="36"/>
      <c r="C752" s="3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36"/>
      <c r="B753" s="36"/>
      <c r="C753" s="3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36"/>
      <c r="B754" s="36"/>
      <c r="C754" s="3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36"/>
      <c r="B755" s="36"/>
      <c r="C755" s="3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36"/>
      <c r="B756" s="36"/>
      <c r="C756" s="3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36"/>
      <c r="B757" s="36"/>
      <c r="C757" s="3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36"/>
      <c r="B758" s="36"/>
      <c r="C758" s="3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36"/>
      <c r="B759" s="36"/>
      <c r="C759" s="3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36"/>
      <c r="B760" s="36"/>
      <c r="C760" s="3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36"/>
      <c r="B761" s="36"/>
      <c r="C761" s="3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36"/>
      <c r="B762" s="36"/>
      <c r="C762" s="3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36"/>
      <c r="B763" s="36"/>
      <c r="C763" s="3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36"/>
      <c r="B764" s="36"/>
      <c r="C764" s="3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36"/>
      <c r="B765" s="36"/>
      <c r="C765" s="3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36"/>
      <c r="B766" s="36"/>
      <c r="C766" s="3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36"/>
      <c r="B767" s="36"/>
      <c r="C767" s="3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36"/>
      <c r="B768" s="36"/>
      <c r="C768" s="3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36"/>
      <c r="B769" s="36"/>
      <c r="C769" s="3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36"/>
      <c r="B770" s="36"/>
      <c r="C770" s="3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36"/>
      <c r="B771" s="36"/>
      <c r="C771" s="3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36"/>
      <c r="B772" s="36"/>
      <c r="C772" s="3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36"/>
      <c r="B773" s="36"/>
      <c r="C773" s="3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36"/>
      <c r="B774" s="36"/>
      <c r="C774" s="3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36"/>
      <c r="B775" s="36"/>
      <c r="C775" s="3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36"/>
      <c r="B776" s="36"/>
      <c r="C776" s="3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36"/>
      <c r="B777" s="36"/>
      <c r="C777" s="3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36"/>
      <c r="B778" s="36"/>
      <c r="C778" s="3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36"/>
      <c r="B779" s="36"/>
      <c r="C779" s="3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36"/>
      <c r="B780" s="36"/>
      <c r="C780" s="3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36"/>
      <c r="B781" s="36"/>
      <c r="C781" s="3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36"/>
      <c r="B782" s="36"/>
      <c r="C782" s="3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36"/>
      <c r="B783" s="36"/>
      <c r="C783" s="3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36"/>
      <c r="B784" s="36"/>
      <c r="C784" s="3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36"/>
      <c r="B785" s="36"/>
      <c r="C785" s="3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36"/>
      <c r="B786" s="36"/>
      <c r="C786" s="3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36"/>
      <c r="B787" s="36"/>
      <c r="C787" s="3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36"/>
      <c r="B788" s="36"/>
      <c r="C788" s="3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36"/>
      <c r="B789" s="36"/>
      <c r="C789" s="3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36"/>
      <c r="B790" s="36"/>
      <c r="C790" s="3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36"/>
      <c r="B791" s="36"/>
      <c r="C791" s="3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36"/>
      <c r="B792" s="36"/>
      <c r="C792" s="3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36"/>
      <c r="B793" s="36"/>
      <c r="C793" s="3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36"/>
      <c r="B794" s="36"/>
      <c r="C794" s="3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36"/>
      <c r="B795" s="36"/>
      <c r="C795" s="3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36"/>
      <c r="B796" s="36"/>
      <c r="C796" s="3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36"/>
      <c r="B797" s="36"/>
      <c r="C797" s="3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36"/>
      <c r="B798" s="36"/>
      <c r="C798" s="3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36"/>
      <c r="B799" s="36"/>
      <c r="C799" s="3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36"/>
      <c r="B800" s="36"/>
      <c r="C800" s="3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36"/>
      <c r="B801" s="36"/>
      <c r="C801" s="3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36"/>
      <c r="B802" s="36"/>
      <c r="C802" s="3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36"/>
      <c r="B803" s="36"/>
      <c r="C803" s="3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36"/>
      <c r="B804" s="36"/>
      <c r="C804" s="3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36"/>
      <c r="B805" s="36"/>
      <c r="C805" s="3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36"/>
      <c r="B806" s="36"/>
      <c r="C806" s="3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36"/>
      <c r="B807" s="36"/>
      <c r="C807" s="3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36"/>
      <c r="B808" s="36"/>
      <c r="C808" s="3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36"/>
      <c r="B809" s="36"/>
      <c r="C809" s="3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36"/>
      <c r="B810" s="36"/>
      <c r="C810" s="3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36"/>
      <c r="B811" s="36"/>
      <c r="C811" s="3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36"/>
      <c r="B812" s="36"/>
      <c r="C812" s="3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36"/>
      <c r="B813" s="36"/>
      <c r="C813" s="3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36"/>
      <c r="B814" s="36"/>
      <c r="C814" s="3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36"/>
      <c r="B815" s="36"/>
      <c r="C815" s="3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36"/>
      <c r="B816" s="36"/>
      <c r="C816" s="3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36"/>
      <c r="B817" s="36"/>
      <c r="C817" s="3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36"/>
      <c r="B818" s="36"/>
      <c r="C818" s="3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36"/>
      <c r="B819" s="36"/>
      <c r="C819" s="3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36"/>
      <c r="B820" s="36"/>
      <c r="C820" s="3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36"/>
      <c r="B821" s="36"/>
      <c r="C821" s="3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36"/>
      <c r="B822" s="36"/>
      <c r="C822" s="3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36"/>
      <c r="B823" s="36"/>
      <c r="C823" s="3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36"/>
      <c r="B824" s="36"/>
      <c r="C824" s="3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36"/>
      <c r="B825" s="36"/>
      <c r="C825" s="3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36"/>
      <c r="B826" s="36"/>
      <c r="C826" s="3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36"/>
      <c r="B827" s="36"/>
      <c r="C827" s="3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36"/>
      <c r="B828" s="36"/>
      <c r="C828" s="3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36"/>
      <c r="B829" s="36"/>
      <c r="C829" s="3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36"/>
      <c r="B830" s="36"/>
      <c r="C830" s="3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36"/>
      <c r="B831" s="36"/>
      <c r="C831" s="3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36"/>
      <c r="B832" s="36"/>
      <c r="C832" s="3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36"/>
      <c r="B833" s="36"/>
      <c r="C833" s="3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36"/>
      <c r="B834" s="36"/>
      <c r="C834" s="3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36"/>
      <c r="B835" s="36"/>
      <c r="C835" s="3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36"/>
      <c r="B836" s="36"/>
      <c r="C836" s="3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36"/>
      <c r="B837" s="36"/>
      <c r="C837" s="3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36"/>
      <c r="B838" s="36"/>
      <c r="C838" s="3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36"/>
      <c r="B839" s="36"/>
      <c r="C839" s="3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36"/>
      <c r="B840" s="36"/>
      <c r="C840" s="3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36"/>
      <c r="B841" s="36"/>
      <c r="C841" s="3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36"/>
      <c r="B842" s="36"/>
      <c r="C842" s="3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36"/>
      <c r="B843" s="36"/>
      <c r="C843" s="3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36"/>
      <c r="B844" s="36"/>
      <c r="C844" s="3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36"/>
      <c r="B845" s="36"/>
      <c r="C845" s="3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36"/>
      <c r="B846" s="36"/>
      <c r="C846" s="3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36"/>
      <c r="B847" s="36"/>
      <c r="C847" s="3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36"/>
      <c r="B848" s="36"/>
      <c r="C848" s="3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36"/>
      <c r="B849" s="36"/>
      <c r="C849" s="3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36"/>
      <c r="B850" s="36"/>
      <c r="C850" s="3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36"/>
      <c r="B851" s="36"/>
      <c r="C851" s="3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36"/>
      <c r="B852" s="36"/>
      <c r="C852" s="3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36"/>
      <c r="B853" s="36"/>
      <c r="C853" s="3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36"/>
      <c r="B854" s="36"/>
      <c r="C854" s="3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36"/>
      <c r="B855" s="36"/>
      <c r="C855" s="3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36"/>
      <c r="B856" s="36"/>
      <c r="C856" s="3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36"/>
      <c r="B857" s="36"/>
      <c r="C857" s="3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36"/>
      <c r="B858" s="36"/>
      <c r="C858" s="3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36"/>
      <c r="B859" s="36"/>
      <c r="C859" s="3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36"/>
      <c r="B860" s="36"/>
      <c r="C860" s="3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36"/>
      <c r="B861" s="36"/>
      <c r="C861" s="3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36"/>
      <c r="B862" s="36"/>
      <c r="C862" s="3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36"/>
      <c r="B863" s="36"/>
      <c r="C863" s="3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36"/>
      <c r="B864" s="36"/>
      <c r="C864" s="3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36"/>
      <c r="B865" s="36"/>
      <c r="C865" s="3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36"/>
      <c r="B866" s="36"/>
      <c r="C866" s="3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36"/>
      <c r="B867" s="36"/>
      <c r="C867" s="3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36"/>
      <c r="B868" s="36"/>
      <c r="C868" s="3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36"/>
      <c r="B869" s="36"/>
      <c r="C869" s="3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36"/>
      <c r="B870" s="36"/>
      <c r="C870" s="3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36"/>
      <c r="B871" s="36"/>
      <c r="C871" s="3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36"/>
      <c r="B872" s="36"/>
      <c r="C872" s="3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36"/>
      <c r="B873" s="36"/>
      <c r="C873" s="3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36"/>
      <c r="B874" s="36"/>
      <c r="C874" s="3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36"/>
      <c r="B875" s="36"/>
      <c r="C875" s="3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36"/>
      <c r="B876" s="36"/>
      <c r="C876" s="3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36"/>
      <c r="B877" s="36"/>
      <c r="C877" s="3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36"/>
      <c r="B878" s="36"/>
      <c r="C878" s="3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36"/>
      <c r="B879" s="36"/>
      <c r="C879" s="3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36"/>
      <c r="B880" s="36"/>
      <c r="C880" s="3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36"/>
      <c r="B881" s="36"/>
      <c r="C881" s="3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36"/>
      <c r="B882" s="36"/>
      <c r="C882" s="3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36"/>
      <c r="B883" s="36"/>
      <c r="C883" s="3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36"/>
      <c r="B884" s="36"/>
      <c r="C884" s="3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36"/>
      <c r="B885" s="36"/>
      <c r="C885" s="3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36"/>
      <c r="B886" s="36"/>
      <c r="C886" s="3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36"/>
      <c r="B887" s="36"/>
      <c r="C887" s="3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36"/>
      <c r="B888" s="36"/>
      <c r="C888" s="3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36"/>
      <c r="B889" s="36"/>
      <c r="C889" s="3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36"/>
      <c r="B890" s="36"/>
      <c r="C890" s="3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36"/>
      <c r="B891" s="36"/>
      <c r="C891" s="3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36"/>
      <c r="B892" s="36"/>
      <c r="C892" s="3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36"/>
      <c r="B893" s="36"/>
      <c r="C893" s="3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36"/>
      <c r="B894" s="36"/>
      <c r="C894" s="3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36"/>
      <c r="B895" s="36"/>
      <c r="C895" s="3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36"/>
      <c r="B896" s="36"/>
      <c r="C896" s="3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36"/>
      <c r="B897" s="36"/>
      <c r="C897" s="3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36"/>
      <c r="B898" s="36"/>
      <c r="C898" s="3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36"/>
      <c r="B899" s="36"/>
      <c r="C899" s="3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36"/>
      <c r="B900" s="36"/>
      <c r="C900" s="3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36"/>
      <c r="B901" s="36"/>
      <c r="C901" s="3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36"/>
      <c r="B902" s="36"/>
      <c r="C902" s="3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36"/>
      <c r="B903" s="36"/>
      <c r="C903" s="3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36"/>
      <c r="B904" s="36"/>
      <c r="C904" s="3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36"/>
      <c r="B905" s="36"/>
      <c r="C905" s="3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36"/>
      <c r="B906" s="36"/>
      <c r="C906" s="3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36"/>
      <c r="B907" s="36"/>
      <c r="C907" s="3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36"/>
      <c r="B908" s="36"/>
      <c r="C908" s="3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36"/>
      <c r="B909" s="36"/>
      <c r="C909" s="3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36"/>
      <c r="B910" s="36"/>
      <c r="C910" s="3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36"/>
      <c r="B911" s="36"/>
      <c r="C911" s="3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36"/>
      <c r="B912" s="36"/>
      <c r="C912" s="3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36"/>
      <c r="B913" s="36"/>
      <c r="C913" s="3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36"/>
      <c r="B914" s="36"/>
      <c r="C914" s="3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36"/>
      <c r="B915" s="36"/>
      <c r="C915" s="3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36"/>
      <c r="B916" s="36"/>
      <c r="C916" s="3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36"/>
      <c r="B917" s="36"/>
      <c r="C917" s="3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36"/>
      <c r="B918" s="36"/>
      <c r="C918" s="3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36"/>
      <c r="B919" s="36"/>
      <c r="C919" s="3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36"/>
      <c r="B920" s="36"/>
      <c r="C920" s="3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36"/>
      <c r="B921" s="36"/>
      <c r="C921" s="3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36"/>
      <c r="B922" s="36"/>
      <c r="C922" s="3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36"/>
      <c r="B923" s="36"/>
      <c r="C923" s="3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36"/>
      <c r="B924" s="36"/>
      <c r="C924" s="3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36"/>
      <c r="B925" s="36"/>
      <c r="C925" s="3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36"/>
      <c r="B926" s="36"/>
      <c r="C926" s="3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36"/>
      <c r="B927" s="36"/>
      <c r="C927" s="3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36"/>
      <c r="B928" s="36"/>
      <c r="C928" s="3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36"/>
      <c r="B929" s="36"/>
      <c r="C929" s="3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36"/>
      <c r="B930" s="36"/>
      <c r="C930" s="3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36"/>
      <c r="B931" s="36"/>
      <c r="C931" s="3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36"/>
      <c r="B932" s="36"/>
      <c r="C932" s="3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36"/>
      <c r="B933" s="36"/>
      <c r="C933" s="3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36"/>
      <c r="B934" s="36"/>
      <c r="C934" s="3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36"/>
      <c r="B935" s="36"/>
      <c r="C935" s="3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36"/>
      <c r="B936" s="36"/>
      <c r="C936" s="3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36"/>
      <c r="B937" s="36"/>
      <c r="C937" s="3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36"/>
      <c r="B938" s="36"/>
      <c r="C938" s="3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36"/>
      <c r="B939" s="36"/>
      <c r="C939" s="3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36"/>
      <c r="B940" s="36"/>
      <c r="C940" s="3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36"/>
      <c r="B941" s="36"/>
      <c r="C941" s="3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36"/>
      <c r="B942" s="36"/>
      <c r="C942" s="3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36"/>
      <c r="B943" s="36"/>
      <c r="C943" s="3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36"/>
      <c r="B944" s="36"/>
      <c r="C944" s="3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36"/>
      <c r="B945" s="36"/>
      <c r="C945" s="3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36"/>
      <c r="B946" s="36"/>
      <c r="C946" s="3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36"/>
      <c r="B947" s="36"/>
      <c r="C947" s="3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36"/>
      <c r="B948" s="36"/>
      <c r="C948" s="3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36"/>
      <c r="B949" s="36"/>
      <c r="C949" s="3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36"/>
      <c r="B950" s="36"/>
      <c r="C950" s="3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36"/>
      <c r="B951" s="36"/>
      <c r="C951" s="3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36"/>
      <c r="B952" s="36"/>
      <c r="C952" s="3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36"/>
      <c r="B953" s="36"/>
      <c r="C953" s="3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36"/>
      <c r="B954" s="36"/>
      <c r="C954" s="3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36"/>
      <c r="B955" s="36"/>
      <c r="C955" s="3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36"/>
      <c r="B956" s="36"/>
      <c r="C956" s="3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36"/>
      <c r="B957" s="36"/>
      <c r="C957" s="3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36"/>
      <c r="B958" s="36"/>
      <c r="C958" s="3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36"/>
      <c r="B959" s="36"/>
      <c r="C959" s="3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36"/>
      <c r="B960" s="36"/>
      <c r="C960" s="3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36"/>
      <c r="B961" s="36"/>
      <c r="C961" s="3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36"/>
      <c r="B962" s="36"/>
      <c r="C962" s="3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36"/>
      <c r="B963" s="36"/>
      <c r="C963" s="3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36"/>
      <c r="B964" s="36"/>
      <c r="C964" s="3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36"/>
      <c r="B965" s="36"/>
      <c r="C965" s="3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36"/>
      <c r="B966" s="36"/>
      <c r="C966" s="3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36"/>
      <c r="B967" s="36"/>
      <c r="C967" s="3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36"/>
      <c r="B968" s="36"/>
      <c r="C968" s="3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36"/>
      <c r="B969" s="36"/>
      <c r="C969" s="3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36"/>
      <c r="B970" s="36"/>
      <c r="C970" s="3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36"/>
      <c r="B971" s="36"/>
      <c r="C971" s="3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36"/>
      <c r="B972" s="36"/>
      <c r="C972" s="3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36"/>
      <c r="B973" s="36"/>
      <c r="C973" s="3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36"/>
      <c r="B974" s="36"/>
      <c r="C974" s="3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36"/>
      <c r="B975" s="36"/>
      <c r="C975" s="3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36"/>
      <c r="B976" s="36"/>
      <c r="C976" s="3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36"/>
      <c r="B977" s="36"/>
      <c r="C977" s="3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36"/>
      <c r="B978" s="36"/>
      <c r="C978" s="3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36"/>
      <c r="B979" s="36"/>
      <c r="C979" s="3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36"/>
      <c r="B980" s="36"/>
      <c r="C980" s="3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36"/>
      <c r="B981" s="36"/>
      <c r="C981" s="3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36"/>
      <c r="B982" s="36"/>
      <c r="C982" s="3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36"/>
      <c r="B983" s="36"/>
      <c r="C983" s="3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36"/>
      <c r="B984" s="36"/>
      <c r="C984" s="3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36"/>
      <c r="B985" s="36"/>
      <c r="C985" s="3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36"/>
      <c r="B986" s="36"/>
      <c r="C986" s="3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36"/>
      <c r="B987" s="36"/>
      <c r="C987" s="3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36"/>
      <c r="B988" s="36"/>
      <c r="C988" s="3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36"/>
      <c r="B989" s="36"/>
      <c r="C989" s="3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36"/>
      <c r="B990" s="36"/>
      <c r="C990" s="3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36"/>
      <c r="B991" s="36"/>
      <c r="C991" s="3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36"/>
      <c r="B992" s="36"/>
      <c r="C992" s="3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36"/>
      <c r="B993" s="36"/>
      <c r="C993" s="3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36"/>
      <c r="B994" s="36"/>
      <c r="C994" s="3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36"/>
      <c r="B995" s="36"/>
      <c r="C995" s="3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36"/>
      <c r="B996" s="36"/>
      <c r="C996" s="3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36"/>
      <c r="B997" s="36"/>
      <c r="C997" s="3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36"/>
      <c r="B998" s="36"/>
      <c r="C998" s="3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36"/>
      <c r="B999" s="36"/>
      <c r="C999" s="3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36"/>
      <c r="B1000" s="36"/>
      <c r="C1000" s="3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26" width="8.71"/>
  </cols>
  <sheetData>
    <row r="1">
      <c r="A1" s="97" t="s">
        <v>43</v>
      </c>
      <c r="B1" s="97" t="s">
        <v>44</v>
      </c>
      <c r="C1" s="97" t="s">
        <v>45</v>
      </c>
    </row>
    <row r="2">
      <c r="A2" s="98">
        <v>43221.0</v>
      </c>
      <c r="B2" s="98">
        <v>43251.0</v>
      </c>
      <c r="C2" s="97">
        <v>0.0</v>
      </c>
    </row>
    <row r="3">
      <c r="A3" s="98">
        <v>43221.0</v>
      </c>
      <c r="B3" s="98">
        <v>43252.0</v>
      </c>
      <c r="C3" s="97">
        <v>0.0</v>
      </c>
    </row>
    <row r="4">
      <c r="A4" s="98">
        <v>43222.0</v>
      </c>
      <c r="B4" s="98">
        <v>43253.0</v>
      </c>
      <c r="C4" s="97">
        <v>0.0</v>
      </c>
    </row>
    <row r="5">
      <c r="A5" s="98">
        <v>43223.0</v>
      </c>
      <c r="B5" s="98">
        <v>43254.0</v>
      </c>
      <c r="C5" s="97">
        <v>0.0</v>
      </c>
    </row>
    <row r="6">
      <c r="A6" s="98">
        <v>43224.0</v>
      </c>
      <c r="B6" s="98">
        <v>43255.0</v>
      </c>
      <c r="C6" s="97">
        <v>0.0</v>
      </c>
    </row>
    <row r="7">
      <c r="A7" s="98">
        <v>43225.0</v>
      </c>
      <c r="B7" s="98">
        <v>43256.0</v>
      </c>
      <c r="C7" s="97">
        <v>0.0</v>
      </c>
    </row>
    <row r="8">
      <c r="A8" s="98">
        <v>43226.0</v>
      </c>
      <c r="B8" s="98">
        <v>43257.0</v>
      </c>
      <c r="C8" s="97">
        <v>0.0</v>
      </c>
    </row>
    <row r="9">
      <c r="A9" s="98">
        <v>43227.0</v>
      </c>
      <c r="B9" s="98">
        <v>43258.0</v>
      </c>
      <c r="C9" s="97">
        <v>0.0</v>
      </c>
    </row>
    <row r="10">
      <c r="A10" s="98">
        <v>43228.0</v>
      </c>
      <c r="B10" s="98">
        <v>43259.0</v>
      </c>
      <c r="C10" s="97">
        <v>0.0</v>
      </c>
    </row>
    <row r="11">
      <c r="A11" s="98">
        <v>43229.0</v>
      </c>
      <c r="B11" s="98">
        <v>43260.0</v>
      </c>
      <c r="C11" s="97">
        <v>0.0</v>
      </c>
    </row>
    <row r="12">
      <c r="A12" s="98">
        <v>43230.0</v>
      </c>
      <c r="B12" s="98">
        <v>43261.0</v>
      </c>
      <c r="C12" s="97">
        <v>0.0</v>
      </c>
    </row>
    <row r="13">
      <c r="A13" s="98">
        <v>43231.0</v>
      </c>
      <c r="B13" s="98">
        <v>43262.0</v>
      </c>
      <c r="C13" s="97">
        <v>0.0</v>
      </c>
    </row>
    <row r="14">
      <c r="A14" s="98">
        <v>43232.0</v>
      </c>
      <c r="B14" s="98">
        <v>43263.0</v>
      </c>
      <c r="C14" s="97">
        <v>0.0</v>
      </c>
    </row>
    <row r="15">
      <c r="A15" s="98">
        <v>43233.0</v>
      </c>
      <c r="B15" s="98">
        <v>43264.0</v>
      </c>
      <c r="C15" s="97">
        <v>0.0</v>
      </c>
    </row>
    <row r="16">
      <c r="A16" s="98">
        <v>43234.0</v>
      </c>
      <c r="B16" s="98">
        <v>43265.0</v>
      </c>
      <c r="C16" s="97">
        <v>0.0</v>
      </c>
    </row>
    <row r="17">
      <c r="A17" s="98">
        <v>43235.0</v>
      </c>
      <c r="B17" s="98">
        <v>43266.0</v>
      </c>
      <c r="C17" s="97">
        <v>0.0</v>
      </c>
    </row>
    <row r="18">
      <c r="A18" s="98">
        <v>43236.0</v>
      </c>
      <c r="B18" s="98">
        <v>43267.0</v>
      </c>
      <c r="C18" s="97">
        <v>0.0</v>
      </c>
    </row>
    <row r="19">
      <c r="A19" s="98">
        <v>43237.0</v>
      </c>
      <c r="B19" s="98">
        <v>43268.0</v>
      </c>
      <c r="C19" s="97">
        <v>0.0</v>
      </c>
    </row>
    <row r="20">
      <c r="A20" s="98">
        <v>43238.0</v>
      </c>
      <c r="B20" s="98">
        <v>43269.0</v>
      </c>
      <c r="C20" s="97">
        <v>0.0</v>
      </c>
    </row>
    <row r="21" ht="15.75" customHeight="1">
      <c r="A21" s="98">
        <v>43239.0</v>
      </c>
      <c r="B21" s="98">
        <v>43270.0</v>
      </c>
      <c r="C21" s="97">
        <v>0.0</v>
      </c>
    </row>
    <row r="22" ht="15.75" customHeight="1">
      <c r="A22" s="98">
        <v>43240.0</v>
      </c>
      <c r="B22" s="98">
        <v>43271.0</v>
      </c>
      <c r="C22" s="97">
        <v>0.0</v>
      </c>
    </row>
    <row r="23" ht="15.75" customHeight="1">
      <c r="A23" s="98">
        <v>43241.0</v>
      </c>
      <c r="B23" s="98">
        <v>43272.0</v>
      </c>
      <c r="C23" s="97">
        <v>0.0</v>
      </c>
    </row>
    <row r="24" ht="15.75" customHeight="1">
      <c r="A24" s="98">
        <v>43242.0</v>
      </c>
      <c r="B24" s="98">
        <v>43273.0</v>
      </c>
      <c r="C24" s="97">
        <v>0.0</v>
      </c>
    </row>
    <row r="25" ht="15.75" customHeight="1">
      <c r="A25" s="98">
        <v>43243.0</v>
      </c>
      <c r="B25" s="98">
        <v>43274.0</v>
      </c>
      <c r="C25" s="97">
        <v>0.0</v>
      </c>
    </row>
    <row r="26" ht="15.75" customHeight="1">
      <c r="A26" s="98">
        <v>43244.0</v>
      </c>
      <c r="B26" s="98">
        <v>43275.0</v>
      </c>
      <c r="C26" s="97">
        <v>0.0</v>
      </c>
    </row>
    <row r="27" ht="15.75" customHeight="1">
      <c r="A27" s="98">
        <v>43245.0</v>
      </c>
      <c r="B27" s="98">
        <v>43276.0</v>
      </c>
      <c r="C27" s="97">
        <v>0.0</v>
      </c>
    </row>
    <row r="28" ht="15.75" customHeight="1">
      <c r="A28" s="98">
        <v>43246.0</v>
      </c>
      <c r="B28" s="98">
        <v>43277.0</v>
      </c>
      <c r="C28" s="97">
        <v>0.0</v>
      </c>
    </row>
    <row r="29" ht="15.75" customHeight="1">
      <c r="A29" s="98">
        <v>43247.0</v>
      </c>
      <c r="B29" s="98">
        <v>43278.0</v>
      </c>
      <c r="C29" s="97">
        <v>0.0</v>
      </c>
    </row>
    <row r="30" ht="15.75" customHeight="1">
      <c r="A30" s="98">
        <v>43248.0</v>
      </c>
      <c r="B30" s="98">
        <v>43279.0</v>
      </c>
      <c r="C30" s="97">
        <v>0.0</v>
      </c>
    </row>
    <row r="31" ht="15.75" customHeight="1">
      <c r="A31" s="98">
        <v>43249.0</v>
      </c>
      <c r="B31" s="98">
        <v>43280.0</v>
      </c>
      <c r="C31" s="97">
        <v>0.0</v>
      </c>
    </row>
    <row r="32" ht="15.75" customHeight="1">
      <c r="A32" s="98">
        <v>43250.0</v>
      </c>
      <c r="B32" s="98">
        <v>43281.0</v>
      </c>
      <c r="C32" s="97">
        <v>0.0</v>
      </c>
    </row>
    <row r="33" ht="15.75" customHeight="1">
      <c r="A33" s="98">
        <v>43251.0</v>
      </c>
      <c r="B33" s="98">
        <v>43282.0</v>
      </c>
      <c r="C33" s="97">
        <v>0.0</v>
      </c>
    </row>
    <row r="34" ht="15.75" customHeight="1">
      <c r="A34" s="98">
        <v>43252.0</v>
      </c>
      <c r="B34" s="98">
        <v>43282.0</v>
      </c>
      <c r="C34" s="97">
        <v>0.0</v>
      </c>
    </row>
    <row r="35" ht="15.75" customHeight="1">
      <c r="A35" s="98">
        <v>43253.0</v>
      </c>
      <c r="B35" s="98">
        <v>43283.0</v>
      </c>
      <c r="C35" s="97">
        <v>0.0</v>
      </c>
    </row>
    <row r="36" ht="15.75" customHeight="1">
      <c r="A36" s="98">
        <v>43254.0</v>
      </c>
      <c r="B36" s="98">
        <v>43284.0</v>
      </c>
      <c r="C36" s="97">
        <v>0.0</v>
      </c>
    </row>
    <row r="37" ht="15.75" customHeight="1">
      <c r="A37" s="98">
        <v>43255.0</v>
      </c>
      <c r="B37" s="98">
        <v>43285.0</v>
      </c>
      <c r="C37" s="97">
        <v>0.0</v>
      </c>
    </row>
    <row r="38" ht="15.75" customHeight="1">
      <c r="A38" s="98">
        <v>43256.0</v>
      </c>
      <c r="B38" s="98">
        <v>43286.0</v>
      </c>
      <c r="C38" s="97">
        <v>0.0</v>
      </c>
    </row>
    <row r="39" ht="15.75" customHeight="1">
      <c r="A39" s="98">
        <v>43257.0</v>
      </c>
      <c r="B39" s="98">
        <v>43287.0</v>
      </c>
      <c r="C39" s="97">
        <v>0.0</v>
      </c>
    </row>
    <row r="40" ht="15.75" customHeight="1">
      <c r="A40" s="98">
        <v>43258.0</v>
      </c>
      <c r="B40" s="98">
        <v>43288.0</v>
      </c>
      <c r="C40" s="97">
        <v>0.0</v>
      </c>
    </row>
    <row r="41" ht="15.75" customHeight="1">
      <c r="A41" s="98">
        <v>43259.0</v>
      </c>
      <c r="B41" s="98">
        <v>43289.0</v>
      </c>
      <c r="C41" s="97">
        <v>0.0</v>
      </c>
    </row>
    <row r="42" ht="15.75" customHeight="1">
      <c r="A42" s="98">
        <v>43260.0</v>
      </c>
      <c r="B42" s="98">
        <v>43290.0</v>
      </c>
      <c r="C42" s="97">
        <v>0.0</v>
      </c>
    </row>
    <row r="43" ht="15.75" customHeight="1">
      <c r="A43" s="98">
        <v>43261.0</v>
      </c>
      <c r="B43" s="98">
        <v>43291.0</v>
      </c>
      <c r="C43" s="97">
        <v>0.0</v>
      </c>
    </row>
    <row r="44" ht="15.75" customHeight="1">
      <c r="A44" s="98">
        <v>43262.0</v>
      </c>
      <c r="B44" s="98">
        <v>43292.0</v>
      </c>
      <c r="C44" s="97">
        <v>0.0</v>
      </c>
    </row>
    <row r="45" ht="15.75" customHeight="1">
      <c r="A45" s="98">
        <v>43263.0</v>
      </c>
      <c r="B45" s="98">
        <v>43293.0</v>
      </c>
      <c r="C45" s="97">
        <v>0.0</v>
      </c>
    </row>
    <row r="46" ht="15.75" customHeight="1">
      <c r="A46" s="98">
        <v>43264.0</v>
      </c>
      <c r="B46" s="98">
        <v>43294.0</v>
      </c>
      <c r="C46" s="97">
        <v>0.0</v>
      </c>
    </row>
    <row r="47" ht="15.75" customHeight="1">
      <c r="A47" s="98">
        <v>43265.0</v>
      </c>
      <c r="B47" s="98">
        <v>43295.0</v>
      </c>
      <c r="C47" s="97">
        <v>0.0</v>
      </c>
    </row>
    <row r="48" ht="15.75" customHeight="1">
      <c r="A48" s="98">
        <v>43266.0</v>
      </c>
      <c r="B48" s="98">
        <v>43296.0</v>
      </c>
      <c r="C48" s="97">
        <v>0.0</v>
      </c>
    </row>
    <row r="49" ht="15.75" customHeight="1">
      <c r="A49" s="98">
        <v>43267.0</v>
      </c>
      <c r="B49" s="98">
        <v>43297.0</v>
      </c>
      <c r="C49" s="97">
        <v>0.0</v>
      </c>
    </row>
    <row r="50" ht="15.75" customHeight="1">
      <c r="A50" s="98">
        <v>43268.0</v>
      </c>
      <c r="B50" s="98">
        <v>43298.0</v>
      </c>
      <c r="C50" s="97">
        <v>0.0</v>
      </c>
    </row>
    <row r="51" ht="15.75" customHeight="1">
      <c r="A51" s="98">
        <v>43269.0</v>
      </c>
      <c r="B51" s="98">
        <v>43299.0</v>
      </c>
      <c r="C51" s="97">
        <v>0.0</v>
      </c>
    </row>
    <row r="52" ht="15.75" customHeight="1">
      <c r="A52" s="98">
        <v>43270.0</v>
      </c>
      <c r="B52" s="98">
        <v>43300.0</v>
      </c>
      <c r="C52" s="97">
        <v>0.0</v>
      </c>
    </row>
    <row r="53" ht="15.75" customHeight="1">
      <c r="A53" s="98">
        <v>43271.0</v>
      </c>
      <c r="B53" s="98">
        <v>43301.0</v>
      </c>
      <c r="C53" s="97">
        <v>0.0</v>
      </c>
    </row>
    <row r="54" ht="15.75" customHeight="1">
      <c r="A54" s="98">
        <v>43272.0</v>
      </c>
      <c r="B54" s="98">
        <v>43302.0</v>
      </c>
      <c r="C54" s="97">
        <v>0.0</v>
      </c>
    </row>
    <row r="55" ht="15.75" customHeight="1">
      <c r="A55" s="98">
        <v>43273.0</v>
      </c>
      <c r="B55" s="98">
        <v>43303.0</v>
      </c>
      <c r="C55" s="97">
        <v>0.0</v>
      </c>
    </row>
    <row r="56" ht="15.75" customHeight="1">
      <c r="A56" s="98">
        <v>43274.0</v>
      </c>
      <c r="B56" s="98">
        <v>43304.0</v>
      </c>
      <c r="C56" s="97">
        <v>0.0</v>
      </c>
    </row>
    <row r="57" ht="15.75" customHeight="1">
      <c r="A57" s="98">
        <v>43275.0</v>
      </c>
      <c r="B57" s="98">
        <v>43305.0</v>
      </c>
      <c r="C57" s="97">
        <v>0.0</v>
      </c>
    </row>
    <row r="58" ht="15.75" customHeight="1">
      <c r="A58" s="98">
        <v>43276.0</v>
      </c>
      <c r="B58" s="98">
        <v>43306.0</v>
      </c>
      <c r="C58" s="97">
        <v>0.0</v>
      </c>
    </row>
    <row r="59" ht="15.75" customHeight="1">
      <c r="A59" s="98">
        <v>43277.0</v>
      </c>
      <c r="B59" s="98">
        <v>43307.0</v>
      </c>
      <c r="C59" s="97">
        <v>0.0</v>
      </c>
    </row>
    <row r="60" ht="15.75" customHeight="1">
      <c r="A60" s="98">
        <v>43278.0</v>
      </c>
      <c r="B60" s="98">
        <v>43308.0</v>
      </c>
      <c r="C60" s="97">
        <v>0.0</v>
      </c>
    </row>
    <row r="61" ht="15.75" customHeight="1">
      <c r="A61" s="98">
        <v>43279.0</v>
      </c>
      <c r="B61" s="98">
        <v>43309.0</v>
      </c>
      <c r="C61" s="97">
        <v>0.0</v>
      </c>
    </row>
    <row r="62" ht="15.75" customHeight="1">
      <c r="A62" s="98">
        <v>43280.0</v>
      </c>
      <c r="B62" s="98">
        <v>43310.0</v>
      </c>
      <c r="C62" s="97">
        <v>0.0</v>
      </c>
    </row>
    <row r="63" ht="15.75" customHeight="1">
      <c r="A63" s="98">
        <v>43281.0</v>
      </c>
      <c r="B63" s="98">
        <v>43311.0</v>
      </c>
      <c r="C63" s="97">
        <v>0.0</v>
      </c>
    </row>
    <row r="64" ht="15.75" customHeight="1">
      <c r="A64" s="98">
        <v>43282.0</v>
      </c>
      <c r="B64" s="98">
        <v>43312.0</v>
      </c>
      <c r="C64" s="97">
        <v>0.0</v>
      </c>
    </row>
    <row r="65" ht="15.75" customHeight="1">
      <c r="A65" s="98">
        <v>43282.0</v>
      </c>
      <c r="B65" s="98">
        <v>43313.0</v>
      </c>
      <c r="C65" s="97">
        <v>0.0</v>
      </c>
    </row>
    <row r="66" ht="15.75" customHeight="1">
      <c r="A66" s="98">
        <v>43283.0</v>
      </c>
      <c r="B66" s="98">
        <v>43314.0</v>
      </c>
      <c r="C66" s="97">
        <v>0.0</v>
      </c>
    </row>
    <row r="67" ht="15.75" customHeight="1">
      <c r="A67" s="98">
        <v>43284.0</v>
      </c>
      <c r="B67" s="98">
        <v>43315.0</v>
      </c>
      <c r="C67" s="97">
        <v>0.0</v>
      </c>
    </row>
    <row r="68" ht="15.75" customHeight="1">
      <c r="A68" s="98">
        <v>43285.0</v>
      </c>
      <c r="B68" s="98">
        <v>43316.0</v>
      </c>
      <c r="C68" s="97">
        <v>0.0</v>
      </c>
    </row>
    <row r="69" ht="15.75" customHeight="1">
      <c r="A69" s="98">
        <v>43286.0</v>
      </c>
      <c r="B69" s="98">
        <v>43317.0</v>
      </c>
      <c r="C69" s="97">
        <v>0.0</v>
      </c>
    </row>
    <row r="70" ht="15.75" customHeight="1">
      <c r="A70" s="98">
        <v>43287.0</v>
      </c>
      <c r="B70" s="98">
        <v>43318.0</v>
      </c>
      <c r="C70" s="97">
        <v>0.0</v>
      </c>
    </row>
    <row r="71" ht="15.75" customHeight="1">
      <c r="A71" s="98">
        <v>43288.0</v>
      </c>
      <c r="B71" s="98">
        <v>43319.0</v>
      </c>
      <c r="C71" s="97">
        <v>0.0</v>
      </c>
    </row>
    <row r="72" ht="15.75" customHeight="1">
      <c r="A72" s="98">
        <v>43289.0</v>
      </c>
      <c r="B72" s="98">
        <v>43320.0</v>
      </c>
      <c r="C72" s="97">
        <v>0.0</v>
      </c>
    </row>
    <row r="73" ht="15.75" customHeight="1">
      <c r="A73" s="98">
        <v>43290.0</v>
      </c>
      <c r="B73" s="98">
        <v>43321.0</v>
      </c>
      <c r="C73" s="97">
        <v>0.0</v>
      </c>
    </row>
    <row r="74" ht="15.75" customHeight="1">
      <c r="A74" s="98">
        <v>43291.0</v>
      </c>
      <c r="B74" s="98">
        <v>43322.0</v>
      </c>
      <c r="C74" s="97">
        <v>0.0</v>
      </c>
    </row>
    <row r="75" ht="15.75" customHeight="1">
      <c r="A75" s="98">
        <v>43292.0</v>
      </c>
      <c r="B75" s="98">
        <v>43323.0</v>
      </c>
      <c r="C75" s="97">
        <v>0.0</v>
      </c>
    </row>
    <row r="76" ht="15.75" customHeight="1">
      <c r="A76" s="98">
        <v>43293.0</v>
      </c>
      <c r="B76" s="98">
        <v>43324.0</v>
      </c>
      <c r="C76" s="97">
        <v>0.0</v>
      </c>
    </row>
    <row r="77" ht="15.75" customHeight="1">
      <c r="A77" s="98">
        <v>43294.0</v>
      </c>
      <c r="B77" s="98">
        <v>43325.0</v>
      </c>
      <c r="C77" s="97">
        <v>0.0</v>
      </c>
    </row>
    <row r="78" ht="15.75" customHeight="1">
      <c r="A78" s="98">
        <v>43295.0</v>
      </c>
      <c r="B78" s="98">
        <v>43326.0</v>
      </c>
      <c r="C78" s="97">
        <v>0.0</v>
      </c>
    </row>
    <row r="79" ht="15.75" customHeight="1">
      <c r="A79" s="98">
        <v>43296.0</v>
      </c>
      <c r="B79" s="98">
        <v>43327.0</v>
      </c>
      <c r="C79" s="97">
        <v>0.0</v>
      </c>
    </row>
    <row r="80" ht="15.75" customHeight="1">
      <c r="A80" s="98">
        <v>43297.0</v>
      </c>
      <c r="B80" s="98">
        <v>43328.0</v>
      </c>
      <c r="C80" s="97">
        <v>0.0</v>
      </c>
    </row>
    <row r="81" ht="15.75" customHeight="1">
      <c r="A81" s="98">
        <v>43298.0</v>
      </c>
      <c r="B81" s="98">
        <v>43329.0</v>
      </c>
      <c r="C81" s="97">
        <v>0.0</v>
      </c>
    </row>
    <row r="82" ht="15.75" customHeight="1">
      <c r="A82" s="98">
        <v>43299.0</v>
      </c>
      <c r="B82" s="98">
        <v>43330.0</v>
      </c>
      <c r="C82" s="97">
        <v>0.0</v>
      </c>
    </row>
    <row r="83" ht="15.75" customHeight="1">
      <c r="A83" s="98">
        <v>43300.0</v>
      </c>
      <c r="B83" s="98">
        <v>43331.0</v>
      </c>
      <c r="C83" s="97">
        <v>0.0</v>
      </c>
    </row>
    <row r="84" ht="15.75" customHeight="1">
      <c r="A84" s="98">
        <v>43301.0</v>
      </c>
      <c r="B84" s="98">
        <v>43332.0</v>
      </c>
      <c r="C84" s="97">
        <v>0.0</v>
      </c>
    </row>
    <row r="85" ht="15.75" customHeight="1">
      <c r="A85" s="98">
        <v>43302.0</v>
      </c>
      <c r="B85" s="98">
        <v>43333.0</v>
      </c>
      <c r="C85" s="97">
        <v>0.0</v>
      </c>
    </row>
    <row r="86" ht="15.75" customHeight="1">
      <c r="A86" s="98">
        <v>43303.0</v>
      </c>
      <c r="B86" s="98">
        <v>43334.0</v>
      </c>
      <c r="C86" s="97">
        <v>0.0</v>
      </c>
    </row>
    <row r="87" ht="15.75" customHeight="1">
      <c r="A87" s="98">
        <v>43304.0</v>
      </c>
      <c r="B87" s="98">
        <v>43335.0</v>
      </c>
      <c r="C87" s="97">
        <v>0.0</v>
      </c>
    </row>
    <row r="88" ht="15.75" customHeight="1">
      <c r="A88" s="98">
        <v>43305.0</v>
      </c>
      <c r="B88" s="98">
        <v>43336.0</v>
      </c>
      <c r="C88" s="97">
        <v>0.0</v>
      </c>
    </row>
    <row r="89" ht="15.75" customHeight="1">
      <c r="A89" s="98">
        <v>43306.0</v>
      </c>
      <c r="B89" s="98">
        <v>43337.0</v>
      </c>
      <c r="C89" s="97">
        <v>0.0</v>
      </c>
    </row>
    <row r="90" ht="15.75" customHeight="1">
      <c r="A90" s="98">
        <v>43307.0</v>
      </c>
      <c r="B90" s="98">
        <v>43338.0</v>
      </c>
      <c r="C90" s="97">
        <v>0.0</v>
      </c>
    </row>
    <row r="91" ht="15.75" customHeight="1">
      <c r="A91" s="98">
        <v>43308.0</v>
      </c>
      <c r="B91" s="98">
        <v>43339.0</v>
      </c>
      <c r="C91" s="97">
        <v>0.0</v>
      </c>
    </row>
    <row r="92" ht="15.75" customHeight="1">
      <c r="A92" s="98">
        <v>43309.0</v>
      </c>
      <c r="B92" s="98">
        <v>43340.0</v>
      </c>
      <c r="C92" s="97">
        <v>0.0</v>
      </c>
    </row>
    <row r="93" ht="15.75" customHeight="1">
      <c r="A93" s="98">
        <v>43310.0</v>
      </c>
      <c r="B93" s="98">
        <v>43341.0</v>
      </c>
      <c r="C93" s="97">
        <v>0.0</v>
      </c>
    </row>
    <row r="94" ht="15.75" customHeight="1">
      <c r="A94" s="98">
        <v>43311.0</v>
      </c>
      <c r="B94" s="98">
        <v>43342.0</v>
      </c>
      <c r="C94" s="97">
        <v>0.0</v>
      </c>
    </row>
    <row r="95" ht="15.75" customHeight="1">
      <c r="A95" s="98">
        <v>43312.0</v>
      </c>
      <c r="B95" s="98">
        <v>43343.0</v>
      </c>
      <c r="C95" s="97">
        <v>0.0</v>
      </c>
    </row>
    <row r="96" ht="15.75" customHeight="1">
      <c r="A96" s="98">
        <v>43313.0</v>
      </c>
      <c r="B96" s="98">
        <v>43344.0</v>
      </c>
      <c r="C96" s="97">
        <v>0.0</v>
      </c>
    </row>
    <row r="97" ht="15.75" customHeight="1">
      <c r="A97" s="98">
        <v>43314.0</v>
      </c>
      <c r="B97" s="98">
        <v>43345.0</v>
      </c>
      <c r="C97" s="97">
        <v>0.0</v>
      </c>
    </row>
    <row r="98" ht="15.75" customHeight="1">
      <c r="A98" s="98">
        <v>43315.0</v>
      </c>
      <c r="B98" s="98">
        <v>43346.0</v>
      </c>
      <c r="C98" s="97">
        <v>0.0</v>
      </c>
    </row>
    <row r="99" ht="15.75" customHeight="1">
      <c r="A99" s="98">
        <v>43316.0</v>
      </c>
      <c r="B99" s="98">
        <v>43347.0</v>
      </c>
      <c r="C99" s="97">
        <v>0.0</v>
      </c>
    </row>
    <row r="100" ht="15.75" customHeight="1">
      <c r="A100" s="98">
        <v>43317.0</v>
      </c>
      <c r="B100" s="98">
        <v>43348.0</v>
      </c>
      <c r="C100" s="97">
        <v>0.0</v>
      </c>
    </row>
    <row r="101" ht="15.75" customHeight="1">
      <c r="A101" s="98">
        <v>43318.0</v>
      </c>
      <c r="B101" s="98">
        <v>43349.0</v>
      </c>
      <c r="C101" s="97">
        <v>0.0</v>
      </c>
    </row>
    <row r="102" ht="15.75" customHeight="1">
      <c r="A102" s="98">
        <v>43319.0</v>
      </c>
      <c r="B102" s="98">
        <v>43350.0</v>
      </c>
      <c r="C102" s="97">
        <v>0.0</v>
      </c>
    </row>
    <row r="103" ht="15.75" customHeight="1">
      <c r="A103" s="98">
        <v>43320.0</v>
      </c>
      <c r="B103" s="98">
        <v>43351.0</v>
      </c>
      <c r="C103" s="97">
        <v>0.0</v>
      </c>
    </row>
    <row r="104" ht="15.75" customHeight="1">
      <c r="A104" s="98">
        <v>43321.0</v>
      </c>
      <c r="B104" s="98">
        <v>43352.0</v>
      </c>
      <c r="C104" s="97">
        <v>0.0</v>
      </c>
    </row>
    <row r="105" ht="15.75" customHeight="1">
      <c r="A105" s="98">
        <v>43322.0</v>
      </c>
      <c r="B105" s="98">
        <v>43353.0</v>
      </c>
      <c r="C105" s="97">
        <v>0.0</v>
      </c>
    </row>
    <row r="106" ht="15.75" customHeight="1">
      <c r="A106" s="98">
        <v>43323.0</v>
      </c>
      <c r="B106" s="98">
        <v>43354.0</v>
      </c>
      <c r="C106" s="97">
        <v>0.0</v>
      </c>
    </row>
    <row r="107" ht="15.75" customHeight="1">
      <c r="A107" s="98">
        <v>43324.0</v>
      </c>
      <c r="B107" s="98">
        <v>43355.0</v>
      </c>
      <c r="C107" s="97">
        <v>0.0</v>
      </c>
    </row>
    <row r="108" ht="15.75" customHeight="1">
      <c r="A108" s="98">
        <v>43325.0</v>
      </c>
      <c r="B108" s="98">
        <v>43356.0</v>
      </c>
      <c r="C108" s="97">
        <v>0.0</v>
      </c>
    </row>
    <row r="109" ht="15.75" customHeight="1">
      <c r="A109" s="98">
        <v>43326.0</v>
      </c>
      <c r="B109" s="98">
        <v>43357.0</v>
      </c>
      <c r="C109" s="97">
        <v>0.0</v>
      </c>
    </row>
    <row r="110" ht="15.75" customHeight="1">
      <c r="A110" s="98">
        <v>43327.0</v>
      </c>
      <c r="B110" s="98">
        <v>43358.0</v>
      </c>
      <c r="C110" s="97">
        <v>0.0</v>
      </c>
    </row>
    <row r="111" ht="15.75" customHeight="1">
      <c r="A111" s="98">
        <v>43328.0</v>
      </c>
      <c r="B111" s="98">
        <v>43359.0</v>
      </c>
      <c r="C111" s="97">
        <v>0.0</v>
      </c>
    </row>
    <row r="112" ht="15.75" customHeight="1">
      <c r="A112" s="98">
        <v>43329.0</v>
      </c>
      <c r="B112" s="98">
        <v>43360.0</v>
      </c>
      <c r="C112" s="97">
        <v>0.0</v>
      </c>
    </row>
    <row r="113" ht="15.75" customHeight="1">
      <c r="A113" s="98">
        <v>43330.0</v>
      </c>
      <c r="B113" s="98">
        <v>43361.0</v>
      </c>
      <c r="C113" s="97">
        <v>0.0</v>
      </c>
    </row>
    <row r="114" ht="15.75" customHeight="1">
      <c r="A114" s="98">
        <v>43331.0</v>
      </c>
      <c r="B114" s="98">
        <v>43362.0</v>
      </c>
      <c r="C114" s="97">
        <v>0.0</v>
      </c>
    </row>
    <row r="115" ht="15.75" customHeight="1">
      <c r="A115" s="98">
        <v>43332.0</v>
      </c>
      <c r="B115" s="98">
        <v>43363.0</v>
      </c>
      <c r="C115" s="97">
        <v>0.0</v>
      </c>
    </row>
    <row r="116" ht="15.75" customHeight="1">
      <c r="A116" s="98">
        <v>43333.0</v>
      </c>
      <c r="B116" s="98">
        <v>43364.0</v>
      </c>
      <c r="C116" s="97">
        <v>0.0</v>
      </c>
    </row>
    <row r="117" ht="15.75" customHeight="1">
      <c r="A117" s="98">
        <v>43334.0</v>
      </c>
      <c r="B117" s="98">
        <v>43365.0</v>
      </c>
      <c r="C117" s="97">
        <v>0.0</v>
      </c>
    </row>
    <row r="118" ht="15.75" customHeight="1">
      <c r="A118" s="98">
        <v>43335.0</v>
      </c>
      <c r="B118" s="98">
        <v>43366.0</v>
      </c>
      <c r="C118" s="97">
        <v>0.0</v>
      </c>
    </row>
    <row r="119" ht="15.75" customHeight="1">
      <c r="A119" s="98">
        <v>43336.0</v>
      </c>
      <c r="B119" s="98">
        <v>43367.0</v>
      </c>
      <c r="C119" s="97">
        <v>0.0</v>
      </c>
    </row>
    <row r="120" ht="15.75" customHeight="1">
      <c r="A120" s="98">
        <v>43337.0</v>
      </c>
      <c r="B120" s="98">
        <v>43368.0</v>
      </c>
      <c r="C120" s="97">
        <v>0.0</v>
      </c>
    </row>
    <row r="121" ht="15.75" customHeight="1">
      <c r="A121" s="98">
        <v>43338.0</v>
      </c>
      <c r="B121" s="98">
        <v>43369.0</v>
      </c>
      <c r="C121" s="97">
        <v>0.0</v>
      </c>
    </row>
    <row r="122" ht="15.75" customHeight="1">
      <c r="A122" s="98">
        <v>43339.0</v>
      </c>
      <c r="B122" s="98">
        <v>43370.0</v>
      </c>
      <c r="C122" s="97">
        <v>0.0</v>
      </c>
    </row>
    <row r="123" ht="15.75" customHeight="1">
      <c r="A123" s="98">
        <v>43340.0</v>
      </c>
      <c r="B123" s="98">
        <v>43371.0</v>
      </c>
      <c r="C123" s="97">
        <v>0.0</v>
      </c>
    </row>
    <row r="124" ht="15.75" customHeight="1">
      <c r="A124" s="98">
        <v>43341.0</v>
      </c>
      <c r="B124" s="98">
        <v>43372.0</v>
      </c>
      <c r="C124" s="97">
        <v>0.0</v>
      </c>
    </row>
    <row r="125" ht="15.75" customHeight="1">
      <c r="A125" s="98">
        <v>43342.0</v>
      </c>
      <c r="B125" s="98">
        <v>43373.0</v>
      </c>
      <c r="C125" s="97">
        <v>0.0</v>
      </c>
    </row>
    <row r="126" ht="15.75" customHeight="1">
      <c r="A126" s="98">
        <v>43343.0</v>
      </c>
      <c r="B126" s="98">
        <v>43374.0</v>
      </c>
      <c r="C126" s="97">
        <v>0.0</v>
      </c>
    </row>
    <row r="127" ht="15.75" customHeight="1">
      <c r="A127" s="98">
        <v>43344.0</v>
      </c>
      <c r="B127" s="98">
        <v>43374.0</v>
      </c>
      <c r="C127" s="97">
        <v>0.0</v>
      </c>
    </row>
    <row r="128" ht="15.75" customHeight="1">
      <c r="A128" s="98">
        <v>43345.0</v>
      </c>
      <c r="B128" s="98">
        <v>43375.0</v>
      </c>
      <c r="C128" s="97">
        <v>0.0</v>
      </c>
    </row>
    <row r="129" ht="15.75" customHeight="1">
      <c r="A129" s="98">
        <v>43346.0</v>
      </c>
      <c r="B129" s="98">
        <v>43376.0</v>
      </c>
      <c r="C129" s="97">
        <v>0.0</v>
      </c>
    </row>
    <row r="130" ht="15.75" customHeight="1">
      <c r="A130" s="98">
        <v>43347.0</v>
      </c>
      <c r="B130" s="98">
        <v>43377.0</v>
      </c>
      <c r="C130" s="97">
        <v>0.0</v>
      </c>
    </row>
    <row r="131" ht="15.75" customHeight="1">
      <c r="A131" s="98">
        <v>43348.0</v>
      </c>
      <c r="B131" s="98">
        <v>43378.0</v>
      </c>
      <c r="C131" s="97">
        <v>0.0</v>
      </c>
    </row>
    <row r="132" ht="15.75" customHeight="1">
      <c r="A132" s="98">
        <v>43349.0</v>
      </c>
      <c r="B132" s="98">
        <v>43379.0</v>
      </c>
      <c r="C132" s="97">
        <v>0.0</v>
      </c>
    </row>
    <row r="133" ht="15.75" customHeight="1">
      <c r="A133" s="98">
        <v>43350.0</v>
      </c>
      <c r="B133" s="98">
        <v>43380.0</v>
      </c>
      <c r="C133" s="97">
        <v>0.0</v>
      </c>
    </row>
    <row r="134" ht="15.75" customHeight="1">
      <c r="A134" s="98">
        <v>43351.0</v>
      </c>
      <c r="B134" s="98">
        <v>43381.0</v>
      </c>
      <c r="C134" s="97">
        <v>0.0</v>
      </c>
    </row>
    <row r="135" ht="15.75" customHeight="1">
      <c r="A135" s="98">
        <v>43352.0</v>
      </c>
      <c r="B135" s="98">
        <v>43382.0</v>
      </c>
      <c r="C135" s="97">
        <v>0.0</v>
      </c>
    </row>
    <row r="136" ht="15.75" customHeight="1">
      <c r="A136" s="98">
        <v>43353.0</v>
      </c>
      <c r="B136" s="98">
        <v>43383.0</v>
      </c>
      <c r="C136" s="97">
        <v>0.0</v>
      </c>
    </row>
    <row r="137" ht="15.75" customHeight="1">
      <c r="A137" s="98">
        <v>43354.0</v>
      </c>
      <c r="B137" s="98">
        <v>43384.0</v>
      </c>
      <c r="C137" s="97">
        <v>0.0</v>
      </c>
    </row>
    <row r="138" ht="15.75" customHeight="1">
      <c r="A138" s="98">
        <v>43355.0</v>
      </c>
      <c r="B138" s="98">
        <v>43385.0</v>
      </c>
      <c r="C138" s="97">
        <v>0.0</v>
      </c>
    </row>
    <row r="139" ht="15.75" customHeight="1">
      <c r="A139" s="98">
        <v>43356.0</v>
      </c>
      <c r="B139" s="98">
        <v>43386.0</v>
      </c>
      <c r="C139" s="97">
        <v>0.0</v>
      </c>
    </row>
    <row r="140" ht="15.75" customHeight="1">
      <c r="A140" s="98">
        <v>43357.0</v>
      </c>
      <c r="B140" s="98">
        <v>43387.0</v>
      </c>
      <c r="C140" s="97">
        <v>0.0</v>
      </c>
    </row>
    <row r="141" ht="15.75" customHeight="1">
      <c r="A141" s="98">
        <v>43358.0</v>
      </c>
      <c r="B141" s="98">
        <v>43388.0</v>
      </c>
      <c r="C141" s="97">
        <v>0.0</v>
      </c>
    </row>
    <row r="142" ht="15.75" customHeight="1">
      <c r="A142" s="98">
        <v>43359.0</v>
      </c>
      <c r="B142" s="98">
        <v>43389.0</v>
      </c>
      <c r="C142" s="97">
        <v>0.0</v>
      </c>
    </row>
    <row r="143" ht="15.75" customHeight="1">
      <c r="A143" s="98">
        <v>43360.0</v>
      </c>
      <c r="B143" s="98">
        <v>43390.0</v>
      </c>
      <c r="C143" s="97">
        <v>0.0</v>
      </c>
    </row>
    <row r="144" ht="15.75" customHeight="1">
      <c r="A144" s="98">
        <v>43361.0</v>
      </c>
      <c r="B144" s="98">
        <v>43391.0</v>
      </c>
      <c r="C144" s="97">
        <v>0.0</v>
      </c>
    </row>
    <row r="145" ht="15.75" customHeight="1">
      <c r="A145" s="98">
        <v>43362.0</v>
      </c>
      <c r="B145" s="98">
        <v>43392.0</v>
      </c>
      <c r="C145" s="97">
        <v>0.0</v>
      </c>
    </row>
    <row r="146" ht="15.75" customHeight="1">
      <c r="A146" s="98">
        <v>43363.0</v>
      </c>
      <c r="B146" s="98">
        <v>43393.0</v>
      </c>
      <c r="C146" s="97">
        <v>0.0</v>
      </c>
    </row>
    <row r="147" ht="15.75" customHeight="1">
      <c r="A147" s="98">
        <v>43364.0</v>
      </c>
      <c r="B147" s="98">
        <v>43394.0</v>
      </c>
      <c r="C147" s="97">
        <v>0.0</v>
      </c>
    </row>
    <row r="148" ht="15.75" customHeight="1">
      <c r="A148" s="98">
        <v>43365.0</v>
      </c>
      <c r="B148" s="98">
        <v>43395.0</v>
      </c>
      <c r="C148" s="97">
        <v>0.0</v>
      </c>
    </row>
    <row r="149" ht="15.75" customHeight="1">
      <c r="A149" s="98">
        <v>43366.0</v>
      </c>
      <c r="B149" s="98">
        <v>43396.0</v>
      </c>
      <c r="C149" s="97">
        <v>0.0</v>
      </c>
    </row>
    <row r="150" ht="15.75" customHeight="1">
      <c r="A150" s="98">
        <v>43367.0</v>
      </c>
      <c r="B150" s="98">
        <v>43397.0</v>
      </c>
      <c r="C150" s="97">
        <v>0.0</v>
      </c>
    </row>
    <row r="151" ht="15.75" customHeight="1">
      <c r="A151" s="98">
        <v>43368.0</v>
      </c>
      <c r="B151" s="98">
        <v>43398.0</v>
      </c>
      <c r="C151" s="97">
        <v>0.0</v>
      </c>
    </row>
    <row r="152" ht="15.75" customHeight="1">
      <c r="A152" s="98">
        <v>43369.0</v>
      </c>
      <c r="B152" s="98">
        <v>43399.0</v>
      </c>
      <c r="C152" s="97">
        <v>0.0</v>
      </c>
    </row>
    <row r="153" ht="15.75" customHeight="1">
      <c r="A153" s="98">
        <v>43370.0</v>
      </c>
      <c r="B153" s="98">
        <v>43400.0</v>
      </c>
      <c r="C153" s="97">
        <v>0.0</v>
      </c>
    </row>
    <row r="154" ht="15.75" customHeight="1">
      <c r="A154" s="98">
        <v>43371.0</v>
      </c>
      <c r="B154" s="98">
        <v>43401.0</v>
      </c>
      <c r="C154" s="97">
        <v>0.0</v>
      </c>
    </row>
    <row r="155" ht="15.75" customHeight="1">
      <c r="A155" s="98">
        <v>43372.0</v>
      </c>
      <c r="B155" s="98">
        <v>43402.0</v>
      </c>
      <c r="C155" s="97">
        <v>0.0</v>
      </c>
    </row>
    <row r="156" ht="15.75" customHeight="1">
      <c r="A156" s="98">
        <v>43373.0</v>
      </c>
      <c r="B156" s="98">
        <v>43403.0</v>
      </c>
      <c r="C156" s="97">
        <v>0.0</v>
      </c>
    </row>
    <row r="157" ht="15.75" customHeight="1">
      <c r="A157" s="98">
        <v>43374.0</v>
      </c>
      <c r="B157" s="98">
        <v>43404.0</v>
      </c>
      <c r="C157" s="97">
        <v>0.0</v>
      </c>
    </row>
    <row r="158" ht="15.75" customHeight="1">
      <c r="A158" s="98">
        <v>43374.0</v>
      </c>
      <c r="B158" s="98">
        <v>43405.0</v>
      </c>
      <c r="C158" s="97">
        <v>0.0</v>
      </c>
    </row>
    <row r="159" ht="15.75" customHeight="1">
      <c r="A159" s="98">
        <v>43375.0</v>
      </c>
      <c r="B159" s="98">
        <v>43406.0</v>
      </c>
      <c r="C159" s="97">
        <v>0.0</v>
      </c>
    </row>
    <row r="160" ht="15.75" customHeight="1">
      <c r="A160" s="98">
        <v>43376.0</v>
      </c>
      <c r="B160" s="98">
        <v>43407.0</v>
      </c>
      <c r="C160" s="97">
        <v>0.0</v>
      </c>
    </row>
    <row r="161" ht="15.75" customHeight="1">
      <c r="A161" s="98">
        <v>43377.0</v>
      </c>
      <c r="B161" s="98">
        <v>43408.0</v>
      </c>
      <c r="C161" s="97">
        <v>0.0</v>
      </c>
    </row>
    <row r="162" ht="15.75" customHeight="1">
      <c r="A162" s="98">
        <v>43378.0</v>
      </c>
      <c r="B162" s="98">
        <v>43409.0</v>
      </c>
      <c r="C162" s="97">
        <v>0.0</v>
      </c>
    </row>
    <row r="163" ht="15.75" customHeight="1">
      <c r="A163" s="98">
        <v>43379.0</v>
      </c>
      <c r="B163" s="98">
        <v>43410.0</v>
      </c>
      <c r="C163" s="97">
        <v>0.0</v>
      </c>
    </row>
    <row r="164" ht="15.75" customHeight="1">
      <c r="A164" s="98">
        <v>43380.0</v>
      </c>
      <c r="B164" s="98">
        <v>43411.0</v>
      </c>
      <c r="C164" s="97">
        <v>0.0</v>
      </c>
    </row>
    <row r="165" ht="15.75" customHeight="1">
      <c r="A165" s="98">
        <v>43381.0</v>
      </c>
      <c r="B165" s="98">
        <v>43412.0</v>
      </c>
      <c r="C165" s="97">
        <v>0.0</v>
      </c>
    </row>
    <row r="166" ht="15.75" customHeight="1">
      <c r="A166" s="98">
        <v>43382.0</v>
      </c>
      <c r="B166" s="98">
        <v>43413.0</v>
      </c>
      <c r="C166" s="97">
        <v>0.0</v>
      </c>
    </row>
    <row r="167" ht="15.75" customHeight="1">
      <c r="A167" s="98">
        <v>43383.0</v>
      </c>
      <c r="B167" s="98">
        <v>43414.0</v>
      </c>
      <c r="C167" s="97">
        <v>0.0</v>
      </c>
    </row>
    <row r="168" ht="15.75" customHeight="1">
      <c r="A168" s="98">
        <v>43384.0</v>
      </c>
      <c r="B168" s="98">
        <v>43415.0</v>
      </c>
      <c r="C168" s="97">
        <v>0.0</v>
      </c>
    </row>
    <row r="169" ht="15.75" customHeight="1">
      <c r="A169" s="98">
        <v>43385.0</v>
      </c>
      <c r="B169" s="98">
        <v>43416.0</v>
      </c>
      <c r="C169" s="97">
        <v>0.0</v>
      </c>
    </row>
    <row r="170" ht="15.75" customHeight="1">
      <c r="A170" s="98">
        <v>43386.0</v>
      </c>
      <c r="B170" s="98">
        <v>43417.0</v>
      </c>
      <c r="C170" s="97">
        <v>0.0</v>
      </c>
    </row>
    <row r="171" ht="15.75" customHeight="1">
      <c r="A171" s="98">
        <v>43387.0</v>
      </c>
      <c r="B171" s="98">
        <v>43418.0</v>
      </c>
      <c r="C171" s="97">
        <v>0.0</v>
      </c>
    </row>
    <row r="172" ht="15.75" customHeight="1">
      <c r="A172" s="98">
        <v>43388.0</v>
      </c>
      <c r="B172" s="98">
        <v>43419.0</v>
      </c>
      <c r="C172" s="97">
        <v>0.0</v>
      </c>
    </row>
    <row r="173" ht="15.75" customHeight="1">
      <c r="A173" s="98">
        <v>43389.0</v>
      </c>
      <c r="B173" s="98">
        <v>43420.0</v>
      </c>
      <c r="C173" s="97">
        <v>0.0</v>
      </c>
    </row>
    <row r="174" ht="15.75" customHeight="1">
      <c r="A174" s="98">
        <v>43390.0</v>
      </c>
      <c r="B174" s="98">
        <v>43421.0</v>
      </c>
      <c r="C174" s="97">
        <v>0.0</v>
      </c>
    </row>
    <row r="175" ht="15.75" customHeight="1">
      <c r="A175" s="98">
        <v>43391.0</v>
      </c>
      <c r="B175" s="98">
        <v>43422.0</v>
      </c>
      <c r="C175" s="97">
        <v>0.0</v>
      </c>
    </row>
    <row r="176" ht="15.75" customHeight="1">
      <c r="A176" s="98">
        <v>43392.0</v>
      </c>
      <c r="B176" s="98">
        <v>43423.0</v>
      </c>
      <c r="C176" s="97">
        <v>0.0</v>
      </c>
    </row>
    <row r="177" ht="15.75" customHeight="1">
      <c r="A177" s="98">
        <v>43393.0</v>
      </c>
      <c r="B177" s="98">
        <v>43424.0</v>
      </c>
      <c r="C177" s="97">
        <v>0.0</v>
      </c>
    </row>
    <row r="178" ht="15.75" customHeight="1">
      <c r="A178" s="98">
        <v>43394.0</v>
      </c>
      <c r="B178" s="98">
        <v>43425.0</v>
      </c>
      <c r="C178" s="97">
        <v>0.0</v>
      </c>
    </row>
    <row r="179" ht="15.75" customHeight="1">
      <c r="A179" s="98">
        <v>43395.0</v>
      </c>
      <c r="B179" s="98">
        <v>43426.0</v>
      </c>
      <c r="C179" s="97">
        <v>0.0</v>
      </c>
    </row>
    <row r="180" ht="15.75" customHeight="1">
      <c r="A180" s="98">
        <v>43396.0</v>
      </c>
      <c r="B180" s="98">
        <v>43427.0</v>
      </c>
      <c r="C180" s="97">
        <v>0.0</v>
      </c>
    </row>
    <row r="181" ht="15.75" customHeight="1">
      <c r="A181" s="98">
        <v>43397.0</v>
      </c>
      <c r="B181" s="98">
        <v>43428.0</v>
      </c>
      <c r="C181" s="97">
        <v>0.0</v>
      </c>
    </row>
    <row r="182" ht="15.75" customHeight="1">
      <c r="A182" s="98">
        <v>43398.0</v>
      </c>
      <c r="B182" s="98">
        <v>43429.0</v>
      </c>
      <c r="C182" s="97">
        <v>0.0</v>
      </c>
    </row>
    <row r="183" ht="15.75" customHeight="1">
      <c r="A183" s="98">
        <v>43399.0</v>
      </c>
      <c r="B183" s="98">
        <v>43430.0</v>
      </c>
      <c r="C183" s="97">
        <v>0.0</v>
      </c>
    </row>
    <row r="184" ht="15.75" customHeight="1">
      <c r="A184" s="98">
        <v>43400.0</v>
      </c>
      <c r="B184" s="98">
        <v>43431.0</v>
      </c>
      <c r="C184" s="97">
        <v>0.0</v>
      </c>
    </row>
    <row r="185" ht="15.75" customHeight="1">
      <c r="A185" s="98">
        <v>43401.0</v>
      </c>
      <c r="B185" s="98">
        <v>43432.0</v>
      </c>
      <c r="C185" s="97">
        <v>0.0</v>
      </c>
    </row>
    <row r="186" ht="15.75" customHeight="1">
      <c r="A186" s="98">
        <v>43402.0</v>
      </c>
      <c r="B186" s="98">
        <v>43433.0</v>
      </c>
      <c r="C186" s="97">
        <v>0.0</v>
      </c>
    </row>
    <row r="187" ht="15.75" customHeight="1">
      <c r="A187" s="98">
        <v>43403.0</v>
      </c>
      <c r="B187" s="98">
        <v>43434.0</v>
      </c>
      <c r="C187" s="97">
        <v>0.0</v>
      </c>
    </row>
    <row r="188" ht="15.75" customHeight="1">
      <c r="A188" s="98">
        <v>43404.0</v>
      </c>
      <c r="B188" s="98">
        <v>43435.0</v>
      </c>
      <c r="C188" s="97">
        <v>0.0</v>
      </c>
    </row>
    <row r="189" ht="15.75" customHeight="1">
      <c r="A189" s="98">
        <v>43405.0</v>
      </c>
      <c r="B189" s="98">
        <v>43435.0</v>
      </c>
      <c r="C189" s="97">
        <v>0.0</v>
      </c>
    </row>
    <row r="190" ht="15.75" customHeight="1">
      <c r="A190" s="98">
        <v>43406.0</v>
      </c>
      <c r="B190" s="98">
        <v>43436.0</v>
      </c>
      <c r="C190" s="97">
        <v>0.0</v>
      </c>
    </row>
    <row r="191" ht="15.75" customHeight="1">
      <c r="A191" s="98">
        <v>43407.0</v>
      </c>
      <c r="B191" s="98">
        <v>43437.0</v>
      </c>
      <c r="C191" s="97">
        <v>0.0</v>
      </c>
    </row>
    <row r="192" ht="15.75" customHeight="1">
      <c r="A192" s="98">
        <v>43408.0</v>
      </c>
      <c r="B192" s="98">
        <v>43438.0</v>
      </c>
      <c r="C192" s="97">
        <v>0.0</v>
      </c>
    </row>
    <row r="193" ht="15.75" customHeight="1">
      <c r="A193" s="98">
        <v>43409.0</v>
      </c>
      <c r="B193" s="98">
        <v>43439.0</v>
      </c>
      <c r="C193" s="97">
        <v>0.0</v>
      </c>
    </row>
    <row r="194" ht="15.75" customHeight="1">
      <c r="A194" s="98">
        <v>43410.0</v>
      </c>
      <c r="B194" s="98">
        <v>43440.0</v>
      </c>
      <c r="C194" s="97">
        <v>0.0</v>
      </c>
    </row>
    <row r="195" ht="15.75" customHeight="1">
      <c r="A195" s="98">
        <v>43411.0</v>
      </c>
      <c r="B195" s="98">
        <v>43441.0</v>
      </c>
      <c r="C195" s="97">
        <v>0.0</v>
      </c>
    </row>
    <row r="196" ht="15.75" customHeight="1">
      <c r="A196" s="98">
        <v>43412.0</v>
      </c>
      <c r="B196" s="98">
        <v>43442.0</v>
      </c>
      <c r="C196" s="97">
        <v>0.0</v>
      </c>
    </row>
    <row r="197" ht="15.75" customHeight="1">
      <c r="A197" s="98">
        <v>43413.0</v>
      </c>
      <c r="B197" s="98">
        <v>43443.0</v>
      </c>
      <c r="C197" s="97">
        <v>0.0</v>
      </c>
    </row>
    <row r="198" ht="15.75" customHeight="1">
      <c r="A198" s="98">
        <v>43414.0</v>
      </c>
      <c r="B198" s="98">
        <v>43444.0</v>
      </c>
      <c r="C198" s="97">
        <v>0.0</v>
      </c>
    </row>
    <row r="199" ht="15.75" customHeight="1">
      <c r="A199" s="98">
        <v>43415.0</v>
      </c>
      <c r="B199" s="98">
        <v>43445.0</v>
      </c>
      <c r="C199" s="97">
        <v>0.0</v>
      </c>
    </row>
    <row r="200" ht="15.75" customHeight="1">
      <c r="A200" s="98">
        <v>43416.0</v>
      </c>
      <c r="B200" s="98">
        <v>43446.0</v>
      </c>
      <c r="C200" s="97">
        <v>0.0</v>
      </c>
    </row>
    <row r="201" ht="15.75" customHeight="1">
      <c r="A201" s="98">
        <v>43417.0</v>
      </c>
      <c r="B201" s="98">
        <v>43447.0</v>
      </c>
      <c r="C201" s="97">
        <v>0.0</v>
      </c>
    </row>
    <row r="202" ht="15.75" customHeight="1">
      <c r="A202" s="98">
        <v>43418.0</v>
      </c>
      <c r="B202" s="98">
        <v>43448.0</v>
      </c>
      <c r="C202" s="97">
        <v>0.0</v>
      </c>
    </row>
    <row r="203" ht="15.75" customHeight="1">
      <c r="A203" s="98">
        <v>43419.0</v>
      </c>
      <c r="B203" s="98">
        <v>43449.0</v>
      </c>
      <c r="C203" s="97">
        <v>0.0</v>
      </c>
    </row>
    <row r="204" ht="15.75" customHeight="1">
      <c r="A204" s="98">
        <v>43420.0</v>
      </c>
      <c r="B204" s="98">
        <v>43450.0</v>
      </c>
      <c r="C204" s="97">
        <v>0.0</v>
      </c>
    </row>
    <row r="205" ht="15.75" customHeight="1">
      <c r="A205" s="98">
        <v>43421.0</v>
      </c>
      <c r="B205" s="98">
        <v>43451.0</v>
      </c>
      <c r="C205" s="97">
        <v>0.0</v>
      </c>
    </row>
    <row r="206" ht="15.75" customHeight="1">
      <c r="A206" s="98">
        <v>43422.0</v>
      </c>
      <c r="B206" s="98">
        <v>43452.0</v>
      </c>
      <c r="C206" s="97">
        <v>0.0</v>
      </c>
    </row>
    <row r="207" ht="15.75" customHeight="1">
      <c r="A207" s="98">
        <v>43423.0</v>
      </c>
      <c r="B207" s="98">
        <v>43453.0</v>
      </c>
      <c r="C207" s="97">
        <v>0.0</v>
      </c>
    </row>
    <row r="208" ht="15.75" customHeight="1">
      <c r="A208" s="98">
        <v>43424.0</v>
      </c>
      <c r="B208" s="98">
        <v>43454.0</v>
      </c>
      <c r="C208" s="97">
        <v>0.0</v>
      </c>
    </row>
    <row r="209" ht="15.75" customHeight="1">
      <c r="A209" s="98">
        <v>43425.0</v>
      </c>
      <c r="B209" s="98">
        <v>43455.0</v>
      </c>
      <c r="C209" s="97">
        <v>0.0</v>
      </c>
    </row>
    <row r="210" ht="15.75" customHeight="1">
      <c r="A210" s="98">
        <v>43426.0</v>
      </c>
      <c r="B210" s="98">
        <v>43456.0</v>
      </c>
      <c r="C210" s="97">
        <v>0.0</v>
      </c>
    </row>
    <row r="211" ht="15.75" customHeight="1">
      <c r="A211" s="98">
        <v>43427.0</v>
      </c>
      <c r="B211" s="98">
        <v>43457.0</v>
      </c>
      <c r="C211" s="97">
        <v>0.0</v>
      </c>
    </row>
    <row r="212" ht="15.75" customHeight="1">
      <c r="A212" s="98">
        <v>43428.0</v>
      </c>
      <c r="B212" s="98">
        <v>43458.0</v>
      </c>
      <c r="C212" s="97">
        <v>0.0</v>
      </c>
    </row>
    <row r="213" ht="15.75" customHeight="1">
      <c r="A213" s="98">
        <v>43429.0</v>
      </c>
      <c r="B213" s="98">
        <v>43459.0</v>
      </c>
      <c r="C213" s="97">
        <v>0.0</v>
      </c>
    </row>
    <row r="214" ht="15.75" customHeight="1">
      <c r="A214" s="98">
        <v>43430.0</v>
      </c>
      <c r="B214" s="98">
        <v>43460.0</v>
      </c>
      <c r="C214" s="97">
        <v>0.0</v>
      </c>
    </row>
    <row r="215" ht="15.75" customHeight="1">
      <c r="A215" s="98">
        <v>43431.0</v>
      </c>
      <c r="B215" s="98">
        <v>43461.0</v>
      </c>
      <c r="C215" s="97">
        <v>0.0</v>
      </c>
    </row>
    <row r="216" ht="15.75" customHeight="1">
      <c r="A216" s="98">
        <v>43432.0</v>
      </c>
      <c r="B216" s="98">
        <v>43462.0</v>
      </c>
      <c r="C216" s="97">
        <v>0.0</v>
      </c>
    </row>
    <row r="217" ht="15.75" customHeight="1">
      <c r="A217" s="98">
        <v>43433.0</v>
      </c>
      <c r="B217" s="98">
        <v>43463.0</v>
      </c>
      <c r="C217" s="97">
        <v>0.0</v>
      </c>
    </row>
    <row r="218" ht="15.75" customHeight="1">
      <c r="A218" s="98">
        <v>43434.0</v>
      </c>
      <c r="B218" s="98">
        <v>43464.0</v>
      </c>
      <c r="C218" s="97">
        <v>0.0</v>
      </c>
    </row>
    <row r="219" ht="15.75" customHeight="1">
      <c r="A219" s="98">
        <v>43435.0</v>
      </c>
      <c r="B219" s="98">
        <v>43465.0</v>
      </c>
      <c r="C219" s="97">
        <v>0.0</v>
      </c>
    </row>
    <row r="220" ht="15.75" customHeight="1">
      <c r="A220" s="98">
        <v>43435.0</v>
      </c>
      <c r="B220" s="98">
        <v>43466.0</v>
      </c>
      <c r="C220" s="97">
        <v>0.0</v>
      </c>
    </row>
    <row r="221" ht="15.75" customHeight="1">
      <c r="A221" s="98">
        <v>43436.0</v>
      </c>
      <c r="B221" s="98">
        <v>43467.0</v>
      </c>
      <c r="C221" s="97">
        <v>0.0</v>
      </c>
    </row>
    <row r="222" ht="15.75" customHeight="1">
      <c r="A222" s="98">
        <v>43437.0</v>
      </c>
      <c r="B222" s="98">
        <v>43468.0</v>
      </c>
      <c r="C222" s="97">
        <v>0.0</v>
      </c>
    </row>
    <row r="223" ht="15.75" customHeight="1">
      <c r="A223" s="98">
        <v>43438.0</v>
      </c>
      <c r="B223" s="98">
        <v>43469.0</v>
      </c>
      <c r="C223" s="97">
        <v>0.0</v>
      </c>
    </row>
    <row r="224" ht="15.75" customHeight="1">
      <c r="A224" s="98">
        <v>43439.0</v>
      </c>
      <c r="B224" s="98">
        <v>43470.0</v>
      </c>
      <c r="C224" s="97">
        <v>0.0</v>
      </c>
    </row>
    <row r="225" ht="15.75" customHeight="1">
      <c r="A225" s="98">
        <v>43440.0</v>
      </c>
      <c r="B225" s="98">
        <v>43471.0</v>
      </c>
      <c r="C225" s="97">
        <v>0.0</v>
      </c>
    </row>
    <row r="226" ht="15.75" customHeight="1">
      <c r="A226" s="98">
        <v>43441.0</v>
      </c>
      <c r="B226" s="98">
        <v>43472.0</v>
      </c>
      <c r="C226" s="97">
        <v>0.0</v>
      </c>
    </row>
    <row r="227" ht="15.75" customHeight="1">
      <c r="A227" s="98">
        <v>43442.0</v>
      </c>
      <c r="B227" s="98">
        <v>43473.0</v>
      </c>
      <c r="C227" s="97">
        <v>0.0</v>
      </c>
    </row>
    <row r="228" ht="15.75" customHeight="1">
      <c r="A228" s="98">
        <v>43443.0</v>
      </c>
      <c r="B228" s="98">
        <v>43474.0</v>
      </c>
      <c r="C228" s="97">
        <v>0.0</v>
      </c>
    </row>
    <row r="229" ht="15.75" customHeight="1">
      <c r="A229" s="98">
        <v>43444.0</v>
      </c>
      <c r="B229" s="98">
        <v>43475.0</v>
      </c>
      <c r="C229" s="97">
        <v>0.0</v>
      </c>
    </row>
    <row r="230" ht="15.75" customHeight="1">
      <c r="A230" s="98">
        <v>43445.0</v>
      </c>
      <c r="B230" s="98">
        <v>43476.0</v>
      </c>
      <c r="C230" s="97">
        <v>0.0</v>
      </c>
    </row>
    <row r="231" ht="15.75" customHeight="1">
      <c r="A231" s="98">
        <v>43446.0</v>
      </c>
      <c r="B231" s="98">
        <v>43477.0</v>
      </c>
      <c r="C231" s="97">
        <v>0.0</v>
      </c>
    </row>
    <row r="232" ht="15.75" customHeight="1">
      <c r="A232" s="98">
        <v>43447.0</v>
      </c>
      <c r="B232" s="98">
        <v>43478.0</v>
      </c>
      <c r="C232" s="97">
        <v>0.0</v>
      </c>
    </row>
    <row r="233" ht="15.75" customHeight="1">
      <c r="A233" s="98">
        <v>43448.0</v>
      </c>
      <c r="B233" s="98">
        <v>43479.0</v>
      </c>
      <c r="C233" s="97">
        <v>0.0</v>
      </c>
    </row>
    <row r="234" ht="15.75" customHeight="1">
      <c r="A234" s="98">
        <v>43449.0</v>
      </c>
      <c r="B234" s="98">
        <v>43480.0</v>
      </c>
      <c r="C234" s="97">
        <v>0.0</v>
      </c>
    </row>
    <row r="235" ht="15.75" customHeight="1">
      <c r="A235" s="98">
        <v>43450.0</v>
      </c>
      <c r="B235" s="98">
        <v>43481.0</v>
      </c>
      <c r="C235" s="97">
        <v>0.0</v>
      </c>
    </row>
    <row r="236" ht="15.75" customHeight="1">
      <c r="A236" s="98">
        <v>43451.0</v>
      </c>
      <c r="B236" s="98">
        <v>43482.0</v>
      </c>
      <c r="C236" s="97">
        <v>0.0</v>
      </c>
    </row>
    <row r="237" ht="15.75" customHeight="1">
      <c r="A237" s="98">
        <v>43452.0</v>
      </c>
      <c r="B237" s="98">
        <v>43483.0</v>
      </c>
      <c r="C237" s="97">
        <v>0.0</v>
      </c>
    </row>
    <row r="238" ht="15.75" customHeight="1">
      <c r="A238" s="98">
        <v>43453.0</v>
      </c>
      <c r="B238" s="98">
        <v>43484.0</v>
      </c>
      <c r="C238" s="97">
        <v>0.0</v>
      </c>
    </row>
    <row r="239" ht="15.75" customHeight="1">
      <c r="A239" s="98">
        <v>43454.0</v>
      </c>
      <c r="B239" s="98">
        <v>43485.0</v>
      </c>
      <c r="C239" s="97">
        <v>0.0</v>
      </c>
    </row>
    <row r="240" ht="15.75" customHeight="1">
      <c r="A240" s="98">
        <v>43455.0</v>
      </c>
      <c r="B240" s="98">
        <v>43486.0</v>
      </c>
      <c r="C240" s="97">
        <v>0.0</v>
      </c>
    </row>
    <row r="241" ht="15.75" customHeight="1">
      <c r="A241" s="98">
        <v>43456.0</v>
      </c>
      <c r="B241" s="98">
        <v>43487.0</v>
      </c>
      <c r="C241" s="97">
        <v>0.0</v>
      </c>
    </row>
    <row r="242" ht="15.75" customHeight="1">
      <c r="A242" s="98">
        <v>43457.0</v>
      </c>
      <c r="B242" s="98">
        <v>43488.0</v>
      </c>
      <c r="C242" s="97">
        <v>0.0</v>
      </c>
    </row>
    <row r="243" ht="15.75" customHeight="1">
      <c r="A243" s="98">
        <v>43458.0</v>
      </c>
      <c r="B243" s="98">
        <v>43489.0</v>
      </c>
      <c r="C243" s="97">
        <v>0.0</v>
      </c>
    </row>
    <row r="244" ht="15.75" customHeight="1">
      <c r="A244" s="98">
        <v>43459.0</v>
      </c>
      <c r="B244" s="98">
        <v>43490.0</v>
      </c>
      <c r="C244" s="97">
        <v>0.0</v>
      </c>
    </row>
    <row r="245" ht="15.75" customHeight="1">
      <c r="A245" s="98">
        <v>43460.0</v>
      </c>
      <c r="B245" s="98">
        <v>43491.0</v>
      </c>
      <c r="C245" s="97">
        <v>0.0</v>
      </c>
    </row>
    <row r="246" ht="15.75" customHeight="1">
      <c r="A246" s="98">
        <v>43461.0</v>
      </c>
      <c r="B246" s="98">
        <v>43492.0</v>
      </c>
      <c r="C246" s="97">
        <v>0.0</v>
      </c>
    </row>
    <row r="247" ht="15.75" customHeight="1">
      <c r="A247" s="98">
        <v>43462.0</v>
      </c>
      <c r="B247" s="98">
        <v>43493.0</v>
      </c>
      <c r="C247" s="97">
        <v>0.0</v>
      </c>
    </row>
    <row r="248" ht="15.75" customHeight="1">
      <c r="A248" s="98">
        <v>43463.0</v>
      </c>
      <c r="B248" s="98">
        <v>43494.0</v>
      </c>
      <c r="C248" s="97">
        <v>0.0</v>
      </c>
    </row>
    <row r="249" ht="15.75" customHeight="1">
      <c r="A249" s="98">
        <v>43464.0</v>
      </c>
      <c r="B249" s="98">
        <v>43495.0</v>
      </c>
      <c r="C249" s="97">
        <v>0.0</v>
      </c>
    </row>
    <row r="250" ht="15.75" customHeight="1">
      <c r="A250" s="98">
        <v>43465.0</v>
      </c>
      <c r="B250" s="98">
        <v>43496.0</v>
      </c>
      <c r="C250" s="97">
        <v>0.0</v>
      </c>
    </row>
    <row r="251" ht="15.75" customHeight="1">
      <c r="A251" s="98">
        <v>43466.0</v>
      </c>
      <c r="B251" s="98">
        <v>43497.0</v>
      </c>
      <c r="C251" s="97">
        <v>0.0</v>
      </c>
    </row>
    <row r="252" ht="15.75" customHeight="1">
      <c r="A252" s="98">
        <v>43467.0</v>
      </c>
      <c r="B252" s="98">
        <v>43498.0</v>
      </c>
      <c r="C252" s="97">
        <v>0.0</v>
      </c>
    </row>
    <row r="253" ht="15.75" customHeight="1">
      <c r="A253" s="98">
        <v>43468.0</v>
      </c>
      <c r="B253" s="98">
        <v>43499.0</v>
      </c>
      <c r="C253" s="97">
        <v>0.0</v>
      </c>
    </row>
    <row r="254" ht="15.75" customHeight="1">
      <c r="A254" s="98">
        <v>43469.0</v>
      </c>
      <c r="B254" s="98">
        <v>43500.0</v>
      </c>
      <c r="C254" s="97">
        <v>0.0</v>
      </c>
    </row>
    <row r="255" ht="15.75" customHeight="1">
      <c r="A255" s="98">
        <v>43470.0</v>
      </c>
      <c r="B255" s="98">
        <v>43501.0</v>
      </c>
      <c r="C255" s="97">
        <v>0.0</v>
      </c>
    </row>
    <row r="256" ht="15.75" customHeight="1">
      <c r="A256" s="98">
        <v>43471.0</v>
      </c>
      <c r="B256" s="98">
        <v>43502.0</v>
      </c>
      <c r="C256" s="97">
        <v>0.0</v>
      </c>
    </row>
    <row r="257" ht="15.75" customHeight="1">
      <c r="A257" s="98">
        <v>43472.0</v>
      </c>
      <c r="B257" s="98">
        <v>43503.0</v>
      </c>
      <c r="C257" s="97">
        <v>0.0</v>
      </c>
    </row>
    <row r="258" ht="15.75" customHeight="1">
      <c r="A258" s="98">
        <v>43473.0</v>
      </c>
      <c r="B258" s="98">
        <v>43504.0</v>
      </c>
      <c r="C258" s="97">
        <v>0.0</v>
      </c>
    </row>
    <row r="259" ht="15.75" customHeight="1">
      <c r="A259" s="98">
        <v>43474.0</v>
      </c>
      <c r="B259" s="98">
        <v>43505.0</v>
      </c>
      <c r="C259" s="97">
        <v>0.0</v>
      </c>
    </row>
    <row r="260" ht="15.75" customHeight="1">
      <c r="A260" s="98">
        <v>43475.0</v>
      </c>
      <c r="B260" s="98">
        <v>43506.0</v>
      </c>
      <c r="C260" s="97">
        <v>0.0</v>
      </c>
    </row>
    <row r="261" ht="15.75" customHeight="1">
      <c r="A261" s="98">
        <v>43476.0</v>
      </c>
      <c r="B261" s="98">
        <v>43507.0</v>
      </c>
      <c r="C261" s="97">
        <v>0.0</v>
      </c>
    </row>
    <row r="262" ht="15.75" customHeight="1">
      <c r="A262" s="98">
        <v>43477.0</v>
      </c>
      <c r="B262" s="98">
        <v>43508.0</v>
      </c>
      <c r="C262" s="97">
        <v>0.0</v>
      </c>
    </row>
    <row r="263" ht="15.75" customHeight="1">
      <c r="A263" s="98">
        <v>43478.0</v>
      </c>
      <c r="B263" s="98">
        <v>43509.0</v>
      </c>
      <c r="C263" s="97">
        <v>0.0</v>
      </c>
    </row>
    <row r="264" ht="15.75" customHeight="1">
      <c r="A264" s="98">
        <v>43479.0</v>
      </c>
      <c r="B264" s="98">
        <v>43510.0</v>
      </c>
      <c r="C264" s="97">
        <v>0.0</v>
      </c>
    </row>
    <row r="265" ht="15.75" customHeight="1">
      <c r="A265" s="98">
        <v>43480.0</v>
      </c>
      <c r="B265" s="98">
        <v>43511.0</v>
      </c>
      <c r="C265" s="97">
        <v>0.0</v>
      </c>
    </row>
    <row r="266" ht="15.75" customHeight="1">
      <c r="A266" s="98">
        <v>43481.0</v>
      </c>
      <c r="B266" s="98">
        <v>43512.0</v>
      </c>
      <c r="C266" s="97">
        <v>0.0</v>
      </c>
    </row>
    <row r="267" ht="15.75" customHeight="1">
      <c r="A267" s="98">
        <v>43482.0</v>
      </c>
      <c r="B267" s="98">
        <v>43513.0</v>
      </c>
      <c r="C267" s="97">
        <v>0.0</v>
      </c>
    </row>
    <row r="268" ht="15.75" customHeight="1">
      <c r="A268" s="98">
        <v>43483.0</v>
      </c>
      <c r="B268" s="98">
        <v>43514.0</v>
      </c>
      <c r="C268" s="97">
        <v>0.0</v>
      </c>
    </row>
    <row r="269" ht="15.75" customHeight="1">
      <c r="A269" s="98">
        <v>43484.0</v>
      </c>
      <c r="B269" s="98">
        <v>43515.0</v>
      </c>
      <c r="C269" s="97">
        <v>0.0</v>
      </c>
    </row>
    <row r="270" ht="15.75" customHeight="1">
      <c r="A270" s="98">
        <v>43485.0</v>
      </c>
      <c r="B270" s="98">
        <v>43516.0</v>
      </c>
      <c r="C270" s="97">
        <v>0.0</v>
      </c>
    </row>
    <row r="271" ht="15.75" customHeight="1">
      <c r="A271" s="98">
        <v>43486.0</v>
      </c>
      <c r="B271" s="98">
        <v>43517.0</v>
      </c>
      <c r="C271" s="97">
        <v>0.0</v>
      </c>
    </row>
    <row r="272" ht="15.75" customHeight="1">
      <c r="A272" s="98">
        <v>43487.0</v>
      </c>
      <c r="B272" s="98">
        <v>43518.0</v>
      </c>
      <c r="C272" s="97">
        <v>0.0</v>
      </c>
    </row>
    <row r="273" ht="15.75" customHeight="1">
      <c r="A273" s="98">
        <v>43488.0</v>
      </c>
      <c r="B273" s="98">
        <v>43519.0</v>
      </c>
      <c r="C273" s="97">
        <v>0.0</v>
      </c>
    </row>
    <row r="274" ht="15.75" customHeight="1">
      <c r="A274" s="98">
        <v>43489.0</v>
      </c>
      <c r="B274" s="98">
        <v>43520.0</v>
      </c>
      <c r="C274" s="97">
        <v>0.0</v>
      </c>
    </row>
    <row r="275" ht="15.75" customHeight="1">
      <c r="A275" s="98">
        <v>43490.0</v>
      </c>
      <c r="B275" s="98">
        <v>43521.0</v>
      </c>
      <c r="C275" s="97">
        <v>0.0</v>
      </c>
    </row>
    <row r="276" ht="15.75" customHeight="1">
      <c r="A276" s="98">
        <v>43491.0</v>
      </c>
      <c r="B276" s="98">
        <v>43522.0</v>
      </c>
      <c r="C276" s="97">
        <v>0.0</v>
      </c>
    </row>
    <row r="277" ht="15.75" customHeight="1">
      <c r="A277" s="98">
        <v>43492.0</v>
      </c>
      <c r="B277" s="98">
        <v>43523.0</v>
      </c>
      <c r="C277" s="97">
        <v>0.0</v>
      </c>
    </row>
    <row r="278" ht="15.75" customHeight="1">
      <c r="A278" s="98">
        <v>43493.0</v>
      </c>
      <c r="B278" s="98">
        <v>43524.0</v>
      </c>
      <c r="C278" s="97">
        <v>0.0</v>
      </c>
    </row>
    <row r="279" ht="15.75" customHeight="1">
      <c r="A279" s="98">
        <v>43494.0</v>
      </c>
      <c r="B279" s="98">
        <v>43525.0</v>
      </c>
      <c r="C279" s="97">
        <v>0.0</v>
      </c>
    </row>
    <row r="280" ht="15.75" customHeight="1">
      <c r="A280" s="98">
        <v>43495.0</v>
      </c>
      <c r="B280" s="98">
        <v>43525.0</v>
      </c>
      <c r="C280" s="97">
        <v>0.0</v>
      </c>
    </row>
    <row r="281" ht="15.75" customHeight="1">
      <c r="A281" s="98">
        <v>43496.0</v>
      </c>
      <c r="B281" s="98">
        <v>43525.0</v>
      </c>
      <c r="C281" s="97">
        <v>0.0</v>
      </c>
    </row>
    <row r="282" ht="15.75" customHeight="1">
      <c r="A282" s="98">
        <v>43497.0</v>
      </c>
      <c r="B282" s="98">
        <v>43525.0</v>
      </c>
      <c r="C282" s="97">
        <v>0.0</v>
      </c>
    </row>
    <row r="283" ht="15.75" customHeight="1">
      <c r="A283" s="98">
        <v>43498.0</v>
      </c>
      <c r="B283" s="98">
        <v>43526.0</v>
      </c>
      <c r="C283" s="97">
        <v>0.0</v>
      </c>
    </row>
    <row r="284" ht="15.75" customHeight="1">
      <c r="A284" s="98">
        <v>43499.0</v>
      </c>
      <c r="B284" s="98">
        <v>43527.0</v>
      </c>
      <c r="C284" s="97">
        <v>0.0</v>
      </c>
    </row>
    <row r="285" ht="15.75" customHeight="1">
      <c r="A285" s="98">
        <v>43500.0</v>
      </c>
      <c r="B285" s="98">
        <v>43528.0</v>
      </c>
      <c r="C285" s="97">
        <v>0.0</v>
      </c>
    </row>
    <row r="286" ht="15.75" customHeight="1">
      <c r="A286" s="98">
        <v>43501.0</v>
      </c>
      <c r="B286" s="98">
        <v>43529.0</v>
      </c>
      <c r="C286" s="97">
        <v>0.0</v>
      </c>
    </row>
    <row r="287" ht="15.75" customHeight="1">
      <c r="A287" s="98">
        <v>43502.0</v>
      </c>
      <c r="B287" s="98">
        <v>43530.0</v>
      </c>
      <c r="C287" s="97">
        <v>0.0</v>
      </c>
    </row>
    <row r="288" ht="15.75" customHeight="1">
      <c r="A288" s="98">
        <v>43503.0</v>
      </c>
      <c r="B288" s="98">
        <v>43531.0</v>
      </c>
      <c r="C288" s="97">
        <v>0.0</v>
      </c>
    </row>
    <row r="289" ht="15.75" customHeight="1">
      <c r="A289" s="98">
        <v>43504.0</v>
      </c>
      <c r="B289" s="98">
        <v>43532.0</v>
      </c>
      <c r="C289" s="97">
        <v>0.0</v>
      </c>
    </row>
    <row r="290" ht="15.75" customHeight="1">
      <c r="A290" s="98">
        <v>43505.0</v>
      </c>
      <c r="B290" s="98">
        <v>43533.0</v>
      </c>
      <c r="C290" s="97">
        <v>0.0</v>
      </c>
    </row>
    <row r="291" ht="15.75" customHeight="1">
      <c r="A291" s="98">
        <v>43506.0</v>
      </c>
      <c r="B291" s="98">
        <v>43534.0</v>
      </c>
      <c r="C291" s="97">
        <v>0.0</v>
      </c>
    </row>
    <row r="292" ht="15.75" customHeight="1">
      <c r="A292" s="98">
        <v>43507.0</v>
      </c>
      <c r="B292" s="98">
        <v>43535.0</v>
      </c>
      <c r="C292" s="97">
        <v>0.0</v>
      </c>
    </row>
    <row r="293" ht="15.75" customHeight="1">
      <c r="A293" s="98">
        <v>43508.0</v>
      </c>
      <c r="B293" s="98">
        <v>43536.0</v>
      </c>
      <c r="C293" s="97">
        <v>0.0</v>
      </c>
    </row>
    <row r="294" ht="15.75" customHeight="1">
      <c r="A294" s="98">
        <v>43509.0</v>
      </c>
      <c r="B294" s="98">
        <v>43537.0</v>
      </c>
      <c r="C294" s="97">
        <v>0.0</v>
      </c>
    </row>
    <row r="295" ht="15.75" customHeight="1">
      <c r="A295" s="98">
        <v>43510.0</v>
      </c>
      <c r="B295" s="98">
        <v>43538.0</v>
      </c>
      <c r="C295" s="97">
        <v>0.0</v>
      </c>
    </row>
    <row r="296" ht="15.75" customHeight="1">
      <c r="A296" s="98">
        <v>43511.0</v>
      </c>
      <c r="B296" s="98">
        <v>43539.0</v>
      </c>
      <c r="C296" s="97">
        <v>0.0</v>
      </c>
    </row>
    <row r="297" ht="15.75" customHeight="1">
      <c r="A297" s="98">
        <v>43512.0</v>
      </c>
      <c r="B297" s="98">
        <v>43540.0</v>
      </c>
      <c r="C297" s="97">
        <v>0.0</v>
      </c>
    </row>
    <row r="298" ht="15.75" customHeight="1">
      <c r="A298" s="98">
        <v>43513.0</v>
      </c>
      <c r="B298" s="98">
        <v>43541.0</v>
      </c>
      <c r="C298" s="97">
        <v>0.0</v>
      </c>
    </row>
    <row r="299" ht="15.75" customHeight="1">
      <c r="A299" s="98">
        <v>43514.0</v>
      </c>
      <c r="B299" s="98">
        <v>43542.0</v>
      </c>
      <c r="C299" s="97">
        <v>0.0</v>
      </c>
    </row>
    <row r="300" ht="15.75" customHeight="1">
      <c r="A300" s="98">
        <v>43515.0</v>
      </c>
      <c r="B300" s="98">
        <v>43543.0</v>
      </c>
      <c r="C300" s="97">
        <v>0.0</v>
      </c>
    </row>
    <row r="301" ht="15.75" customHeight="1">
      <c r="A301" s="98">
        <v>43516.0</v>
      </c>
      <c r="B301" s="98">
        <v>43544.0</v>
      </c>
      <c r="C301" s="97">
        <v>0.0</v>
      </c>
    </row>
    <row r="302" ht="15.75" customHeight="1">
      <c r="A302" s="98">
        <v>43517.0</v>
      </c>
      <c r="B302" s="98">
        <v>43545.0</v>
      </c>
      <c r="C302" s="97">
        <v>0.0</v>
      </c>
    </row>
    <row r="303" ht="15.75" customHeight="1">
      <c r="A303" s="98">
        <v>43518.0</v>
      </c>
      <c r="B303" s="98">
        <v>43546.0</v>
      </c>
      <c r="C303" s="97">
        <v>0.0</v>
      </c>
    </row>
    <row r="304" ht="15.75" customHeight="1">
      <c r="A304" s="98">
        <v>43519.0</v>
      </c>
      <c r="B304" s="98">
        <v>43547.0</v>
      </c>
      <c r="C304" s="97">
        <v>0.0</v>
      </c>
    </row>
    <row r="305" ht="15.75" customHeight="1">
      <c r="A305" s="98">
        <v>43520.0</v>
      </c>
      <c r="B305" s="98">
        <v>43548.0</v>
      </c>
      <c r="C305" s="97">
        <v>0.0</v>
      </c>
    </row>
    <row r="306" ht="15.75" customHeight="1">
      <c r="A306" s="98">
        <v>43521.0</v>
      </c>
      <c r="B306" s="98">
        <v>43549.0</v>
      </c>
      <c r="C306" s="97">
        <v>0.0</v>
      </c>
    </row>
    <row r="307" ht="15.75" customHeight="1">
      <c r="A307" s="98">
        <v>43522.0</v>
      </c>
      <c r="B307" s="98">
        <v>43550.0</v>
      </c>
      <c r="C307" s="97">
        <v>0.0</v>
      </c>
    </row>
    <row r="308" ht="15.75" customHeight="1">
      <c r="A308" s="98">
        <v>43523.0</v>
      </c>
      <c r="B308" s="98">
        <v>43551.0</v>
      </c>
      <c r="C308" s="97">
        <v>0.0</v>
      </c>
    </row>
    <row r="309" ht="15.75" customHeight="1">
      <c r="A309" s="98">
        <v>43524.0</v>
      </c>
      <c r="B309" s="98">
        <v>43552.0</v>
      </c>
      <c r="C309" s="97">
        <v>0.0</v>
      </c>
    </row>
    <row r="310" ht="15.75" customHeight="1">
      <c r="A310" s="98">
        <v>43525.0</v>
      </c>
      <c r="B310" s="98">
        <v>43553.0</v>
      </c>
      <c r="C310" s="97">
        <v>0.0</v>
      </c>
    </row>
    <row r="311" ht="15.75" customHeight="1">
      <c r="A311" s="98">
        <v>43525.0</v>
      </c>
      <c r="B311" s="98">
        <v>43554.0</v>
      </c>
      <c r="C311" s="97">
        <v>0.0</v>
      </c>
    </row>
    <row r="312" ht="15.75" customHeight="1">
      <c r="A312" s="98">
        <v>43525.0</v>
      </c>
      <c r="B312" s="98">
        <v>43555.0</v>
      </c>
      <c r="C312" s="97">
        <v>0.0</v>
      </c>
    </row>
    <row r="313" ht="15.75" customHeight="1">
      <c r="A313" s="98">
        <v>43525.0</v>
      </c>
      <c r="B313" s="98">
        <v>43556.0</v>
      </c>
      <c r="C313" s="97">
        <v>0.0</v>
      </c>
    </row>
    <row r="314" ht="15.75" customHeight="1">
      <c r="A314" s="98">
        <v>43526.0</v>
      </c>
      <c r="B314" s="98">
        <v>43557.0</v>
      </c>
      <c r="C314" s="97">
        <v>0.0</v>
      </c>
    </row>
    <row r="315" ht="15.75" customHeight="1">
      <c r="A315" s="98">
        <v>43527.0</v>
      </c>
      <c r="B315" s="98">
        <v>43558.0</v>
      </c>
      <c r="C315" s="97">
        <v>0.0</v>
      </c>
    </row>
    <row r="316" ht="15.75" customHeight="1">
      <c r="A316" s="98">
        <v>43528.0</v>
      </c>
      <c r="B316" s="98">
        <v>43559.0</v>
      </c>
      <c r="C316" s="97">
        <v>0.0</v>
      </c>
    </row>
    <row r="317" ht="15.75" customHeight="1">
      <c r="A317" s="98">
        <v>43529.0</v>
      </c>
      <c r="B317" s="98">
        <v>43560.0</v>
      </c>
      <c r="C317" s="97">
        <v>0.0</v>
      </c>
    </row>
    <row r="318" ht="15.75" customHeight="1">
      <c r="A318" s="98">
        <v>43530.0</v>
      </c>
      <c r="B318" s="98">
        <v>43561.0</v>
      </c>
      <c r="C318" s="97">
        <v>0.0</v>
      </c>
    </row>
    <row r="319" ht="15.75" customHeight="1">
      <c r="A319" s="98">
        <v>43531.0</v>
      </c>
      <c r="B319" s="98">
        <v>43562.0</v>
      </c>
      <c r="C319" s="97">
        <v>0.0</v>
      </c>
    </row>
    <row r="320" ht="15.75" customHeight="1">
      <c r="A320" s="98">
        <v>43532.0</v>
      </c>
      <c r="B320" s="98">
        <v>43563.0</v>
      </c>
      <c r="C320" s="97">
        <v>0.0</v>
      </c>
    </row>
    <row r="321" ht="15.75" customHeight="1">
      <c r="A321" s="98">
        <v>43533.0</v>
      </c>
      <c r="B321" s="98">
        <v>43564.0</v>
      </c>
      <c r="C321" s="97">
        <v>0.0</v>
      </c>
    </row>
    <row r="322" ht="15.75" customHeight="1">
      <c r="A322" s="98">
        <v>43534.0</v>
      </c>
      <c r="B322" s="98">
        <v>43565.0</v>
      </c>
      <c r="C322" s="97">
        <v>0.0</v>
      </c>
    </row>
    <row r="323" ht="15.75" customHeight="1">
      <c r="A323" s="98">
        <v>43535.0</v>
      </c>
      <c r="B323" s="98">
        <v>43566.0</v>
      </c>
      <c r="C323" s="97">
        <v>0.0</v>
      </c>
    </row>
    <row r="324" ht="15.75" customHeight="1">
      <c r="A324" s="98">
        <v>43536.0</v>
      </c>
      <c r="B324" s="98">
        <v>43567.0</v>
      </c>
      <c r="C324" s="97">
        <v>0.0</v>
      </c>
    </row>
    <row r="325" ht="15.75" customHeight="1">
      <c r="A325" s="98">
        <v>43537.0</v>
      </c>
      <c r="B325" s="98">
        <v>43568.0</v>
      </c>
      <c r="C325" s="97">
        <v>0.0</v>
      </c>
    </row>
    <row r="326" ht="15.75" customHeight="1">
      <c r="A326" s="98">
        <v>43538.0</v>
      </c>
      <c r="B326" s="98">
        <v>43569.0</v>
      </c>
      <c r="C326" s="97">
        <v>0.0</v>
      </c>
    </row>
    <row r="327" ht="15.75" customHeight="1">
      <c r="A327" s="98">
        <v>43539.0</v>
      </c>
      <c r="B327" s="98">
        <v>43570.0</v>
      </c>
      <c r="C327" s="97">
        <v>0.0</v>
      </c>
    </row>
    <row r="328" ht="15.75" customHeight="1">
      <c r="A328" s="98">
        <v>43540.0</v>
      </c>
      <c r="B328" s="98">
        <v>43571.0</v>
      </c>
      <c r="C328" s="97">
        <v>0.0</v>
      </c>
    </row>
    <row r="329" ht="15.75" customHeight="1">
      <c r="A329" s="98">
        <v>43541.0</v>
      </c>
      <c r="B329" s="98">
        <v>43572.0</v>
      </c>
      <c r="C329" s="97">
        <v>0.0</v>
      </c>
    </row>
    <row r="330" ht="15.75" customHeight="1">
      <c r="A330" s="98">
        <v>43542.0</v>
      </c>
      <c r="B330" s="98">
        <v>43573.0</v>
      </c>
      <c r="C330" s="97">
        <v>0.0</v>
      </c>
    </row>
    <row r="331" ht="15.75" customHeight="1">
      <c r="A331" s="98">
        <v>43543.0</v>
      </c>
      <c r="B331" s="98">
        <v>43574.0</v>
      </c>
      <c r="C331" s="97">
        <v>0.0</v>
      </c>
    </row>
    <row r="332" ht="15.75" customHeight="1">
      <c r="A332" s="98">
        <v>43544.0</v>
      </c>
      <c r="B332" s="98">
        <v>43575.0</v>
      </c>
      <c r="C332" s="97">
        <v>0.0</v>
      </c>
    </row>
    <row r="333" ht="15.75" customHeight="1">
      <c r="A333" s="98">
        <v>43545.0</v>
      </c>
      <c r="B333" s="98">
        <v>43576.0</v>
      </c>
      <c r="C333" s="97">
        <v>0.0</v>
      </c>
    </row>
    <row r="334" ht="15.75" customHeight="1">
      <c r="A334" s="98">
        <v>43546.0</v>
      </c>
      <c r="B334" s="98">
        <v>43577.0</v>
      </c>
      <c r="C334" s="97">
        <v>0.0</v>
      </c>
    </row>
    <row r="335" ht="15.75" customHeight="1">
      <c r="A335" s="98">
        <v>43547.0</v>
      </c>
      <c r="B335" s="98">
        <v>43578.0</v>
      </c>
      <c r="C335" s="97">
        <v>0.0</v>
      </c>
    </row>
    <row r="336" ht="15.75" customHeight="1">
      <c r="A336" s="98">
        <v>43548.0</v>
      </c>
      <c r="B336" s="98">
        <v>43579.0</v>
      </c>
      <c r="C336" s="97">
        <v>0.0</v>
      </c>
    </row>
    <row r="337" ht="15.75" customHeight="1">
      <c r="A337" s="98">
        <v>43549.0</v>
      </c>
      <c r="B337" s="98">
        <v>43580.0</v>
      </c>
      <c r="C337" s="97">
        <v>0.0</v>
      </c>
    </row>
    <row r="338" ht="15.75" customHeight="1">
      <c r="A338" s="98">
        <v>43550.0</v>
      </c>
      <c r="B338" s="98">
        <v>43581.0</v>
      </c>
      <c r="C338" s="97">
        <v>0.0</v>
      </c>
    </row>
    <row r="339" ht="15.75" customHeight="1">
      <c r="A339" s="98">
        <v>43551.0</v>
      </c>
      <c r="B339" s="98">
        <v>43582.0</v>
      </c>
      <c r="C339" s="97">
        <v>0.0</v>
      </c>
    </row>
    <row r="340" ht="15.75" customHeight="1">
      <c r="A340" s="98">
        <v>43552.0</v>
      </c>
      <c r="B340" s="98">
        <v>43583.0</v>
      </c>
      <c r="C340" s="97">
        <v>0.0</v>
      </c>
    </row>
    <row r="341" ht="15.75" customHeight="1">
      <c r="A341" s="98">
        <v>43553.0</v>
      </c>
      <c r="B341" s="98">
        <v>43584.0</v>
      </c>
      <c r="C341" s="97">
        <v>0.0</v>
      </c>
    </row>
    <row r="342" ht="15.75" customHeight="1">
      <c r="A342" s="98">
        <v>43554.0</v>
      </c>
      <c r="B342" s="98">
        <v>43585.0</v>
      </c>
      <c r="C342" s="97">
        <v>0.0</v>
      </c>
    </row>
    <row r="343" ht="15.75" customHeight="1">
      <c r="A343" s="98">
        <v>43555.0</v>
      </c>
      <c r="B343" s="98">
        <v>43586.0</v>
      </c>
      <c r="C343" s="97">
        <v>0.0</v>
      </c>
    </row>
    <row r="344" ht="15.75" customHeight="1">
      <c r="A344" s="98">
        <v>43556.0</v>
      </c>
      <c r="B344" s="98">
        <v>43586.0</v>
      </c>
      <c r="C344" s="97">
        <v>0.0</v>
      </c>
    </row>
    <row r="345" ht="15.75" customHeight="1">
      <c r="A345" s="98">
        <v>43557.0</v>
      </c>
      <c r="B345" s="98">
        <v>43587.0</v>
      </c>
      <c r="C345" s="97">
        <v>0.0</v>
      </c>
    </row>
    <row r="346" ht="15.75" customHeight="1">
      <c r="A346" s="98">
        <v>43558.0</v>
      </c>
      <c r="B346" s="98">
        <v>43588.0</v>
      </c>
      <c r="C346" s="97">
        <v>0.0</v>
      </c>
    </row>
    <row r="347" ht="15.75" customHeight="1">
      <c r="A347" s="98">
        <v>43559.0</v>
      </c>
      <c r="B347" s="98">
        <v>43589.0</v>
      </c>
      <c r="C347" s="97">
        <v>0.0</v>
      </c>
    </row>
    <row r="348" ht="15.75" customHeight="1">
      <c r="A348" s="98">
        <v>43560.0</v>
      </c>
      <c r="B348" s="98">
        <v>43590.0</v>
      </c>
      <c r="C348" s="97">
        <v>0.0</v>
      </c>
    </row>
    <row r="349" ht="15.75" customHeight="1">
      <c r="A349" s="98">
        <v>43561.0</v>
      </c>
      <c r="B349" s="98">
        <v>43591.0</v>
      </c>
      <c r="C349" s="97">
        <v>0.0</v>
      </c>
    </row>
    <row r="350" ht="15.75" customHeight="1">
      <c r="A350" s="98">
        <v>43562.0</v>
      </c>
      <c r="B350" s="98">
        <v>43592.0</v>
      </c>
      <c r="C350" s="97">
        <v>0.0</v>
      </c>
    </row>
    <row r="351" ht="15.75" customHeight="1">
      <c r="A351" s="98">
        <v>43563.0</v>
      </c>
      <c r="B351" s="98">
        <v>43593.0</v>
      </c>
      <c r="C351" s="97">
        <v>0.0</v>
      </c>
    </row>
    <row r="352" ht="15.75" customHeight="1">
      <c r="A352" s="98">
        <v>43564.0</v>
      </c>
      <c r="B352" s="98">
        <v>43594.0</v>
      </c>
      <c r="C352" s="97">
        <v>0.0</v>
      </c>
    </row>
    <row r="353" ht="15.75" customHeight="1">
      <c r="A353" s="98">
        <v>43565.0</v>
      </c>
      <c r="B353" s="98">
        <v>43595.0</v>
      </c>
      <c r="C353" s="97">
        <v>0.0</v>
      </c>
    </row>
    <row r="354" ht="15.75" customHeight="1">
      <c r="A354" s="98">
        <v>43566.0</v>
      </c>
      <c r="B354" s="98">
        <v>43596.0</v>
      </c>
      <c r="C354" s="97">
        <v>0.0</v>
      </c>
    </row>
    <row r="355" ht="15.75" customHeight="1">
      <c r="A355" s="98">
        <v>43567.0</v>
      </c>
      <c r="B355" s="98">
        <v>43597.0</v>
      </c>
      <c r="C355" s="97">
        <v>0.0</v>
      </c>
    </row>
    <row r="356" ht="15.75" customHeight="1">
      <c r="A356" s="98">
        <v>43568.0</v>
      </c>
      <c r="B356" s="98">
        <v>43598.0</v>
      </c>
      <c r="C356" s="97">
        <v>0.0</v>
      </c>
    </row>
    <row r="357" ht="15.75" customHeight="1">
      <c r="A357" s="98">
        <v>43569.0</v>
      </c>
      <c r="B357" s="98">
        <v>43599.0</v>
      </c>
      <c r="C357" s="97">
        <v>0.0</v>
      </c>
    </row>
    <row r="358" ht="15.75" customHeight="1">
      <c r="A358" s="98">
        <v>43570.0</v>
      </c>
      <c r="B358" s="98">
        <v>43600.0</v>
      </c>
      <c r="C358" s="97">
        <v>0.0</v>
      </c>
    </row>
    <row r="359" ht="15.75" customHeight="1">
      <c r="A359" s="98">
        <v>43571.0</v>
      </c>
      <c r="B359" s="98">
        <v>43601.0</v>
      </c>
      <c r="C359" s="97">
        <v>0.0</v>
      </c>
    </row>
    <row r="360" ht="15.75" customHeight="1">
      <c r="A360" s="98">
        <v>43572.0</v>
      </c>
      <c r="B360" s="98">
        <v>43602.0</v>
      </c>
      <c r="C360" s="97">
        <v>0.0</v>
      </c>
    </row>
    <row r="361" ht="15.75" customHeight="1">
      <c r="A361" s="98">
        <v>43573.0</v>
      </c>
      <c r="B361" s="98">
        <v>43603.0</v>
      </c>
      <c r="C361" s="97">
        <v>0.0</v>
      </c>
    </row>
    <row r="362" ht="15.75" customHeight="1">
      <c r="A362" s="98">
        <v>43574.0</v>
      </c>
      <c r="B362" s="98">
        <v>43604.0</v>
      </c>
      <c r="C362" s="97">
        <v>0.0</v>
      </c>
    </row>
    <row r="363" ht="15.75" customHeight="1">
      <c r="A363" s="98">
        <v>43575.0</v>
      </c>
      <c r="B363" s="98">
        <v>43605.0</v>
      </c>
      <c r="C363" s="97">
        <v>0.0</v>
      </c>
    </row>
    <row r="364" ht="15.75" customHeight="1">
      <c r="A364" s="98">
        <v>43576.0</v>
      </c>
      <c r="B364" s="98">
        <v>43606.0</v>
      </c>
      <c r="C364" s="97">
        <v>0.0</v>
      </c>
    </row>
    <row r="365" ht="15.75" customHeight="1">
      <c r="A365" s="98">
        <v>43577.0</v>
      </c>
      <c r="B365" s="98">
        <v>43607.0</v>
      </c>
      <c r="C365" s="97">
        <v>0.0</v>
      </c>
    </row>
    <row r="366" ht="15.75" customHeight="1">
      <c r="A366" s="98">
        <v>43578.0</v>
      </c>
      <c r="B366" s="98">
        <v>43608.0</v>
      </c>
      <c r="C366" s="97">
        <v>0.0</v>
      </c>
    </row>
    <row r="367" ht="15.75" customHeight="1">
      <c r="A367" s="98">
        <v>43579.0</v>
      </c>
      <c r="B367" s="98">
        <v>43609.0</v>
      </c>
      <c r="C367" s="97">
        <v>0.0</v>
      </c>
    </row>
    <row r="368" ht="15.75" customHeight="1">
      <c r="A368" s="98">
        <v>43580.0</v>
      </c>
      <c r="B368" s="98">
        <v>43610.0</v>
      </c>
      <c r="C368" s="97">
        <v>0.0</v>
      </c>
    </row>
    <row r="369" ht="15.75" customHeight="1">
      <c r="A369" s="98">
        <v>43581.0</v>
      </c>
      <c r="B369" s="98">
        <v>43611.0</v>
      </c>
      <c r="C369" s="97">
        <v>0.0</v>
      </c>
    </row>
    <row r="370" ht="15.75" customHeight="1">
      <c r="A370" s="98">
        <v>43582.0</v>
      </c>
      <c r="B370" s="98">
        <v>43612.0</v>
      </c>
      <c r="C370" s="97">
        <v>0.0</v>
      </c>
    </row>
    <row r="371" ht="15.75" customHeight="1">
      <c r="A371" s="98">
        <v>43583.0</v>
      </c>
      <c r="B371" s="98">
        <v>43613.0</v>
      </c>
      <c r="C371" s="97">
        <v>0.0</v>
      </c>
    </row>
    <row r="372" ht="15.75" customHeight="1">
      <c r="A372" s="98">
        <v>43584.0</v>
      </c>
      <c r="B372" s="98">
        <v>43614.0</v>
      </c>
      <c r="C372" s="97">
        <v>0.0</v>
      </c>
    </row>
    <row r="373" ht="15.75" customHeight="1">
      <c r="A373" s="98">
        <v>43585.0</v>
      </c>
      <c r="B373" s="98">
        <v>43615.0</v>
      </c>
      <c r="C373" s="97">
        <v>0.0</v>
      </c>
    </row>
    <row r="374" ht="15.75" customHeight="1">
      <c r="A374" s="98">
        <v>43586.0</v>
      </c>
      <c r="B374" s="98">
        <v>43616.0</v>
      </c>
      <c r="C374" s="97">
        <v>0.0</v>
      </c>
    </row>
    <row r="375" ht="15.75" customHeight="1">
      <c r="A375" s="98">
        <v>43586.0</v>
      </c>
      <c r="B375" s="98">
        <v>43617.0</v>
      </c>
      <c r="C375" s="97">
        <v>0.0</v>
      </c>
    </row>
    <row r="376" ht="15.75" customHeight="1">
      <c r="A376" s="98">
        <v>43587.0</v>
      </c>
      <c r="B376" s="98">
        <v>43618.0</v>
      </c>
      <c r="C376" s="97">
        <v>0.0</v>
      </c>
    </row>
    <row r="377" ht="15.75" customHeight="1">
      <c r="A377" s="98">
        <v>43588.0</v>
      </c>
      <c r="B377" s="98">
        <v>43619.0</v>
      </c>
      <c r="C377" s="97">
        <v>0.0</v>
      </c>
    </row>
    <row r="378" ht="15.75" customHeight="1">
      <c r="A378" s="98">
        <v>43589.0</v>
      </c>
      <c r="B378" s="98">
        <v>43620.0</v>
      </c>
      <c r="C378" s="97">
        <v>0.0</v>
      </c>
    </row>
    <row r="379" ht="15.75" customHeight="1">
      <c r="A379" s="98">
        <v>43590.0</v>
      </c>
      <c r="B379" s="98">
        <v>43621.0</v>
      </c>
      <c r="C379" s="97">
        <v>0.0</v>
      </c>
    </row>
    <row r="380" ht="15.75" customHeight="1">
      <c r="A380" s="98">
        <v>43591.0</v>
      </c>
      <c r="B380" s="98">
        <v>43622.0</v>
      </c>
      <c r="C380" s="97">
        <v>0.0</v>
      </c>
    </row>
    <row r="381" ht="15.75" customHeight="1">
      <c r="A381" s="98">
        <v>43592.0</v>
      </c>
      <c r="B381" s="98">
        <v>43623.0</v>
      </c>
      <c r="C381" s="97">
        <v>0.0</v>
      </c>
    </row>
    <row r="382" ht="15.75" customHeight="1">
      <c r="A382" s="98">
        <v>43593.0</v>
      </c>
      <c r="B382" s="98">
        <v>43624.0</v>
      </c>
      <c r="C382" s="97">
        <v>0.0</v>
      </c>
    </row>
    <row r="383" ht="15.75" customHeight="1">
      <c r="A383" s="98">
        <v>43594.0</v>
      </c>
      <c r="B383" s="98">
        <v>43625.0</v>
      </c>
      <c r="C383" s="97">
        <v>0.0</v>
      </c>
    </row>
    <row r="384" ht="15.75" customHeight="1">
      <c r="A384" s="98">
        <v>43595.0</v>
      </c>
      <c r="B384" s="98">
        <v>43626.0</v>
      </c>
      <c r="C384" s="97">
        <v>0.0</v>
      </c>
    </row>
    <row r="385" ht="15.75" customHeight="1">
      <c r="A385" s="98">
        <v>43596.0</v>
      </c>
      <c r="B385" s="98">
        <v>43627.0</v>
      </c>
      <c r="C385" s="97">
        <v>0.0</v>
      </c>
    </row>
    <row r="386" ht="15.75" customHeight="1">
      <c r="A386" s="98">
        <v>43597.0</v>
      </c>
      <c r="B386" s="98">
        <v>43628.0</v>
      </c>
      <c r="C386" s="97">
        <v>0.0</v>
      </c>
    </row>
    <row r="387" ht="15.75" customHeight="1">
      <c r="A387" s="98">
        <v>43598.0</v>
      </c>
      <c r="B387" s="98">
        <v>43629.0</v>
      </c>
      <c r="C387" s="97">
        <v>0.0</v>
      </c>
    </row>
    <row r="388" ht="15.75" customHeight="1">
      <c r="A388" s="98">
        <v>43599.0</v>
      </c>
      <c r="B388" s="98">
        <v>43630.0</v>
      </c>
      <c r="C388" s="97">
        <v>0.0</v>
      </c>
    </row>
    <row r="389" ht="15.75" customHeight="1">
      <c r="A389" s="98">
        <v>43600.0</v>
      </c>
      <c r="B389" s="98">
        <v>43631.0</v>
      </c>
      <c r="C389" s="97">
        <v>0.0</v>
      </c>
    </row>
    <row r="390" ht="15.75" customHeight="1">
      <c r="A390" s="98">
        <v>43601.0</v>
      </c>
      <c r="B390" s="98">
        <v>43632.0</v>
      </c>
      <c r="C390" s="97">
        <v>0.0</v>
      </c>
    </row>
    <row r="391" ht="15.75" customHeight="1">
      <c r="A391" s="98">
        <v>43602.0</v>
      </c>
      <c r="B391" s="98">
        <v>43633.0</v>
      </c>
      <c r="C391" s="97">
        <v>0.0</v>
      </c>
    </row>
    <row r="392" ht="15.75" customHeight="1">
      <c r="A392" s="98">
        <v>43603.0</v>
      </c>
      <c r="B392" s="98">
        <v>43634.0</v>
      </c>
      <c r="C392" s="97">
        <v>0.0</v>
      </c>
    </row>
    <row r="393" ht="15.75" customHeight="1">
      <c r="A393" s="98">
        <v>43604.0</v>
      </c>
      <c r="B393" s="98">
        <v>43635.0</v>
      </c>
      <c r="C393" s="97">
        <v>0.0</v>
      </c>
    </row>
    <row r="394" ht="15.75" customHeight="1">
      <c r="A394" s="98">
        <v>43605.0</v>
      </c>
      <c r="B394" s="98">
        <v>43636.0</v>
      </c>
      <c r="C394" s="97">
        <v>0.0</v>
      </c>
    </row>
    <row r="395" ht="15.75" customHeight="1">
      <c r="A395" s="98">
        <v>43606.0</v>
      </c>
      <c r="B395" s="98">
        <v>43637.0</v>
      </c>
      <c r="C395" s="97">
        <v>0.0</v>
      </c>
    </row>
    <row r="396" ht="15.75" customHeight="1">
      <c r="A396" s="98">
        <v>43607.0</v>
      </c>
      <c r="B396" s="98">
        <v>43638.0</v>
      </c>
      <c r="C396" s="97">
        <v>0.0</v>
      </c>
    </row>
    <row r="397" ht="15.75" customHeight="1">
      <c r="A397" s="98">
        <v>43608.0</v>
      </c>
      <c r="B397" s="98">
        <v>43639.0</v>
      </c>
      <c r="C397" s="97">
        <v>0.0</v>
      </c>
    </row>
    <row r="398" ht="15.75" customHeight="1">
      <c r="A398" s="98">
        <v>43609.0</v>
      </c>
      <c r="B398" s="98">
        <v>43640.0</v>
      </c>
      <c r="C398" s="97">
        <v>0.0</v>
      </c>
    </row>
    <row r="399" ht="15.75" customHeight="1">
      <c r="A399" s="98">
        <v>43610.0</v>
      </c>
      <c r="B399" s="98">
        <v>43641.0</v>
      </c>
      <c r="C399" s="97">
        <v>0.0</v>
      </c>
    </row>
    <row r="400" ht="15.75" customHeight="1">
      <c r="A400" s="98">
        <v>43611.0</v>
      </c>
      <c r="B400" s="98">
        <v>43642.0</v>
      </c>
      <c r="C400" s="97">
        <v>0.0</v>
      </c>
    </row>
    <row r="401" ht="15.75" customHeight="1">
      <c r="A401" s="98">
        <v>43612.0</v>
      </c>
      <c r="B401" s="98">
        <v>43643.0</v>
      </c>
      <c r="C401" s="97">
        <v>0.0</v>
      </c>
    </row>
    <row r="402" ht="15.75" customHeight="1">
      <c r="A402" s="98">
        <v>43613.0</v>
      </c>
      <c r="B402" s="98">
        <v>43644.0</v>
      </c>
      <c r="C402" s="97">
        <v>0.0</v>
      </c>
    </row>
    <row r="403" ht="15.75" customHeight="1">
      <c r="A403" s="98">
        <v>43614.0</v>
      </c>
      <c r="B403" s="98">
        <v>43645.0</v>
      </c>
      <c r="C403" s="97">
        <v>0.0</v>
      </c>
    </row>
    <row r="404" ht="15.75" customHeight="1">
      <c r="A404" s="98">
        <v>43615.0</v>
      </c>
      <c r="B404" s="98">
        <v>43646.0</v>
      </c>
      <c r="C404" s="97">
        <v>0.0</v>
      </c>
    </row>
    <row r="405" ht="15.75" customHeight="1">
      <c r="A405" s="98">
        <v>43616.0</v>
      </c>
      <c r="B405" s="98">
        <v>43647.0</v>
      </c>
      <c r="C405" s="97">
        <v>0.0</v>
      </c>
    </row>
    <row r="406" ht="15.75" customHeight="1">
      <c r="A406" s="98">
        <v>43617.0</v>
      </c>
      <c r="B406" s="98">
        <v>43647.0</v>
      </c>
      <c r="C406" s="97">
        <v>0.0</v>
      </c>
    </row>
    <row r="407" ht="15.75" customHeight="1">
      <c r="A407" s="98">
        <v>43618.0</v>
      </c>
      <c r="B407" s="98">
        <v>43648.0</v>
      </c>
      <c r="C407" s="97">
        <v>0.0</v>
      </c>
    </row>
    <row r="408" ht="15.75" customHeight="1">
      <c r="A408" s="98">
        <v>43619.0</v>
      </c>
      <c r="B408" s="98">
        <v>43649.0</v>
      </c>
      <c r="C408" s="97">
        <v>0.0</v>
      </c>
    </row>
    <row r="409" ht="15.75" customHeight="1">
      <c r="A409" s="98">
        <v>43620.0</v>
      </c>
      <c r="B409" s="98">
        <v>43650.0</v>
      </c>
      <c r="C409" s="97">
        <v>0.0</v>
      </c>
    </row>
    <row r="410" ht="15.75" customHeight="1">
      <c r="A410" s="98">
        <v>43621.0</v>
      </c>
      <c r="B410" s="98">
        <v>43651.0</v>
      </c>
      <c r="C410" s="97">
        <v>0.0</v>
      </c>
    </row>
    <row r="411" ht="15.75" customHeight="1">
      <c r="A411" s="98">
        <v>43622.0</v>
      </c>
      <c r="B411" s="98">
        <v>43652.0</v>
      </c>
      <c r="C411" s="97">
        <v>0.0</v>
      </c>
    </row>
    <row r="412" ht="15.75" customHeight="1">
      <c r="A412" s="98">
        <v>43623.0</v>
      </c>
      <c r="B412" s="98">
        <v>43653.0</v>
      </c>
      <c r="C412" s="97">
        <v>0.0</v>
      </c>
    </row>
    <row r="413" ht="15.75" customHeight="1">
      <c r="A413" s="98">
        <v>43624.0</v>
      </c>
      <c r="B413" s="98">
        <v>43654.0</v>
      </c>
      <c r="C413" s="97">
        <v>0.0</v>
      </c>
    </row>
    <row r="414" ht="15.75" customHeight="1">
      <c r="A414" s="98">
        <v>43625.0</v>
      </c>
      <c r="B414" s="98">
        <v>43655.0</v>
      </c>
      <c r="C414" s="97">
        <v>0.0</v>
      </c>
    </row>
    <row r="415" ht="15.75" customHeight="1">
      <c r="A415" s="98">
        <v>43626.0</v>
      </c>
      <c r="B415" s="98">
        <v>43656.0</v>
      </c>
      <c r="C415" s="97">
        <v>0.0</v>
      </c>
    </row>
    <row r="416" ht="15.75" customHeight="1">
      <c r="A416" s="98">
        <v>43627.0</v>
      </c>
      <c r="B416" s="98">
        <v>43657.0</v>
      </c>
      <c r="C416" s="97">
        <v>0.0</v>
      </c>
    </row>
    <row r="417" ht="15.75" customHeight="1">
      <c r="A417" s="98">
        <v>43628.0</v>
      </c>
      <c r="B417" s="98">
        <v>43658.0</v>
      </c>
      <c r="C417" s="97">
        <v>0.0</v>
      </c>
    </row>
    <row r="418" ht="15.75" customHeight="1">
      <c r="A418" s="98">
        <v>43629.0</v>
      </c>
      <c r="B418" s="98">
        <v>43659.0</v>
      </c>
      <c r="C418" s="97">
        <v>0.0</v>
      </c>
    </row>
    <row r="419" ht="15.75" customHeight="1">
      <c r="A419" s="98">
        <v>43630.0</v>
      </c>
      <c r="B419" s="98">
        <v>43660.0</v>
      </c>
      <c r="C419" s="97">
        <v>0.0</v>
      </c>
    </row>
    <row r="420" ht="15.75" customHeight="1">
      <c r="A420" s="98">
        <v>43631.0</v>
      </c>
      <c r="B420" s="98">
        <v>43661.0</v>
      </c>
      <c r="C420" s="97">
        <v>0.0</v>
      </c>
    </row>
    <row r="421" ht="15.75" customHeight="1">
      <c r="A421" s="98">
        <v>43632.0</v>
      </c>
      <c r="B421" s="98">
        <v>43662.0</v>
      </c>
      <c r="C421" s="97">
        <v>0.0</v>
      </c>
    </row>
    <row r="422" ht="15.75" customHeight="1">
      <c r="A422" s="98">
        <v>43633.0</v>
      </c>
      <c r="B422" s="98">
        <v>43663.0</v>
      </c>
      <c r="C422" s="97">
        <v>0.0</v>
      </c>
    </row>
    <row r="423" ht="15.75" customHeight="1">
      <c r="A423" s="98">
        <v>43634.0</v>
      </c>
      <c r="B423" s="98">
        <v>43664.0</v>
      </c>
      <c r="C423" s="97">
        <v>0.0</v>
      </c>
    </row>
    <row r="424" ht="15.75" customHeight="1">
      <c r="A424" s="98">
        <v>43635.0</v>
      </c>
      <c r="B424" s="98">
        <v>43665.0</v>
      </c>
      <c r="C424" s="97">
        <v>0.0</v>
      </c>
    </row>
    <row r="425" ht="15.75" customHeight="1">
      <c r="A425" s="98">
        <v>43636.0</v>
      </c>
      <c r="B425" s="98">
        <v>43666.0</v>
      </c>
      <c r="C425" s="97">
        <v>0.0</v>
      </c>
    </row>
    <row r="426" ht="15.75" customHeight="1">
      <c r="A426" s="98">
        <v>43637.0</v>
      </c>
      <c r="B426" s="98">
        <v>43667.0</v>
      </c>
      <c r="C426" s="97">
        <v>0.0</v>
      </c>
    </row>
    <row r="427" ht="15.75" customHeight="1">
      <c r="A427" s="98">
        <v>43638.0</v>
      </c>
      <c r="B427" s="98">
        <v>43668.0</v>
      </c>
      <c r="C427" s="97">
        <v>0.0</v>
      </c>
    </row>
    <row r="428" ht="15.75" customHeight="1">
      <c r="A428" s="98">
        <v>43639.0</v>
      </c>
      <c r="B428" s="98">
        <v>43669.0</v>
      </c>
      <c r="C428" s="97">
        <v>0.0</v>
      </c>
    </row>
    <row r="429" ht="15.75" customHeight="1">
      <c r="A429" s="98">
        <v>43640.0</v>
      </c>
      <c r="B429" s="98">
        <v>43670.0</v>
      </c>
      <c r="C429" s="97">
        <v>0.0</v>
      </c>
    </row>
    <row r="430" ht="15.75" customHeight="1">
      <c r="A430" s="98">
        <v>43641.0</v>
      </c>
      <c r="B430" s="98">
        <v>43671.0</v>
      </c>
      <c r="C430" s="97">
        <v>0.0</v>
      </c>
    </row>
    <row r="431" ht="15.75" customHeight="1">
      <c r="A431" s="98">
        <v>43642.0</v>
      </c>
      <c r="B431" s="98">
        <v>43672.0</v>
      </c>
      <c r="C431" s="97">
        <v>0.0</v>
      </c>
    </row>
    <row r="432" ht="15.75" customHeight="1">
      <c r="A432" s="98">
        <v>43643.0</v>
      </c>
      <c r="B432" s="98">
        <v>43673.0</v>
      </c>
      <c r="C432" s="97">
        <v>0.0</v>
      </c>
    </row>
    <row r="433" ht="15.75" customHeight="1">
      <c r="A433" s="98">
        <v>43644.0</v>
      </c>
      <c r="B433" s="98">
        <v>43674.0</v>
      </c>
      <c r="C433" s="97">
        <v>0.0</v>
      </c>
    </row>
    <row r="434" ht="15.75" customHeight="1">
      <c r="A434" s="98">
        <v>43645.0</v>
      </c>
      <c r="B434" s="98">
        <v>43675.0</v>
      </c>
      <c r="C434" s="97">
        <v>0.0</v>
      </c>
    </row>
    <row r="435" ht="15.75" customHeight="1">
      <c r="A435" s="98">
        <v>43646.0</v>
      </c>
      <c r="B435" s="98">
        <v>43676.0</v>
      </c>
      <c r="C435" s="97">
        <v>0.0</v>
      </c>
    </row>
    <row r="436" ht="15.75" customHeight="1">
      <c r="A436" s="98">
        <v>43647.0</v>
      </c>
      <c r="B436" s="98">
        <v>43677.0</v>
      </c>
      <c r="C436" s="97">
        <v>0.0</v>
      </c>
    </row>
    <row r="437" ht="15.75" customHeight="1">
      <c r="A437" s="98">
        <v>43647.0</v>
      </c>
      <c r="B437" s="98">
        <v>43678.0</v>
      </c>
      <c r="C437" s="97">
        <v>0.0</v>
      </c>
    </row>
    <row r="438" ht="15.75" customHeight="1">
      <c r="A438" s="98">
        <v>43648.0</v>
      </c>
      <c r="B438" s="98">
        <v>43679.0</v>
      </c>
      <c r="C438" s="97">
        <v>0.0</v>
      </c>
    </row>
    <row r="439" ht="15.75" customHeight="1">
      <c r="A439" s="98">
        <v>43649.0</v>
      </c>
      <c r="B439" s="98">
        <v>43680.0</v>
      </c>
      <c r="C439" s="97">
        <v>0.0</v>
      </c>
    </row>
    <row r="440" ht="15.75" customHeight="1">
      <c r="A440" s="98">
        <v>43650.0</v>
      </c>
      <c r="B440" s="98">
        <v>43681.0</v>
      </c>
      <c r="C440" s="97">
        <v>0.0</v>
      </c>
    </row>
    <row r="441" ht="15.75" customHeight="1">
      <c r="A441" s="98">
        <v>43651.0</v>
      </c>
      <c r="B441" s="98">
        <v>43682.0</v>
      </c>
      <c r="C441" s="97">
        <v>0.0</v>
      </c>
    </row>
    <row r="442" ht="15.75" customHeight="1">
      <c r="A442" s="98">
        <v>43652.0</v>
      </c>
      <c r="B442" s="98">
        <v>43683.0</v>
      </c>
      <c r="C442" s="97">
        <v>0.0</v>
      </c>
    </row>
    <row r="443" ht="15.75" customHeight="1">
      <c r="A443" s="98">
        <v>43653.0</v>
      </c>
      <c r="B443" s="98">
        <v>43684.0</v>
      </c>
      <c r="C443" s="97">
        <v>0.0</v>
      </c>
    </row>
    <row r="444" ht="15.75" customHeight="1">
      <c r="A444" s="98">
        <v>43654.0</v>
      </c>
      <c r="B444" s="98">
        <v>43685.0</v>
      </c>
      <c r="C444" s="97">
        <v>0.0</v>
      </c>
    </row>
    <row r="445" ht="15.75" customHeight="1">
      <c r="A445" s="98">
        <v>43655.0</v>
      </c>
      <c r="B445" s="98">
        <v>43686.0</v>
      </c>
      <c r="C445" s="97">
        <v>0.0</v>
      </c>
    </row>
    <row r="446" ht="15.75" customHeight="1">
      <c r="A446" s="98">
        <v>43656.0</v>
      </c>
      <c r="B446" s="98">
        <v>43687.0</v>
      </c>
      <c r="C446" s="97">
        <v>0.0</v>
      </c>
    </row>
    <row r="447" ht="15.75" customHeight="1">
      <c r="A447" s="98">
        <v>43657.0</v>
      </c>
      <c r="B447" s="98">
        <v>43688.0</v>
      </c>
      <c r="C447" s="97">
        <v>0.0</v>
      </c>
    </row>
    <row r="448" ht="15.75" customHeight="1">
      <c r="A448" s="98">
        <v>43658.0</v>
      </c>
      <c r="B448" s="98">
        <v>43689.0</v>
      </c>
      <c r="C448" s="97">
        <v>0.0</v>
      </c>
    </row>
    <row r="449" ht="15.75" customHeight="1">
      <c r="A449" s="98">
        <v>43659.0</v>
      </c>
      <c r="B449" s="98">
        <v>43690.0</v>
      </c>
      <c r="C449" s="97">
        <v>0.0</v>
      </c>
    </row>
    <row r="450" ht="15.75" customHeight="1">
      <c r="A450" s="98">
        <v>43660.0</v>
      </c>
      <c r="B450" s="98">
        <v>43691.0</v>
      </c>
      <c r="C450" s="97">
        <v>0.0</v>
      </c>
    </row>
    <row r="451" ht="15.75" customHeight="1">
      <c r="A451" s="98">
        <v>43661.0</v>
      </c>
      <c r="B451" s="98">
        <v>43692.0</v>
      </c>
      <c r="C451" s="97">
        <v>0.0</v>
      </c>
    </row>
    <row r="452" ht="15.75" customHeight="1">
      <c r="A452" s="98">
        <v>43662.0</v>
      </c>
      <c r="B452" s="98">
        <v>43693.0</v>
      </c>
      <c r="C452" s="97">
        <v>0.0</v>
      </c>
    </row>
    <row r="453" ht="15.75" customHeight="1">
      <c r="A453" s="98">
        <v>43663.0</v>
      </c>
      <c r="B453" s="98">
        <v>43694.0</v>
      </c>
      <c r="C453" s="97">
        <v>0.0</v>
      </c>
    </row>
    <row r="454" ht="15.75" customHeight="1">
      <c r="A454" s="98">
        <v>43664.0</v>
      </c>
      <c r="B454" s="98">
        <v>43695.0</v>
      </c>
      <c r="C454" s="97">
        <v>0.0</v>
      </c>
    </row>
    <row r="455" ht="15.75" customHeight="1">
      <c r="A455" s="98">
        <v>43665.0</v>
      </c>
      <c r="B455" s="98">
        <v>43696.0</v>
      </c>
      <c r="C455" s="97">
        <v>0.0</v>
      </c>
    </row>
    <row r="456" ht="15.75" customHeight="1">
      <c r="A456" s="98">
        <v>43666.0</v>
      </c>
      <c r="B456" s="98">
        <v>43697.0</v>
      </c>
      <c r="C456" s="97">
        <v>0.0</v>
      </c>
    </row>
    <row r="457" ht="15.75" customHeight="1">
      <c r="A457" s="98">
        <v>43667.0</v>
      </c>
      <c r="B457" s="98">
        <v>43698.0</v>
      </c>
      <c r="C457" s="97">
        <v>0.0</v>
      </c>
    </row>
    <row r="458" ht="15.75" customHeight="1">
      <c r="A458" s="98">
        <v>43668.0</v>
      </c>
      <c r="B458" s="98">
        <v>43699.0</v>
      </c>
      <c r="C458" s="97">
        <v>0.0</v>
      </c>
    </row>
    <row r="459" ht="15.75" customHeight="1">
      <c r="A459" s="98">
        <v>43669.0</v>
      </c>
      <c r="B459" s="98">
        <v>43700.0</v>
      </c>
      <c r="C459" s="97">
        <v>0.0</v>
      </c>
    </row>
    <row r="460" ht="15.75" customHeight="1">
      <c r="A460" s="98">
        <v>43670.0</v>
      </c>
      <c r="B460" s="98">
        <v>43701.0</v>
      </c>
      <c r="C460" s="97">
        <v>0.0</v>
      </c>
    </row>
    <row r="461" ht="15.75" customHeight="1">
      <c r="A461" s="98">
        <v>43671.0</v>
      </c>
      <c r="B461" s="98">
        <v>43702.0</v>
      </c>
      <c r="C461" s="97">
        <v>0.0</v>
      </c>
    </row>
    <row r="462" ht="15.75" customHeight="1">
      <c r="A462" s="98">
        <v>43672.0</v>
      </c>
      <c r="B462" s="98">
        <v>43703.0</v>
      </c>
      <c r="C462" s="97">
        <v>0.0</v>
      </c>
    </row>
    <row r="463" ht="15.75" customHeight="1">
      <c r="A463" s="98">
        <v>43673.0</v>
      </c>
      <c r="B463" s="98">
        <v>43704.0</v>
      </c>
      <c r="C463" s="97">
        <v>0.0</v>
      </c>
    </row>
    <row r="464" ht="15.75" customHeight="1">
      <c r="A464" s="98">
        <v>43674.0</v>
      </c>
      <c r="B464" s="98">
        <v>43705.0</v>
      </c>
      <c r="C464" s="97">
        <v>0.0</v>
      </c>
    </row>
    <row r="465" ht="15.75" customHeight="1">
      <c r="A465" s="98">
        <v>43675.0</v>
      </c>
      <c r="B465" s="98">
        <v>43706.0</v>
      </c>
      <c r="C465" s="97">
        <v>0.0</v>
      </c>
    </row>
    <row r="466" ht="15.75" customHeight="1">
      <c r="A466" s="98">
        <v>43676.0</v>
      </c>
      <c r="B466" s="98">
        <v>43707.0</v>
      </c>
      <c r="C466" s="97">
        <v>0.0</v>
      </c>
    </row>
    <row r="467" ht="15.75" customHeight="1">
      <c r="A467" s="98">
        <v>43677.0</v>
      </c>
      <c r="B467" s="98">
        <v>43708.0</v>
      </c>
      <c r="C467" s="97">
        <v>0.0</v>
      </c>
    </row>
    <row r="468" ht="15.75" customHeight="1">
      <c r="A468" s="98">
        <v>43678.0</v>
      </c>
      <c r="B468" s="98">
        <v>43709.0</v>
      </c>
      <c r="C468" s="97">
        <v>0.0</v>
      </c>
    </row>
    <row r="469" ht="15.75" customHeight="1">
      <c r="A469" s="98">
        <v>43679.0</v>
      </c>
      <c r="B469" s="98">
        <v>43710.0</v>
      </c>
      <c r="C469" s="97">
        <v>0.0</v>
      </c>
    </row>
    <row r="470" ht="15.75" customHeight="1">
      <c r="A470" s="98">
        <v>43680.0</v>
      </c>
      <c r="B470" s="98">
        <v>43711.0</v>
      </c>
      <c r="C470" s="97">
        <v>0.0</v>
      </c>
    </row>
    <row r="471" ht="15.75" customHeight="1">
      <c r="A471" s="98">
        <v>43681.0</v>
      </c>
      <c r="B471" s="98">
        <v>43712.0</v>
      </c>
      <c r="C471" s="97">
        <v>0.0</v>
      </c>
    </row>
    <row r="472" ht="15.75" customHeight="1">
      <c r="A472" s="98">
        <v>43682.0</v>
      </c>
      <c r="B472" s="98">
        <v>43713.0</v>
      </c>
      <c r="C472" s="97">
        <v>0.0</v>
      </c>
    </row>
    <row r="473" ht="15.75" customHeight="1">
      <c r="A473" s="98">
        <v>43683.0</v>
      </c>
      <c r="B473" s="98">
        <v>43714.0</v>
      </c>
      <c r="C473" s="97">
        <v>0.0</v>
      </c>
    </row>
    <row r="474" ht="15.75" customHeight="1">
      <c r="A474" s="98">
        <v>43684.0</v>
      </c>
      <c r="B474" s="98">
        <v>43715.0</v>
      </c>
      <c r="C474" s="97">
        <v>0.0</v>
      </c>
    </row>
    <row r="475" ht="15.75" customHeight="1">
      <c r="A475" s="98">
        <v>43685.0</v>
      </c>
      <c r="B475" s="98">
        <v>43716.0</v>
      </c>
      <c r="C475" s="97">
        <v>0.0</v>
      </c>
    </row>
    <row r="476" ht="15.75" customHeight="1">
      <c r="A476" s="98">
        <v>43686.0</v>
      </c>
      <c r="B476" s="98">
        <v>43717.0</v>
      </c>
      <c r="C476" s="97">
        <v>0.0</v>
      </c>
    </row>
    <row r="477" ht="15.75" customHeight="1">
      <c r="A477" s="98">
        <v>43687.0</v>
      </c>
      <c r="B477" s="98">
        <v>43718.0</v>
      </c>
      <c r="C477" s="97">
        <v>0.0</v>
      </c>
    </row>
    <row r="478" ht="15.75" customHeight="1">
      <c r="A478" s="98">
        <v>43688.0</v>
      </c>
      <c r="B478" s="98">
        <v>43719.0</v>
      </c>
      <c r="C478" s="97">
        <v>0.0</v>
      </c>
    </row>
    <row r="479" ht="15.75" customHeight="1">
      <c r="A479" s="98">
        <v>43689.0</v>
      </c>
      <c r="B479" s="98">
        <v>43720.0</v>
      </c>
      <c r="C479" s="97">
        <v>0.0</v>
      </c>
    </row>
    <row r="480" ht="15.75" customHeight="1">
      <c r="A480" s="98">
        <v>43690.0</v>
      </c>
      <c r="B480" s="98">
        <v>43721.0</v>
      </c>
      <c r="C480" s="97">
        <v>0.0</v>
      </c>
    </row>
    <row r="481" ht="15.75" customHeight="1">
      <c r="A481" s="98">
        <v>43691.0</v>
      </c>
      <c r="B481" s="98">
        <v>43722.0</v>
      </c>
      <c r="C481" s="97">
        <v>0.0</v>
      </c>
    </row>
    <row r="482" ht="15.75" customHeight="1">
      <c r="A482" s="98">
        <v>43692.0</v>
      </c>
      <c r="B482" s="98">
        <v>43723.0</v>
      </c>
      <c r="C482" s="97">
        <v>0.0</v>
      </c>
    </row>
    <row r="483" ht="15.75" customHeight="1">
      <c r="A483" s="98">
        <v>43693.0</v>
      </c>
      <c r="B483" s="98">
        <v>43724.0</v>
      </c>
      <c r="C483" s="97">
        <v>0.0</v>
      </c>
    </row>
    <row r="484" ht="15.75" customHeight="1">
      <c r="A484" s="98">
        <v>43694.0</v>
      </c>
      <c r="B484" s="98">
        <v>43725.0</v>
      </c>
      <c r="C484" s="97">
        <v>0.0</v>
      </c>
    </row>
    <row r="485" ht="15.75" customHeight="1">
      <c r="A485" s="98">
        <v>43695.0</v>
      </c>
      <c r="B485" s="98">
        <v>43726.0</v>
      </c>
      <c r="C485" s="97">
        <v>0.0</v>
      </c>
    </row>
    <row r="486" ht="15.75" customHeight="1">
      <c r="A486" s="98">
        <v>43696.0</v>
      </c>
      <c r="B486" s="98">
        <v>43727.0</v>
      </c>
      <c r="C486" s="97">
        <v>0.0</v>
      </c>
    </row>
    <row r="487" ht="15.75" customHeight="1">
      <c r="A487" s="98">
        <v>43697.0</v>
      </c>
      <c r="B487" s="98">
        <v>43728.0</v>
      </c>
      <c r="C487" s="97">
        <v>0.0</v>
      </c>
    </row>
    <row r="488" ht="15.75" customHeight="1">
      <c r="A488" s="98">
        <v>43698.0</v>
      </c>
      <c r="B488" s="98">
        <v>43729.0</v>
      </c>
      <c r="C488" s="97">
        <v>0.0</v>
      </c>
    </row>
    <row r="489" ht="15.75" customHeight="1">
      <c r="A489" s="98">
        <v>43699.0</v>
      </c>
      <c r="B489" s="98">
        <v>43730.0</v>
      </c>
      <c r="C489" s="97">
        <v>0.0</v>
      </c>
    </row>
    <row r="490" ht="15.75" customHeight="1">
      <c r="A490" s="98">
        <v>43700.0</v>
      </c>
      <c r="B490" s="98">
        <v>43731.0</v>
      </c>
      <c r="C490" s="97">
        <v>0.0</v>
      </c>
    </row>
    <row r="491" ht="15.75" customHeight="1">
      <c r="A491" s="98">
        <v>43701.0</v>
      </c>
      <c r="B491" s="98">
        <v>43732.0</v>
      </c>
      <c r="C491" s="97">
        <v>0.0</v>
      </c>
    </row>
    <row r="492" ht="15.75" customHeight="1">
      <c r="A492" s="98">
        <v>43702.0</v>
      </c>
      <c r="B492" s="98">
        <v>43733.0</v>
      </c>
      <c r="C492" s="97">
        <v>0.0</v>
      </c>
    </row>
    <row r="493" ht="15.75" customHeight="1">
      <c r="A493" s="98">
        <v>43703.0</v>
      </c>
      <c r="B493" s="98">
        <v>43734.0</v>
      </c>
      <c r="C493" s="97">
        <v>0.0</v>
      </c>
    </row>
    <row r="494" ht="15.75" customHeight="1">
      <c r="A494" s="98">
        <v>43704.0</v>
      </c>
      <c r="B494" s="98">
        <v>43735.0</v>
      </c>
      <c r="C494" s="97">
        <v>0.0</v>
      </c>
    </row>
    <row r="495" ht="15.75" customHeight="1">
      <c r="A495" s="98">
        <v>43705.0</v>
      </c>
      <c r="B495" s="98">
        <v>43736.0</v>
      </c>
      <c r="C495" s="97">
        <v>0.0</v>
      </c>
    </row>
    <row r="496" ht="15.75" customHeight="1">
      <c r="A496" s="98">
        <v>43706.0</v>
      </c>
      <c r="B496" s="98">
        <v>43737.0</v>
      </c>
      <c r="C496" s="97">
        <v>0.0</v>
      </c>
    </row>
    <row r="497" ht="15.75" customHeight="1">
      <c r="A497" s="98">
        <v>43707.0</v>
      </c>
      <c r="B497" s="98">
        <v>43738.0</v>
      </c>
      <c r="C497" s="97">
        <v>0.0</v>
      </c>
    </row>
    <row r="498" ht="15.75" customHeight="1">
      <c r="A498" s="98">
        <v>43708.0</v>
      </c>
      <c r="B498" s="98">
        <v>43739.0</v>
      </c>
      <c r="C498" s="97">
        <v>0.0</v>
      </c>
    </row>
    <row r="499" ht="15.75" customHeight="1">
      <c r="A499" s="98">
        <v>43709.0</v>
      </c>
      <c r="B499" s="98">
        <v>43739.0</v>
      </c>
      <c r="C499" s="97">
        <v>0.0</v>
      </c>
    </row>
    <row r="500" ht="15.75" customHeight="1">
      <c r="A500" s="98">
        <v>43710.0</v>
      </c>
      <c r="B500" s="98">
        <v>43740.0</v>
      </c>
      <c r="C500" s="97">
        <v>0.0</v>
      </c>
    </row>
    <row r="501" ht="15.75" customHeight="1">
      <c r="A501" s="98">
        <v>43711.0</v>
      </c>
      <c r="B501" s="98">
        <v>43741.0</v>
      </c>
      <c r="C501" s="97">
        <v>0.0</v>
      </c>
    </row>
    <row r="502" ht="15.75" customHeight="1">
      <c r="A502" s="98">
        <v>43712.0</v>
      </c>
      <c r="B502" s="98">
        <v>43742.0</v>
      </c>
      <c r="C502" s="97">
        <v>0.0</v>
      </c>
    </row>
    <row r="503" ht="15.75" customHeight="1">
      <c r="A503" s="98">
        <v>43713.0</v>
      </c>
      <c r="B503" s="98">
        <v>43743.0</v>
      </c>
      <c r="C503" s="97">
        <v>0.0</v>
      </c>
    </row>
    <row r="504" ht="15.75" customHeight="1">
      <c r="A504" s="98">
        <v>43714.0</v>
      </c>
      <c r="B504" s="98">
        <v>43744.0</v>
      </c>
      <c r="C504" s="97">
        <v>0.0</v>
      </c>
    </row>
    <row r="505" ht="15.75" customHeight="1">
      <c r="A505" s="98">
        <v>43715.0</v>
      </c>
      <c r="B505" s="98">
        <v>43745.0</v>
      </c>
      <c r="C505" s="97">
        <v>0.0</v>
      </c>
    </row>
    <row r="506" ht="15.75" customHeight="1">
      <c r="A506" s="98">
        <v>43716.0</v>
      </c>
      <c r="B506" s="98">
        <v>43746.0</v>
      </c>
      <c r="C506" s="97">
        <v>0.0</v>
      </c>
    </row>
    <row r="507" ht="15.75" customHeight="1">
      <c r="A507" s="98">
        <v>43717.0</v>
      </c>
      <c r="B507" s="98">
        <v>43747.0</v>
      </c>
      <c r="C507" s="97">
        <v>0.0</v>
      </c>
    </row>
    <row r="508" ht="15.75" customHeight="1">
      <c r="A508" s="98">
        <v>43718.0</v>
      </c>
      <c r="B508" s="98">
        <v>43748.0</v>
      </c>
      <c r="C508" s="97">
        <v>0.0</v>
      </c>
    </row>
    <row r="509" ht="15.75" customHeight="1">
      <c r="A509" s="98">
        <v>43719.0</v>
      </c>
      <c r="B509" s="98">
        <v>43749.0</v>
      </c>
      <c r="C509" s="97">
        <v>0.0</v>
      </c>
    </row>
    <row r="510" ht="15.75" customHeight="1">
      <c r="A510" s="98">
        <v>43720.0</v>
      </c>
      <c r="B510" s="98">
        <v>43750.0</v>
      </c>
      <c r="C510" s="97">
        <v>0.0</v>
      </c>
    </row>
    <row r="511" ht="15.75" customHeight="1">
      <c r="A511" s="98">
        <v>43721.0</v>
      </c>
      <c r="B511" s="98">
        <v>43751.0</v>
      </c>
      <c r="C511" s="97">
        <v>0.0</v>
      </c>
    </row>
    <row r="512" ht="15.75" customHeight="1">
      <c r="A512" s="98">
        <v>43722.0</v>
      </c>
      <c r="B512" s="98">
        <v>43752.0</v>
      </c>
      <c r="C512" s="97">
        <v>0.0</v>
      </c>
    </row>
    <row r="513" ht="15.75" customHeight="1">
      <c r="A513" s="98">
        <v>43723.0</v>
      </c>
      <c r="B513" s="98">
        <v>43753.0</v>
      </c>
      <c r="C513" s="97">
        <v>0.0</v>
      </c>
    </row>
    <row r="514" ht="15.75" customHeight="1">
      <c r="A514" s="98">
        <v>43724.0</v>
      </c>
      <c r="B514" s="98">
        <v>43754.0</v>
      </c>
      <c r="C514" s="97">
        <v>0.0</v>
      </c>
    </row>
    <row r="515" ht="15.75" customHeight="1">
      <c r="A515" s="98">
        <v>43725.0</v>
      </c>
      <c r="B515" s="98">
        <v>43755.0</v>
      </c>
      <c r="C515" s="97">
        <v>0.0</v>
      </c>
    </row>
    <row r="516" ht="15.75" customHeight="1">
      <c r="A516" s="98">
        <v>43726.0</v>
      </c>
      <c r="B516" s="98">
        <v>43756.0</v>
      </c>
      <c r="C516" s="97">
        <v>0.0</v>
      </c>
    </row>
    <row r="517" ht="15.75" customHeight="1">
      <c r="A517" s="98">
        <v>43727.0</v>
      </c>
      <c r="B517" s="98">
        <v>43757.0</v>
      </c>
      <c r="C517" s="97">
        <v>0.0</v>
      </c>
    </row>
    <row r="518" ht="15.75" customHeight="1">
      <c r="A518" s="98">
        <v>43728.0</v>
      </c>
      <c r="B518" s="98">
        <v>43758.0</v>
      </c>
      <c r="C518" s="97">
        <v>0.0</v>
      </c>
    </row>
    <row r="519" ht="15.75" customHeight="1">
      <c r="A519" s="98">
        <v>43729.0</v>
      </c>
      <c r="B519" s="98">
        <v>43759.0</v>
      </c>
      <c r="C519" s="97">
        <v>0.0</v>
      </c>
    </row>
    <row r="520" ht="15.75" customHeight="1">
      <c r="A520" s="98">
        <v>43730.0</v>
      </c>
      <c r="B520" s="98">
        <v>43760.0</v>
      </c>
      <c r="C520" s="97">
        <v>0.0</v>
      </c>
    </row>
    <row r="521" ht="15.75" customHeight="1">
      <c r="A521" s="98">
        <v>43731.0</v>
      </c>
      <c r="B521" s="98">
        <v>43761.0</v>
      </c>
      <c r="C521" s="97">
        <v>0.0</v>
      </c>
    </row>
    <row r="522" ht="15.75" customHeight="1">
      <c r="A522" s="98">
        <v>43732.0</v>
      </c>
      <c r="B522" s="98">
        <v>43762.0</v>
      </c>
      <c r="C522" s="97">
        <v>0.0</v>
      </c>
    </row>
    <row r="523" ht="15.75" customHeight="1">
      <c r="A523" s="98">
        <v>43733.0</v>
      </c>
      <c r="B523" s="98">
        <v>43763.0</v>
      </c>
      <c r="C523" s="97">
        <v>0.0</v>
      </c>
    </row>
    <row r="524" ht="15.75" customHeight="1">
      <c r="A524" s="98">
        <v>43734.0</v>
      </c>
      <c r="B524" s="98">
        <v>43764.0</v>
      </c>
      <c r="C524" s="97">
        <v>0.0</v>
      </c>
    </row>
    <row r="525" ht="15.75" customHeight="1">
      <c r="A525" s="98">
        <v>43735.0</v>
      </c>
      <c r="B525" s="98">
        <v>43765.0</v>
      </c>
      <c r="C525" s="97">
        <v>0.0</v>
      </c>
    </row>
    <row r="526" ht="15.75" customHeight="1">
      <c r="A526" s="98">
        <v>43736.0</v>
      </c>
      <c r="B526" s="98">
        <v>43766.0</v>
      </c>
      <c r="C526" s="97">
        <v>0.0</v>
      </c>
    </row>
    <row r="527" ht="15.75" customHeight="1">
      <c r="A527" s="98">
        <v>43737.0</v>
      </c>
      <c r="B527" s="98">
        <v>43767.0</v>
      </c>
      <c r="C527" s="97">
        <v>0.0</v>
      </c>
    </row>
    <row r="528" ht="15.75" customHeight="1">
      <c r="A528" s="98">
        <v>43738.0</v>
      </c>
      <c r="B528" s="98">
        <v>43768.0</v>
      </c>
      <c r="C528" s="97">
        <v>0.0</v>
      </c>
    </row>
    <row r="529" ht="15.75" customHeight="1">
      <c r="A529" s="98">
        <v>43739.0</v>
      </c>
      <c r="B529" s="98">
        <v>43769.0</v>
      </c>
      <c r="C529" s="97">
        <v>0.0</v>
      </c>
    </row>
    <row r="530" ht="15.75" customHeight="1">
      <c r="A530" s="98">
        <v>43739.0</v>
      </c>
      <c r="B530" s="98">
        <v>43770.0</v>
      </c>
      <c r="C530" s="97">
        <v>0.0</v>
      </c>
    </row>
    <row r="531" ht="15.75" customHeight="1">
      <c r="A531" s="98">
        <v>43740.0</v>
      </c>
      <c r="B531" s="98">
        <v>43771.0</v>
      </c>
      <c r="C531" s="97">
        <v>0.0</v>
      </c>
    </row>
    <row r="532" ht="15.75" customHeight="1">
      <c r="A532" s="98">
        <v>43741.0</v>
      </c>
      <c r="B532" s="98">
        <v>43772.0</v>
      </c>
      <c r="C532" s="97">
        <v>0.0</v>
      </c>
    </row>
    <row r="533" ht="15.75" customHeight="1">
      <c r="A533" s="98">
        <v>43742.0</v>
      </c>
      <c r="B533" s="98">
        <v>43773.0</v>
      </c>
      <c r="C533" s="97">
        <v>0.0</v>
      </c>
    </row>
    <row r="534" ht="15.75" customHeight="1">
      <c r="A534" s="98">
        <v>43743.0</v>
      </c>
      <c r="B534" s="98">
        <v>43774.0</v>
      </c>
      <c r="C534" s="97">
        <v>0.0</v>
      </c>
    </row>
    <row r="535" ht="15.75" customHeight="1">
      <c r="A535" s="98">
        <v>43744.0</v>
      </c>
      <c r="B535" s="98">
        <v>43775.0</v>
      </c>
      <c r="C535" s="97">
        <v>0.0</v>
      </c>
    </row>
    <row r="536" ht="15.75" customHeight="1">
      <c r="A536" s="98">
        <v>43745.0</v>
      </c>
      <c r="B536" s="98">
        <v>43776.0</v>
      </c>
      <c r="C536" s="97">
        <v>0.0</v>
      </c>
    </row>
    <row r="537" ht="15.75" customHeight="1">
      <c r="A537" s="98">
        <v>43746.0</v>
      </c>
      <c r="B537" s="98">
        <v>43777.0</v>
      </c>
      <c r="C537" s="97">
        <v>0.0</v>
      </c>
    </row>
    <row r="538" ht="15.75" customHeight="1">
      <c r="A538" s="98">
        <v>43747.0</v>
      </c>
      <c r="B538" s="98">
        <v>43778.0</v>
      </c>
      <c r="C538" s="97">
        <v>0.0</v>
      </c>
    </row>
    <row r="539" ht="15.75" customHeight="1">
      <c r="A539" s="98">
        <v>43748.0</v>
      </c>
      <c r="B539" s="98">
        <v>43779.0</v>
      </c>
      <c r="C539" s="97">
        <v>0.0</v>
      </c>
    </row>
    <row r="540" ht="15.75" customHeight="1">
      <c r="A540" s="98">
        <v>43749.0</v>
      </c>
      <c r="B540" s="98">
        <v>43780.0</v>
      </c>
      <c r="C540" s="97">
        <v>0.0</v>
      </c>
    </row>
    <row r="541" ht="15.75" customHeight="1">
      <c r="A541" s="98">
        <v>43750.0</v>
      </c>
      <c r="B541" s="98">
        <v>43781.0</v>
      </c>
      <c r="C541" s="97">
        <v>0.0</v>
      </c>
    </row>
    <row r="542" ht="15.75" customHeight="1">
      <c r="A542" s="98">
        <v>43751.0</v>
      </c>
      <c r="B542" s="98">
        <v>43782.0</v>
      </c>
      <c r="C542" s="97">
        <v>0.0</v>
      </c>
    </row>
    <row r="543" ht="15.75" customHeight="1">
      <c r="A543" s="98">
        <v>43752.0</v>
      </c>
      <c r="B543" s="98">
        <v>43783.0</v>
      </c>
      <c r="C543" s="97">
        <v>0.0</v>
      </c>
    </row>
    <row r="544" ht="15.75" customHeight="1">
      <c r="A544" s="98">
        <v>43753.0</v>
      </c>
      <c r="B544" s="98">
        <v>43784.0</v>
      </c>
      <c r="C544" s="97">
        <v>0.0</v>
      </c>
    </row>
    <row r="545" ht="15.75" customHeight="1">
      <c r="A545" s="98">
        <v>43754.0</v>
      </c>
      <c r="B545" s="98">
        <v>43785.0</v>
      </c>
      <c r="C545" s="97">
        <v>0.0</v>
      </c>
    </row>
    <row r="546" ht="15.75" customHeight="1">
      <c r="A546" s="98">
        <v>43755.0</v>
      </c>
      <c r="B546" s="98">
        <v>43786.0</v>
      </c>
      <c r="C546" s="97">
        <v>0.0</v>
      </c>
    </row>
    <row r="547" ht="15.75" customHeight="1">
      <c r="A547" s="98">
        <v>43756.0</v>
      </c>
      <c r="B547" s="98">
        <v>43787.0</v>
      </c>
      <c r="C547" s="97">
        <v>0.0</v>
      </c>
    </row>
    <row r="548" ht="15.75" customHeight="1">
      <c r="A548" s="98">
        <v>43757.0</v>
      </c>
      <c r="B548" s="98">
        <v>43788.0</v>
      </c>
      <c r="C548" s="97">
        <v>0.0</v>
      </c>
    </row>
    <row r="549" ht="15.75" customHeight="1">
      <c r="A549" s="98">
        <v>43758.0</v>
      </c>
      <c r="B549" s="98">
        <v>43789.0</v>
      </c>
      <c r="C549" s="97">
        <v>0.0</v>
      </c>
    </row>
    <row r="550" ht="15.75" customHeight="1">
      <c r="A550" s="98">
        <v>43759.0</v>
      </c>
      <c r="B550" s="98">
        <v>43790.0</v>
      </c>
      <c r="C550" s="97">
        <v>0.0</v>
      </c>
    </row>
    <row r="551" ht="15.75" customHeight="1">
      <c r="A551" s="98">
        <v>43760.0</v>
      </c>
      <c r="B551" s="98">
        <v>43791.0</v>
      </c>
      <c r="C551" s="97">
        <v>0.0</v>
      </c>
    </row>
    <row r="552" ht="15.75" customHeight="1">
      <c r="A552" s="98">
        <v>43761.0</v>
      </c>
      <c r="B552" s="98">
        <v>43792.0</v>
      </c>
      <c r="C552" s="97">
        <v>0.0</v>
      </c>
    </row>
    <row r="553" ht="15.75" customHeight="1">
      <c r="A553" s="98">
        <v>43762.0</v>
      </c>
      <c r="B553" s="98">
        <v>43793.0</v>
      </c>
      <c r="C553" s="97">
        <v>0.0</v>
      </c>
    </row>
    <row r="554" ht="15.75" customHeight="1">
      <c r="A554" s="98">
        <v>43763.0</v>
      </c>
      <c r="B554" s="98">
        <v>43794.0</v>
      </c>
      <c r="C554" s="97">
        <v>0.0</v>
      </c>
    </row>
    <row r="555" ht="15.75" customHeight="1">
      <c r="A555" s="98">
        <v>43764.0</v>
      </c>
      <c r="B555" s="98">
        <v>43795.0</v>
      </c>
      <c r="C555" s="97">
        <v>0.0</v>
      </c>
    </row>
    <row r="556" ht="15.75" customHeight="1">
      <c r="A556" s="98">
        <v>43765.0</v>
      </c>
      <c r="B556" s="98">
        <v>43796.0</v>
      </c>
      <c r="C556" s="97">
        <v>0.0</v>
      </c>
    </row>
    <row r="557" ht="15.75" customHeight="1">
      <c r="A557" s="98">
        <v>43766.0</v>
      </c>
      <c r="B557" s="98">
        <v>43797.0</v>
      </c>
      <c r="C557" s="97">
        <v>0.0</v>
      </c>
    </row>
    <row r="558" ht="15.75" customHeight="1">
      <c r="A558" s="98">
        <v>43767.0</v>
      </c>
      <c r="B558" s="98">
        <v>43798.0</v>
      </c>
      <c r="C558" s="97">
        <v>0.0</v>
      </c>
    </row>
    <row r="559" ht="15.75" customHeight="1">
      <c r="A559" s="98">
        <v>43768.0</v>
      </c>
      <c r="B559" s="98">
        <v>43799.0</v>
      </c>
      <c r="C559" s="97">
        <v>0.0</v>
      </c>
    </row>
    <row r="560" ht="15.75" customHeight="1">
      <c r="A560" s="98">
        <v>43769.0</v>
      </c>
      <c r="B560" s="98">
        <v>43800.0</v>
      </c>
      <c r="C560" s="97">
        <v>0.0</v>
      </c>
    </row>
    <row r="561" ht="15.75" customHeight="1">
      <c r="A561" s="98">
        <v>43770.0</v>
      </c>
      <c r="B561" s="98">
        <v>43800.0</v>
      </c>
      <c r="C561" s="97">
        <v>0.0</v>
      </c>
    </row>
    <row r="562" ht="15.75" customHeight="1">
      <c r="A562" s="98">
        <v>43771.0</v>
      </c>
      <c r="B562" s="98">
        <v>43801.0</v>
      </c>
      <c r="C562" s="97">
        <v>0.0</v>
      </c>
    </row>
    <row r="563" ht="15.75" customHeight="1">
      <c r="A563" s="98">
        <v>43772.0</v>
      </c>
      <c r="B563" s="98">
        <v>43802.0</v>
      </c>
      <c r="C563" s="97">
        <v>0.0</v>
      </c>
    </row>
    <row r="564" ht="15.75" customHeight="1">
      <c r="A564" s="98">
        <v>43773.0</v>
      </c>
      <c r="B564" s="98">
        <v>43803.0</v>
      </c>
      <c r="C564" s="97">
        <v>0.0</v>
      </c>
    </row>
    <row r="565" ht="15.75" customHeight="1">
      <c r="A565" s="98">
        <v>43774.0</v>
      </c>
      <c r="B565" s="98">
        <v>43804.0</v>
      </c>
      <c r="C565" s="97">
        <v>0.0</v>
      </c>
    </row>
    <row r="566" ht="15.75" customHeight="1">
      <c r="A566" s="98">
        <v>43775.0</v>
      </c>
      <c r="B566" s="98">
        <v>43805.0</v>
      </c>
      <c r="C566" s="97">
        <v>0.0</v>
      </c>
    </row>
    <row r="567" ht="15.75" customHeight="1">
      <c r="A567" s="98">
        <v>43776.0</v>
      </c>
      <c r="B567" s="98">
        <v>43806.0</v>
      </c>
      <c r="C567" s="97">
        <v>0.0</v>
      </c>
    </row>
    <row r="568" ht="15.75" customHeight="1">
      <c r="A568" s="98">
        <v>43777.0</v>
      </c>
      <c r="B568" s="98">
        <v>43807.0</v>
      </c>
      <c r="C568" s="97">
        <v>0.0</v>
      </c>
    </row>
    <row r="569" ht="15.75" customHeight="1">
      <c r="A569" s="98">
        <v>43778.0</v>
      </c>
      <c r="B569" s="98">
        <v>43808.0</v>
      </c>
      <c r="C569" s="97">
        <v>0.0</v>
      </c>
    </row>
    <row r="570" ht="15.75" customHeight="1">
      <c r="A570" s="98">
        <v>43779.0</v>
      </c>
      <c r="B570" s="98">
        <v>43809.0</v>
      </c>
      <c r="C570" s="97">
        <v>0.0</v>
      </c>
    </row>
    <row r="571" ht="15.75" customHeight="1">
      <c r="A571" s="98">
        <v>43780.0</v>
      </c>
      <c r="B571" s="98">
        <v>43810.0</v>
      </c>
      <c r="C571" s="97">
        <v>0.0</v>
      </c>
    </row>
    <row r="572" ht="15.75" customHeight="1">
      <c r="A572" s="98">
        <v>43781.0</v>
      </c>
      <c r="B572" s="98">
        <v>43811.0</v>
      </c>
      <c r="C572" s="97">
        <v>0.0</v>
      </c>
    </row>
    <row r="573" ht="15.75" customHeight="1">
      <c r="A573" s="98">
        <v>43782.0</v>
      </c>
      <c r="B573" s="98">
        <v>43812.0</v>
      </c>
      <c r="C573" s="97">
        <v>0.0</v>
      </c>
    </row>
    <row r="574" ht="15.75" customHeight="1">
      <c r="A574" s="98">
        <v>43783.0</v>
      </c>
      <c r="B574" s="98">
        <v>43813.0</v>
      </c>
      <c r="C574" s="97">
        <v>0.0</v>
      </c>
    </row>
    <row r="575" ht="15.75" customHeight="1">
      <c r="A575" s="98">
        <v>43784.0</v>
      </c>
      <c r="B575" s="98">
        <v>43814.0</v>
      </c>
      <c r="C575" s="97">
        <v>0.0</v>
      </c>
    </row>
    <row r="576" ht="15.75" customHeight="1">
      <c r="A576" s="98">
        <v>43785.0</v>
      </c>
      <c r="B576" s="98">
        <v>43815.0</v>
      </c>
      <c r="C576" s="97">
        <v>0.0</v>
      </c>
    </row>
    <row r="577" ht="15.75" customHeight="1">
      <c r="A577" s="98">
        <v>43786.0</v>
      </c>
      <c r="B577" s="98">
        <v>43816.0</v>
      </c>
      <c r="C577" s="97">
        <v>0.0</v>
      </c>
    </row>
    <row r="578" ht="15.75" customHeight="1">
      <c r="A578" s="98">
        <v>43787.0</v>
      </c>
      <c r="B578" s="98">
        <v>43817.0</v>
      </c>
      <c r="C578" s="97">
        <v>0.0</v>
      </c>
    </row>
    <row r="579" ht="15.75" customHeight="1">
      <c r="A579" s="98">
        <v>43788.0</v>
      </c>
      <c r="B579" s="98">
        <v>43818.0</v>
      </c>
      <c r="C579" s="97">
        <v>0.0</v>
      </c>
    </row>
    <row r="580" ht="15.75" customHeight="1">
      <c r="A580" s="98">
        <v>43789.0</v>
      </c>
      <c r="B580" s="98">
        <v>43819.0</v>
      </c>
      <c r="C580" s="97">
        <v>0.0</v>
      </c>
    </row>
    <row r="581" ht="15.75" customHeight="1">
      <c r="A581" s="98">
        <v>43790.0</v>
      </c>
      <c r="B581" s="98">
        <v>43820.0</v>
      </c>
      <c r="C581" s="97">
        <v>0.0</v>
      </c>
    </row>
    <row r="582" ht="15.75" customHeight="1">
      <c r="A582" s="98">
        <v>43791.0</v>
      </c>
      <c r="B582" s="98">
        <v>43821.0</v>
      </c>
      <c r="C582" s="97">
        <v>0.0</v>
      </c>
    </row>
    <row r="583" ht="15.75" customHeight="1">
      <c r="A583" s="98">
        <v>43792.0</v>
      </c>
      <c r="B583" s="98">
        <v>43822.0</v>
      </c>
      <c r="C583" s="97">
        <v>0.0</v>
      </c>
    </row>
    <row r="584" ht="15.75" customHeight="1">
      <c r="A584" s="98">
        <v>43793.0</v>
      </c>
      <c r="B584" s="98">
        <v>43823.0</v>
      </c>
      <c r="C584" s="97">
        <v>0.0</v>
      </c>
    </row>
    <row r="585" ht="15.75" customHeight="1">
      <c r="A585" s="98">
        <v>43794.0</v>
      </c>
      <c r="B585" s="98">
        <v>43824.0</v>
      </c>
      <c r="C585" s="97">
        <v>0.0</v>
      </c>
    </row>
    <row r="586" ht="15.75" customHeight="1">
      <c r="A586" s="98">
        <v>43795.0</v>
      </c>
      <c r="B586" s="98">
        <v>43825.0</v>
      </c>
      <c r="C586" s="97">
        <v>0.0</v>
      </c>
    </row>
    <row r="587" ht="15.75" customHeight="1">
      <c r="A587" s="98">
        <v>43796.0</v>
      </c>
      <c r="B587" s="98">
        <v>43826.0</v>
      </c>
      <c r="C587" s="97">
        <v>0.0</v>
      </c>
    </row>
    <row r="588" ht="15.75" customHeight="1">
      <c r="A588" s="98">
        <v>43797.0</v>
      </c>
      <c r="B588" s="98">
        <v>43827.0</v>
      </c>
      <c r="C588" s="97">
        <v>0.0</v>
      </c>
    </row>
    <row r="589" ht="15.75" customHeight="1">
      <c r="A589" s="98">
        <v>43798.0</v>
      </c>
      <c r="B589" s="98">
        <v>43828.0</v>
      </c>
      <c r="C589" s="97">
        <v>0.0</v>
      </c>
    </row>
    <row r="590" ht="15.75" customHeight="1">
      <c r="A590" s="98">
        <v>43799.0</v>
      </c>
      <c r="B590" s="98">
        <v>43829.0</v>
      </c>
      <c r="C590" s="97">
        <v>0.0</v>
      </c>
    </row>
    <row r="591" ht="15.75" customHeight="1">
      <c r="A591" s="98">
        <v>43800.0</v>
      </c>
      <c r="B591" s="98">
        <v>43830.0</v>
      </c>
      <c r="C591" s="97">
        <v>0.0</v>
      </c>
    </row>
    <row r="592" ht="15.75" customHeight="1">
      <c r="A592" s="98">
        <v>43800.0</v>
      </c>
      <c r="B592" s="98">
        <v>43831.0</v>
      </c>
      <c r="C592" s="97">
        <v>0.0</v>
      </c>
    </row>
    <row r="593" ht="15.75" customHeight="1">
      <c r="A593" s="98">
        <v>43801.0</v>
      </c>
      <c r="B593" s="98">
        <v>43832.0</v>
      </c>
      <c r="C593" s="97">
        <v>0.0</v>
      </c>
    </row>
    <row r="594" ht="15.75" customHeight="1">
      <c r="A594" s="98">
        <v>43802.0</v>
      </c>
      <c r="B594" s="98">
        <v>43833.0</v>
      </c>
      <c r="C594" s="97">
        <v>0.0</v>
      </c>
    </row>
    <row r="595" ht="15.75" customHeight="1">
      <c r="A595" s="98">
        <v>43803.0</v>
      </c>
      <c r="B595" s="98">
        <v>43834.0</v>
      </c>
      <c r="C595" s="97">
        <v>0.0</v>
      </c>
    </row>
    <row r="596" ht="15.75" customHeight="1">
      <c r="A596" s="98">
        <v>43804.0</v>
      </c>
      <c r="B596" s="98">
        <v>43835.0</v>
      </c>
      <c r="C596" s="97">
        <v>0.0</v>
      </c>
    </row>
    <row r="597" ht="15.75" customHeight="1">
      <c r="A597" s="98">
        <v>43805.0</v>
      </c>
      <c r="B597" s="98">
        <v>43836.0</v>
      </c>
      <c r="C597" s="97">
        <v>0.0</v>
      </c>
    </row>
    <row r="598" ht="15.75" customHeight="1">
      <c r="A598" s="98">
        <v>43806.0</v>
      </c>
      <c r="B598" s="98">
        <v>43837.0</v>
      </c>
      <c r="C598" s="97">
        <v>0.0</v>
      </c>
    </row>
    <row r="599" ht="15.75" customHeight="1">
      <c r="A599" s="98">
        <v>43807.0</v>
      </c>
      <c r="B599" s="98">
        <v>43838.0</v>
      </c>
      <c r="C599" s="97">
        <v>0.0</v>
      </c>
    </row>
    <row r="600" ht="15.75" customHeight="1">
      <c r="A600" s="98">
        <v>43808.0</v>
      </c>
      <c r="B600" s="98">
        <v>43839.0</v>
      </c>
      <c r="C600" s="97">
        <v>0.0</v>
      </c>
    </row>
    <row r="601" ht="15.75" customHeight="1">
      <c r="A601" s="98">
        <v>43809.0</v>
      </c>
      <c r="B601" s="98">
        <v>43840.0</v>
      </c>
      <c r="C601" s="97">
        <v>0.0</v>
      </c>
    </row>
    <row r="602" ht="15.75" customHeight="1">
      <c r="A602" s="98">
        <v>43810.0</v>
      </c>
      <c r="B602" s="98">
        <v>43841.0</v>
      </c>
      <c r="C602" s="97">
        <v>0.0</v>
      </c>
    </row>
    <row r="603" ht="15.75" customHeight="1">
      <c r="A603" s="98">
        <v>43811.0</v>
      </c>
      <c r="B603" s="98">
        <v>43842.0</v>
      </c>
      <c r="C603" s="97">
        <v>0.0</v>
      </c>
    </row>
    <row r="604" ht="15.75" customHeight="1">
      <c r="A604" s="98">
        <v>43812.0</v>
      </c>
      <c r="B604" s="98">
        <v>43843.0</v>
      </c>
      <c r="C604" s="97">
        <v>0.0</v>
      </c>
    </row>
    <row r="605" ht="15.75" customHeight="1">
      <c r="A605" s="98">
        <v>43813.0</v>
      </c>
      <c r="B605" s="98">
        <v>43844.0</v>
      </c>
      <c r="C605" s="97">
        <v>0.0</v>
      </c>
    </row>
    <row r="606" ht="15.75" customHeight="1">
      <c r="A606" s="98">
        <v>43814.0</v>
      </c>
      <c r="B606" s="98">
        <v>43845.0</v>
      </c>
      <c r="C606" s="97">
        <v>0.0</v>
      </c>
    </row>
    <row r="607" ht="15.75" customHeight="1">
      <c r="A607" s="98">
        <v>43815.0</v>
      </c>
      <c r="B607" s="98">
        <v>43846.0</v>
      </c>
      <c r="C607" s="97">
        <v>0.0</v>
      </c>
    </row>
    <row r="608" ht="15.75" customHeight="1">
      <c r="A608" s="98">
        <v>43816.0</v>
      </c>
      <c r="B608" s="98">
        <v>43847.0</v>
      </c>
      <c r="C608" s="97">
        <v>0.0</v>
      </c>
    </row>
    <row r="609" ht="15.75" customHeight="1">
      <c r="A609" s="98">
        <v>43817.0</v>
      </c>
      <c r="B609" s="98">
        <v>43848.0</v>
      </c>
      <c r="C609" s="97">
        <v>0.0</v>
      </c>
    </row>
    <row r="610" ht="15.75" customHeight="1">
      <c r="A610" s="98">
        <v>43818.0</v>
      </c>
      <c r="B610" s="98">
        <v>43849.0</v>
      </c>
      <c r="C610" s="97">
        <v>0.0</v>
      </c>
    </row>
    <row r="611" ht="15.75" customHeight="1">
      <c r="A611" s="98">
        <v>43819.0</v>
      </c>
      <c r="B611" s="98">
        <v>43850.0</v>
      </c>
      <c r="C611" s="97">
        <v>0.0</v>
      </c>
    </row>
    <row r="612" ht="15.75" customHeight="1">
      <c r="A612" s="98">
        <v>43820.0</v>
      </c>
      <c r="B612" s="98">
        <v>43851.0</v>
      </c>
      <c r="C612" s="97">
        <v>0.0</v>
      </c>
    </row>
    <row r="613" ht="15.75" customHeight="1">
      <c r="A613" s="98">
        <v>43821.0</v>
      </c>
      <c r="B613" s="98">
        <v>43852.0</v>
      </c>
      <c r="C613" s="97">
        <v>0.0</v>
      </c>
    </row>
    <row r="614" ht="15.75" customHeight="1">
      <c r="A614" s="98">
        <v>43822.0</v>
      </c>
      <c r="B614" s="98">
        <v>43853.0</v>
      </c>
      <c r="C614" s="97">
        <v>0.0</v>
      </c>
    </row>
    <row r="615" ht="15.75" customHeight="1">
      <c r="A615" s="98">
        <v>43823.0</v>
      </c>
      <c r="B615" s="98">
        <v>43854.0</v>
      </c>
      <c r="C615" s="97">
        <v>0.0</v>
      </c>
    </row>
    <row r="616" ht="15.75" customHeight="1">
      <c r="A616" s="98">
        <v>43824.0</v>
      </c>
      <c r="B616" s="98">
        <v>43855.0</v>
      </c>
      <c r="C616" s="97">
        <v>0.0</v>
      </c>
    </row>
    <row r="617" ht="15.75" customHeight="1">
      <c r="A617" s="98">
        <v>43825.0</v>
      </c>
      <c r="B617" s="98">
        <v>43856.0</v>
      </c>
      <c r="C617" s="97">
        <v>0.0</v>
      </c>
    </row>
    <row r="618" ht="15.75" customHeight="1">
      <c r="A618" s="98">
        <v>43826.0</v>
      </c>
      <c r="B618" s="98">
        <v>43857.0</v>
      </c>
      <c r="C618" s="97">
        <v>0.0</v>
      </c>
    </row>
    <row r="619" ht="15.75" customHeight="1">
      <c r="A619" s="98">
        <v>43827.0</v>
      </c>
      <c r="B619" s="98">
        <v>43858.0</v>
      </c>
      <c r="C619" s="97">
        <v>0.0</v>
      </c>
    </row>
    <row r="620" ht="15.75" customHeight="1">
      <c r="A620" s="98">
        <v>43828.0</v>
      </c>
      <c r="B620" s="98">
        <v>43859.0</v>
      </c>
      <c r="C620" s="97">
        <v>0.0</v>
      </c>
    </row>
    <row r="621" ht="15.75" customHeight="1">
      <c r="A621" s="98">
        <v>43829.0</v>
      </c>
      <c r="B621" s="98">
        <v>43860.0</v>
      </c>
      <c r="C621" s="97">
        <v>0.0</v>
      </c>
    </row>
    <row r="622" ht="15.75" customHeight="1">
      <c r="A622" s="98">
        <v>43830.0</v>
      </c>
      <c r="B622" s="98">
        <v>43861.0</v>
      </c>
      <c r="C622" s="97">
        <v>0.0</v>
      </c>
    </row>
    <row r="623" ht="15.75" customHeight="1">
      <c r="A623" s="98">
        <v>43831.0</v>
      </c>
      <c r="B623" s="98">
        <v>43862.0</v>
      </c>
      <c r="C623" s="97">
        <v>0.0</v>
      </c>
    </row>
    <row r="624" ht="15.75" customHeight="1">
      <c r="A624" s="98">
        <v>43832.0</v>
      </c>
      <c r="B624" s="98">
        <v>43863.0</v>
      </c>
      <c r="C624" s="97">
        <v>0.0</v>
      </c>
    </row>
    <row r="625" ht="15.75" customHeight="1">
      <c r="A625" s="98">
        <v>43833.0</v>
      </c>
      <c r="B625" s="98">
        <v>43864.0</v>
      </c>
      <c r="C625" s="97">
        <v>0.0</v>
      </c>
    </row>
    <row r="626" ht="15.75" customHeight="1">
      <c r="A626" s="98">
        <v>43834.0</v>
      </c>
      <c r="B626" s="98">
        <v>43865.0</v>
      </c>
      <c r="C626" s="97">
        <v>0.0</v>
      </c>
    </row>
    <row r="627" ht="15.75" customHeight="1">
      <c r="A627" s="98">
        <v>43835.0</v>
      </c>
      <c r="B627" s="98">
        <v>43866.0</v>
      </c>
      <c r="C627" s="97">
        <v>0.0</v>
      </c>
    </row>
    <row r="628" ht="15.75" customHeight="1">
      <c r="A628" s="98">
        <v>43836.0</v>
      </c>
      <c r="B628" s="98">
        <v>43867.0</v>
      </c>
      <c r="C628" s="97">
        <v>0.0</v>
      </c>
    </row>
    <row r="629" ht="15.75" customHeight="1">
      <c r="A629" s="98">
        <v>43837.0</v>
      </c>
      <c r="B629" s="98">
        <v>43868.0</v>
      </c>
      <c r="C629" s="97">
        <v>0.0</v>
      </c>
    </row>
    <row r="630" ht="15.75" customHeight="1">
      <c r="A630" s="98">
        <v>43838.0</v>
      </c>
      <c r="B630" s="98">
        <v>43869.0</v>
      </c>
      <c r="C630" s="97">
        <v>0.0</v>
      </c>
    </row>
    <row r="631" ht="15.75" customHeight="1">
      <c r="A631" s="98">
        <v>43839.0</v>
      </c>
      <c r="B631" s="98">
        <v>43870.0</v>
      </c>
      <c r="C631" s="97">
        <v>0.0</v>
      </c>
    </row>
    <row r="632" ht="15.75" customHeight="1">
      <c r="A632" s="98">
        <v>43840.0</v>
      </c>
      <c r="B632" s="98">
        <v>43871.0</v>
      </c>
      <c r="C632" s="97">
        <v>0.0</v>
      </c>
    </row>
    <row r="633" ht="15.75" customHeight="1">
      <c r="A633" s="98">
        <v>43841.0</v>
      </c>
      <c r="B633" s="98">
        <v>43872.0</v>
      </c>
      <c r="C633" s="97">
        <v>0.0</v>
      </c>
    </row>
    <row r="634" ht="15.75" customHeight="1">
      <c r="A634" s="98">
        <v>43842.0</v>
      </c>
      <c r="B634" s="98">
        <v>43873.0</v>
      </c>
      <c r="C634" s="97">
        <v>0.0</v>
      </c>
    </row>
    <row r="635" ht="15.75" customHeight="1">
      <c r="A635" s="98">
        <v>43843.0</v>
      </c>
      <c r="B635" s="98">
        <v>43874.0</v>
      </c>
      <c r="C635" s="97">
        <v>0.0</v>
      </c>
    </row>
    <row r="636" ht="15.75" customHeight="1">
      <c r="A636" s="98">
        <v>43844.0</v>
      </c>
      <c r="B636" s="98">
        <v>43875.0</v>
      </c>
      <c r="C636" s="97">
        <v>0.0</v>
      </c>
    </row>
    <row r="637" ht="15.75" customHeight="1">
      <c r="A637" s="98">
        <v>43845.0</v>
      </c>
      <c r="B637" s="98">
        <v>43876.0</v>
      </c>
      <c r="C637" s="97">
        <v>0.0</v>
      </c>
    </row>
    <row r="638" ht="15.75" customHeight="1">
      <c r="A638" s="98">
        <v>43846.0</v>
      </c>
      <c r="B638" s="98">
        <v>43877.0</v>
      </c>
      <c r="C638" s="97">
        <v>0.0</v>
      </c>
    </row>
    <row r="639" ht="15.75" customHeight="1">
      <c r="A639" s="98">
        <v>43847.0</v>
      </c>
      <c r="B639" s="98">
        <v>43878.0</v>
      </c>
      <c r="C639" s="97">
        <v>0.0</v>
      </c>
    </row>
    <row r="640" ht="15.75" customHeight="1">
      <c r="A640" s="98">
        <v>43848.0</v>
      </c>
      <c r="B640" s="98">
        <v>43879.0</v>
      </c>
      <c r="C640" s="97">
        <v>0.0</v>
      </c>
    </row>
    <row r="641" ht="15.75" customHeight="1">
      <c r="A641" s="98">
        <v>43849.0</v>
      </c>
      <c r="B641" s="98">
        <v>43880.0</v>
      </c>
      <c r="C641" s="97">
        <v>0.0</v>
      </c>
    </row>
    <row r="642" ht="15.75" customHeight="1">
      <c r="A642" s="98">
        <v>43850.0</v>
      </c>
      <c r="B642" s="98">
        <v>43881.0</v>
      </c>
      <c r="C642" s="97">
        <v>0.0</v>
      </c>
    </row>
    <row r="643" ht="15.75" customHeight="1">
      <c r="A643" s="98">
        <v>43851.0</v>
      </c>
      <c r="B643" s="98">
        <v>43882.0</v>
      </c>
      <c r="C643" s="97">
        <v>0.0</v>
      </c>
    </row>
    <row r="644" ht="15.75" customHeight="1">
      <c r="A644" s="98">
        <v>43852.0</v>
      </c>
      <c r="B644" s="98">
        <v>43883.0</v>
      </c>
      <c r="C644" s="97">
        <v>0.0</v>
      </c>
    </row>
    <row r="645" ht="15.75" customHeight="1">
      <c r="A645" s="98">
        <v>43853.0</v>
      </c>
      <c r="B645" s="98">
        <v>43884.0</v>
      </c>
      <c r="C645" s="97">
        <v>0.0</v>
      </c>
    </row>
    <row r="646" ht="15.75" customHeight="1">
      <c r="A646" s="98">
        <v>43854.0</v>
      </c>
      <c r="B646" s="98">
        <v>43885.0</v>
      </c>
      <c r="C646" s="97">
        <v>0.0</v>
      </c>
    </row>
    <row r="647" ht="15.75" customHeight="1">
      <c r="A647" s="98">
        <v>43855.0</v>
      </c>
      <c r="B647" s="98">
        <v>43886.0</v>
      </c>
      <c r="C647" s="97">
        <v>0.0</v>
      </c>
    </row>
    <row r="648" ht="15.75" customHeight="1">
      <c r="A648" s="98">
        <v>43856.0</v>
      </c>
      <c r="B648" s="98">
        <v>43887.0</v>
      </c>
      <c r="C648" s="97">
        <v>0.0</v>
      </c>
    </row>
    <row r="649" ht="15.75" customHeight="1">
      <c r="A649" s="98">
        <v>43857.0</v>
      </c>
      <c r="B649" s="98">
        <v>43888.0</v>
      </c>
      <c r="C649" s="97">
        <v>0.0</v>
      </c>
    </row>
    <row r="650" ht="15.75" customHeight="1">
      <c r="A650" s="98">
        <v>43858.0</v>
      </c>
      <c r="B650" s="98">
        <v>43889.0</v>
      </c>
      <c r="C650" s="97">
        <v>0.0</v>
      </c>
    </row>
    <row r="651" ht="15.75" customHeight="1">
      <c r="A651" s="98">
        <v>43859.0</v>
      </c>
      <c r="B651" s="98">
        <v>43890.0</v>
      </c>
      <c r="C651" s="97">
        <v>0.0</v>
      </c>
    </row>
    <row r="652" ht="15.75" customHeight="1">
      <c r="A652" s="98">
        <v>43860.0</v>
      </c>
      <c r="B652" s="98">
        <v>43891.0</v>
      </c>
      <c r="C652" s="97">
        <v>0.0</v>
      </c>
    </row>
    <row r="653" ht="15.75" customHeight="1">
      <c r="A653" s="98">
        <v>43861.0</v>
      </c>
      <c r="B653" s="98">
        <v>43891.0</v>
      </c>
      <c r="C653" s="97">
        <v>0.0</v>
      </c>
    </row>
    <row r="654" ht="15.75" customHeight="1">
      <c r="A654" s="98">
        <v>43862.0</v>
      </c>
      <c r="B654" s="98">
        <v>43891.0</v>
      </c>
      <c r="C654" s="97">
        <v>0.0</v>
      </c>
    </row>
    <row r="655" ht="15.75" customHeight="1">
      <c r="A655" s="98">
        <v>43863.0</v>
      </c>
      <c r="B655" s="98">
        <v>43892.0</v>
      </c>
      <c r="C655" s="97">
        <v>0.0</v>
      </c>
    </row>
    <row r="656" ht="15.75" customHeight="1">
      <c r="A656" s="98">
        <v>43864.0</v>
      </c>
      <c r="B656" s="98">
        <v>43893.0</v>
      </c>
      <c r="C656" s="97">
        <v>0.0</v>
      </c>
    </row>
    <row r="657" ht="15.75" customHeight="1">
      <c r="A657" s="98">
        <v>43865.0</v>
      </c>
      <c r="B657" s="98">
        <v>43894.0</v>
      </c>
      <c r="C657" s="97">
        <v>0.0</v>
      </c>
    </row>
    <row r="658" ht="15.75" customHeight="1">
      <c r="A658" s="98">
        <v>43866.0</v>
      </c>
      <c r="B658" s="98">
        <v>43895.0</v>
      </c>
      <c r="C658" s="97">
        <v>0.0</v>
      </c>
    </row>
    <row r="659" ht="15.75" customHeight="1">
      <c r="A659" s="98">
        <v>43867.0</v>
      </c>
      <c r="B659" s="98">
        <v>43896.0</v>
      </c>
      <c r="C659" s="97">
        <v>0.0</v>
      </c>
    </row>
    <row r="660" ht="15.75" customHeight="1">
      <c r="A660" s="98">
        <v>43868.0</v>
      </c>
      <c r="B660" s="98">
        <v>43897.0</v>
      </c>
      <c r="C660" s="97">
        <v>0.0</v>
      </c>
    </row>
    <row r="661" ht="15.75" customHeight="1">
      <c r="A661" s="98">
        <v>43869.0</v>
      </c>
      <c r="B661" s="98">
        <v>43898.0</v>
      </c>
      <c r="C661" s="97">
        <v>0.0</v>
      </c>
    </row>
    <row r="662" ht="15.75" customHeight="1">
      <c r="A662" s="98">
        <v>43870.0</v>
      </c>
      <c r="B662" s="98">
        <v>43899.0</v>
      </c>
      <c r="C662" s="97">
        <v>0.0</v>
      </c>
    </row>
    <row r="663" ht="15.75" customHeight="1">
      <c r="A663" s="98">
        <v>43871.0</v>
      </c>
      <c r="B663" s="98">
        <v>43900.0</v>
      </c>
      <c r="C663" s="97">
        <v>0.0</v>
      </c>
    </row>
    <row r="664" ht="15.75" customHeight="1">
      <c r="A664" s="98">
        <v>43872.0</v>
      </c>
      <c r="B664" s="98">
        <v>43901.0</v>
      </c>
      <c r="C664" s="97">
        <v>0.0</v>
      </c>
    </row>
    <row r="665" ht="15.75" customHeight="1">
      <c r="A665" s="98">
        <v>43873.0</v>
      </c>
      <c r="B665" s="98">
        <v>43902.0</v>
      </c>
      <c r="C665" s="97">
        <v>0.0</v>
      </c>
    </row>
    <row r="666" ht="15.75" customHeight="1">
      <c r="A666" s="98">
        <v>43874.0</v>
      </c>
      <c r="B666" s="98">
        <v>43903.0</v>
      </c>
      <c r="C666" s="97">
        <v>0.0</v>
      </c>
    </row>
    <row r="667" ht="15.75" customHeight="1">
      <c r="A667" s="98">
        <v>43875.0</v>
      </c>
      <c r="B667" s="98">
        <v>43904.0</v>
      </c>
      <c r="C667" s="97">
        <v>0.0</v>
      </c>
    </row>
    <row r="668" ht="15.75" customHeight="1">
      <c r="A668" s="98">
        <v>43876.0</v>
      </c>
      <c r="B668" s="98">
        <v>43905.0</v>
      </c>
      <c r="C668" s="97">
        <v>0.0</v>
      </c>
    </row>
    <row r="669" ht="15.75" customHeight="1">
      <c r="A669" s="98">
        <v>43877.0</v>
      </c>
      <c r="B669" s="98">
        <v>43906.0</v>
      </c>
      <c r="C669" s="97">
        <v>0.0</v>
      </c>
    </row>
    <row r="670" ht="15.75" customHeight="1">
      <c r="A670" s="98">
        <v>43878.0</v>
      </c>
      <c r="B670" s="98">
        <v>43907.0</v>
      </c>
      <c r="C670" s="97">
        <v>0.0</v>
      </c>
    </row>
    <row r="671" ht="15.75" customHeight="1">
      <c r="A671" s="98">
        <v>43879.0</v>
      </c>
      <c r="B671" s="98">
        <v>43908.0</v>
      </c>
      <c r="C671" s="97">
        <v>0.0</v>
      </c>
    </row>
    <row r="672" ht="15.75" customHeight="1">
      <c r="A672" s="98">
        <v>43880.0</v>
      </c>
      <c r="B672" s="98">
        <v>43909.0</v>
      </c>
      <c r="C672" s="97">
        <v>0.0</v>
      </c>
    </row>
    <row r="673" ht="15.75" customHeight="1">
      <c r="A673" s="98">
        <v>43881.0</v>
      </c>
      <c r="B673" s="98">
        <v>43910.0</v>
      </c>
      <c r="C673" s="97">
        <v>0.0</v>
      </c>
    </row>
    <row r="674" ht="15.75" customHeight="1">
      <c r="A674" s="98">
        <v>43882.0</v>
      </c>
      <c r="B674" s="98">
        <v>43911.0</v>
      </c>
      <c r="C674" s="97">
        <v>0.0</v>
      </c>
    </row>
    <row r="675" ht="15.75" customHeight="1">
      <c r="A675" s="98">
        <v>43883.0</v>
      </c>
      <c r="B675" s="98">
        <v>43912.0</v>
      </c>
      <c r="C675" s="97">
        <v>0.0</v>
      </c>
    </row>
    <row r="676" ht="15.75" customHeight="1">
      <c r="A676" s="98">
        <v>43884.0</v>
      </c>
      <c r="B676" s="98">
        <v>43913.0</v>
      </c>
      <c r="C676" s="97">
        <v>0.0</v>
      </c>
    </row>
    <row r="677" ht="15.75" customHeight="1">
      <c r="A677" s="98">
        <v>43885.0</v>
      </c>
      <c r="B677" s="98">
        <v>43914.0</v>
      </c>
      <c r="C677" s="97">
        <v>0.0</v>
      </c>
    </row>
    <row r="678" ht="15.75" customHeight="1">
      <c r="A678" s="98">
        <v>43886.0</v>
      </c>
      <c r="B678" s="98">
        <v>43915.0</v>
      </c>
      <c r="C678" s="97">
        <v>0.0</v>
      </c>
    </row>
    <row r="679" ht="15.75" customHeight="1">
      <c r="A679" s="98">
        <v>43887.0</v>
      </c>
      <c r="B679" s="98">
        <v>43916.0</v>
      </c>
      <c r="C679" s="97">
        <v>0.0</v>
      </c>
    </row>
    <row r="680" ht="15.75" customHeight="1">
      <c r="A680" s="98">
        <v>43888.0</v>
      </c>
      <c r="B680" s="98">
        <v>43917.0</v>
      </c>
      <c r="C680" s="97">
        <v>0.0</v>
      </c>
    </row>
    <row r="681" ht="15.75" customHeight="1">
      <c r="A681" s="98">
        <v>43889.0</v>
      </c>
      <c r="B681" s="98">
        <v>43918.0</v>
      </c>
      <c r="C681" s="97">
        <v>0.0</v>
      </c>
    </row>
    <row r="682" ht="15.75" customHeight="1">
      <c r="A682" s="98">
        <v>43890.0</v>
      </c>
      <c r="B682" s="98">
        <v>43919.0</v>
      </c>
      <c r="C682" s="97">
        <v>0.0</v>
      </c>
    </row>
    <row r="683" ht="15.75" customHeight="1">
      <c r="A683" s="98">
        <v>43891.0</v>
      </c>
      <c r="B683" s="98">
        <v>43920.0</v>
      </c>
      <c r="C683" s="97">
        <v>0.0</v>
      </c>
    </row>
    <row r="684" ht="15.75" customHeight="1">
      <c r="A684" s="98">
        <v>43891.0</v>
      </c>
      <c r="B684" s="98">
        <v>43921.0</v>
      </c>
      <c r="C684" s="97">
        <v>0.0</v>
      </c>
    </row>
    <row r="685" ht="15.75" customHeight="1">
      <c r="A685" s="98">
        <v>43891.0</v>
      </c>
      <c r="B685" s="98">
        <v>43922.0</v>
      </c>
      <c r="C685" s="97">
        <v>0.0</v>
      </c>
    </row>
    <row r="686" ht="15.75" customHeight="1">
      <c r="A686" s="98">
        <v>43892.0</v>
      </c>
      <c r="B686" s="98">
        <v>43923.0</v>
      </c>
      <c r="C686" s="97">
        <v>0.0</v>
      </c>
    </row>
    <row r="687" ht="15.75" customHeight="1">
      <c r="A687" s="98">
        <v>43893.0</v>
      </c>
      <c r="B687" s="98">
        <v>43924.0</v>
      </c>
      <c r="C687" s="97">
        <v>0.0</v>
      </c>
    </row>
    <row r="688" ht="15.75" customHeight="1">
      <c r="A688" s="98">
        <v>43894.0</v>
      </c>
      <c r="B688" s="98">
        <v>43925.0</v>
      </c>
      <c r="C688" s="97">
        <v>0.0</v>
      </c>
    </row>
    <row r="689" ht="15.75" customHeight="1">
      <c r="A689" s="98">
        <v>43895.0</v>
      </c>
      <c r="B689" s="98">
        <v>43926.0</v>
      </c>
      <c r="C689" s="97">
        <v>0.0</v>
      </c>
    </row>
    <row r="690" ht="15.75" customHeight="1">
      <c r="A690" s="98">
        <v>43896.0</v>
      </c>
      <c r="B690" s="98">
        <v>43927.0</v>
      </c>
      <c r="C690" s="97">
        <v>0.0</v>
      </c>
    </row>
    <row r="691" ht="15.75" customHeight="1">
      <c r="A691" s="98">
        <v>43897.0</v>
      </c>
      <c r="B691" s="98">
        <v>43928.0</v>
      </c>
      <c r="C691" s="97">
        <v>0.0</v>
      </c>
    </row>
    <row r="692" ht="15.75" customHeight="1">
      <c r="A692" s="98">
        <v>43898.0</v>
      </c>
      <c r="B692" s="98">
        <v>43929.0</v>
      </c>
      <c r="C692" s="97">
        <v>0.0</v>
      </c>
    </row>
    <row r="693" ht="15.75" customHeight="1">
      <c r="A693" s="98">
        <v>43899.0</v>
      </c>
      <c r="B693" s="98">
        <v>43930.0</v>
      </c>
      <c r="C693" s="97">
        <v>0.0</v>
      </c>
    </row>
    <row r="694" ht="15.75" customHeight="1">
      <c r="A694" s="98">
        <v>43900.0</v>
      </c>
      <c r="B694" s="98">
        <v>43931.0</v>
      </c>
      <c r="C694" s="97">
        <v>0.0</v>
      </c>
    </row>
    <row r="695" ht="15.75" customHeight="1">
      <c r="A695" s="98">
        <v>43901.0</v>
      </c>
      <c r="B695" s="98">
        <v>43932.0</v>
      </c>
      <c r="C695" s="97">
        <v>0.0</v>
      </c>
    </row>
    <row r="696" ht="15.75" customHeight="1">
      <c r="A696" s="98">
        <v>43902.0</v>
      </c>
      <c r="B696" s="98">
        <v>43933.0</v>
      </c>
      <c r="C696" s="97">
        <v>0.0</v>
      </c>
    </row>
    <row r="697" ht="15.75" customHeight="1">
      <c r="A697" s="98">
        <v>43903.0</v>
      </c>
      <c r="B697" s="98">
        <v>43934.0</v>
      </c>
      <c r="C697" s="97">
        <v>0.0</v>
      </c>
    </row>
    <row r="698" ht="15.75" customHeight="1">
      <c r="A698" s="98">
        <v>43904.0</v>
      </c>
      <c r="B698" s="98">
        <v>43935.0</v>
      </c>
      <c r="C698" s="97">
        <v>0.0</v>
      </c>
    </row>
    <row r="699" ht="15.75" customHeight="1">
      <c r="A699" s="98">
        <v>43905.0</v>
      </c>
      <c r="B699" s="98">
        <v>43936.0</v>
      </c>
      <c r="C699" s="97">
        <v>0.0</v>
      </c>
    </row>
    <row r="700" ht="15.75" customHeight="1">
      <c r="A700" s="98">
        <v>43906.0</v>
      </c>
      <c r="B700" s="98">
        <v>43937.0</v>
      </c>
      <c r="C700" s="97">
        <v>0.0</v>
      </c>
    </row>
    <row r="701" ht="15.75" customHeight="1">
      <c r="A701" s="98">
        <v>43907.0</v>
      </c>
      <c r="B701" s="98">
        <v>43938.0</v>
      </c>
      <c r="C701" s="97">
        <v>0.0</v>
      </c>
    </row>
    <row r="702" ht="15.75" customHeight="1">
      <c r="A702" s="98">
        <v>43908.0</v>
      </c>
      <c r="B702" s="98">
        <v>43939.0</v>
      </c>
      <c r="C702" s="97">
        <v>0.0</v>
      </c>
    </row>
    <row r="703" ht="15.75" customHeight="1">
      <c r="A703" s="98">
        <v>43909.0</v>
      </c>
      <c r="B703" s="98">
        <v>43940.0</v>
      </c>
      <c r="C703" s="97">
        <v>0.0</v>
      </c>
    </row>
    <row r="704" ht="15.75" customHeight="1">
      <c r="A704" s="98">
        <v>43910.0</v>
      </c>
      <c r="B704" s="98">
        <v>43941.0</v>
      </c>
      <c r="C704" s="97">
        <v>0.0</v>
      </c>
    </row>
    <row r="705" ht="15.75" customHeight="1">
      <c r="A705" s="98">
        <v>43911.0</v>
      </c>
      <c r="B705" s="98">
        <v>43942.0</v>
      </c>
      <c r="C705" s="97">
        <v>0.0</v>
      </c>
    </row>
    <row r="706" ht="15.75" customHeight="1">
      <c r="A706" s="98">
        <v>43912.0</v>
      </c>
      <c r="B706" s="98">
        <v>43943.0</v>
      </c>
      <c r="C706" s="97">
        <v>0.0</v>
      </c>
    </row>
    <row r="707" ht="15.75" customHeight="1">
      <c r="A707" s="98">
        <v>43913.0</v>
      </c>
      <c r="B707" s="98">
        <v>43944.0</v>
      </c>
      <c r="C707" s="97">
        <v>0.0</v>
      </c>
    </row>
    <row r="708" ht="15.75" customHeight="1">
      <c r="A708" s="98">
        <v>43914.0</v>
      </c>
      <c r="B708" s="98">
        <v>43945.0</v>
      </c>
      <c r="C708" s="97">
        <v>0.0</v>
      </c>
    </row>
    <row r="709" ht="15.75" customHeight="1">
      <c r="A709" s="98">
        <v>43915.0</v>
      </c>
      <c r="B709" s="98">
        <v>43946.0</v>
      </c>
      <c r="C709" s="97">
        <v>0.0</v>
      </c>
    </row>
    <row r="710" ht="15.75" customHeight="1">
      <c r="A710" s="98">
        <v>43916.0</v>
      </c>
      <c r="B710" s="98">
        <v>43947.0</v>
      </c>
      <c r="C710" s="97">
        <v>0.0</v>
      </c>
    </row>
    <row r="711" ht="15.75" customHeight="1">
      <c r="A711" s="98">
        <v>43917.0</v>
      </c>
      <c r="B711" s="98">
        <v>43948.0</v>
      </c>
      <c r="C711" s="97">
        <v>0.0</v>
      </c>
    </row>
    <row r="712" ht="15.75" customHeight="1">
      <c r="A712" s="98">
        <v>43918.0</v>
      </c>
      <c r="B712" s="98">
        <v>43949.0</v>
      </c>
      <c r="C712" s="97">
        <v>0.0</v>
      </c>
    </row>
    <row r="713" ht="15.75" customHeight="1">
      <c r="A713" s="98">
        <v>43919.0</v>
      </c>
      <c r="B713" s="98">
        <v>43950.0</v>
      </c>
      <c r="C713" s="97">
        <v>0.0</v>
      </c>
    </row>
    <row r="714" ht="15.75" customHeight="1">
      <c r="A714" s="98">
        <v>43920.0</v>
      </c>
      <c r="B714" s="98">
        <v>43951.0</v>
      </c>
      <c r="C714" s="97">
        <v>0.0</v>
      </c>
    </row>
    <row r="715" ht="15.75" customHeight="1">
      <c r="A715" s="98">
        <v>43921.0</v>
      </c>
      <c r="B715" s="98">
        <v>43952.0</v>
      </c>
      <c r="C715" s="97">
        <v>0.0</v>
      </c>
    </row>
    <row r="716" ht="15.75" customHeight="1">
      <c r="A716" s="98">
        <v>43922.0</v>
      </c>
      <c r="B716" s="98">
        <v>43952.0</v>
      </c>
      <c r="C716" s="97">
        <v>0.0</v>
      </c>
    </row>
    <row r="717" ht="15.75" customHeight="1">
      <c r="A717" s="98">
        <v>43923.0</v>
      </c>
      <c r="B717" s="98">
        <v>43953.0</v>
      </c>
      <c r="C717" s="97">
        <v>0.0</v>
      </c>
    </row>
    <row r="718" ht="15.75" customHeight="1">
      <c r="A718" s="98">
        <v>43924.0</v>
      </c>
      <c r="B718" s="98">
        <v>43954.0</v>
      </c>
      <c r="C718" s="97">
        <v>0.0</v>
      </c>
    </row>
    <row r="719" ht="15.75" customHeight="1">
      <c r="A719" s="98">
        <v>43925.0</v>
      </c>
      <c r="B719" s="98">
        <v>43955.0</v>
      </c>
      <c r="C719" s="97">
        <v>0.0</v>
      </c>
    </row>
    <row r="720" ht="15.75" customHeight="1">
      <c r="A720" s="98">
        <v>43926.0</v>
      </c>
      <c r="B720" s="98">
        <v>43956.0</v>
      </c>
      <c r="C720" s="97">
        <v>0.0</v>
      </c>
    </row>
    <row r="721" ht="15.75" customHeight="1">
      <c r="A721" s="98">
        <v>43927.0</v>
      </c>
      <c r="B721" s="98">
        <v>43957.0</v>
      </c>
      <c r="C721" s="97">
        <v>0.0</v>
      </c>
    </row>
    <row r="722" ht="15.75" customHeight="1">
      <c r="A722" s="98">
        <v>43928.0</v>
      </c>
      <c r="B722" s="98">
        <v>43958.0</v>
      </c>
      <c r="C722" s="97">
        <v>0.0</v>
      </c>
    </row>
    <row r="723" ht="15.75" customHeight="1">
      <c r="A723" s="98">
        <v>43929.0</v>
      </c>
      <c r="B723" s="98">
        <v>43959.0</v>
      </c>
      <c r="C723" s="97">
        <v>0.0</v>
      </c>
    </row>
    <row r="724" ht="15.75" customHeight="1">
      <c r="A724" s="98">
        <v>43930.0</v>
      </c>
      <c r="B724" s="98">
        <v>43960.0</v>
      </c>
      <c r="C724" s="97">
        <v>0.0</v>
      </c>
    </row>
    <row r="725" ht="15.75" customHeight="1">
      <c r="A725" s="98">
        <v>43931.0</v>
      </c>
      <c r="B725" s="98">
        <v>43961.0</v>
      </c>
      <c r="C725" s="97">
        <v>0.0</v>
      </c>
    </row>
    <row r="726" ht="15.75" customHeight="1">
      <c r="A726" s="98">
        <v>43932.0</v>
      </c>
      <c r="B726" s="98">
        <v>43962.0</v>
      </c>
      <c r="C726" s="97">
        <v>0.0</v>
      </c>
    </row>
    <row r="727" ht="15.75" customHeight="1">
      <c r="A727" s="98">
        <v>43933.0</v>
      </c>
      <c r="B727" s="98">
        <v>43963.0</v>
      </c>
      <c r="C727" s="97">
        <v>0.0</v>
      </c>
    </row>
    <row r="728" ht="15.75" customHeight="1">
      <c r="A728" s="98">
        <v>43934.0</v>
      </c>
      <c r="B728" s="98">
        <v>43964.0</v>
      </c>
      <c r="C728" s="97">
        <v>0.0</v>
      </c>
    </row>
    <row r="729" ht="15.75" customHeight="1">
      <c r="A729" s="98">
        <v>43935.0</v>
      </c>
      <c r="B729" s="98">
        <v>43965.0</v>
      </c>
      <c r="C729" s="97">
        <v>0.0</v>
      </c>
    </row>
    <row r="730" ht="15.75" customHeight="1">
      <c r="A730" s="98">
        <v>43936.0</v>
      </c>
      <c r="B730" s="98">
        <v>43966.0</v>
      </c>
      <c r="C730" s="97">
        <v>0.0</v>
      </c>
    </row>
    <row r="731" ht="15.75" customHeight="1">
      <c r="A731" s="98">
        <v>43937.0</v>
      </c>
      <c r="B731" s="98">
        <v>43967.0</v>
      </c>
      <c r="C731" s="97">
        <v>0.0</v>
      </c>
    </row>
    <row r="732" ht="15.75" customHeight="1">
      <c r="A732" s="98">
        <v>43938.0</v>
      </c>
      <c r="B732" s="98">
        <v>43968.0</v>
      </c>
      <c r="C732" s="97">
        <v>0.0</v>
      </c>
    </row>
    <row r="733" ht="15.75" customHeight="1">
      <c r="A733" s="98">
        <v>43939.0</v>
      </c>
      <c r="B733" s="98">
        <v>43969.0</v>
      </c>
      <c r="C733" s="97">
        <v>0.0</v>
      </c>
    </row>
    <row r="734" ht="15.75" customHeight="1">
      <c r="A734" s="98">
        <v>43940.0</v>
      </c>
      <c r="B734" s="98">
        <v>43970.0</v>
      </c>
      <c r="C734" s="97">
        <v>0.0</v>
      </c>
    </row>
    <row r="735" ht="15.75" customHeight="1">
      <c r="A735" s="98">
        <v>43941.0</v>
      </c>
      <c r="B735" s="98">
        <v>43971.0</v>
      </c>
      <c r="C735" s="97">
        <v>0.0</v>
      </c>
    </row>
    <row r="736" ht="15.75" customHeight="1">
      <c r="A736" s="98">
        <v>43942.0</v>
      </c>
      <c r="B736" s="98">
        <v>43972.0</v>
      </c>
      <c r="C736" s="97">
        <v>0.0</v>
      </c>
    </row>
    <row r="737" ht="15.75" customHeight="1">
      <c r="A737" s="98">
        <v>43943.0</v>
      </c>
      <c r="B737" s="98">
        <v>43973.0</v>
      </c>
      <c r="C737" s="97">
        <v>0.0</v>
      </c>
    </row>
    <row r="738" ht="15.75" customHeight="1">
      <c r="A738" s="98">
        <v>43944.0</v>
      </c>
      <c r="B738" s="98">
        <v>43974.0</v>
      </c>
      <c r="C738" s="97">
        <v>0.0</v>
      </c>
    </row>
    <row r="739" ht="15.75" customHeight="1">
      <c r="A739" s="98">
        <v>43945.0</v>
      </c>
      <c r="B739" s="98">
        <v>43975.0</v>
      </c>
      <c r="C739" s="97">
        <v>0.0</v>
      </c>
    </row>
    <row r="740" ht="15.75" customHeight="1">
      <c r="A740" s="98">
        <v>43946.0</v>
      </c>
      <c r="B740" s="98">
        <v>43976.0</v>
      </c>
      <c r="C740" s="97">
        <v>0.0</v>
      </c>
    </row>
    <row r="741" ht="15.75" customHeight="1">
      <c r="A741" s="98">
        <v>43947.0</v>
      </c>
      <c r="B741" s="98">
        <v>43977.0</v>
      </c>
      <c r="C741" s="97">
        <v>0.0</v>
      </c>
    </row>
    <row r="742" ht="15.75" customHeight="1">
      <c r="A742" s="98">
        <v>43948.0</v>
      </c>
      <c r="B742" s="98">
        <v>43978.0</v>
      </c>
      <c r="C742" s="97">
        <v>0.0</v>
      </c>
    </row>
    <row r="743" ht="15.75" customHeight="1">
      <c r="A743" s="98">
        <v>43949.0</v>
      </c>
      <c r="B743" s="98">
        <v>43979.0</v>
      </c>
      <c r="C743" s="97">
        <v>0.0</v>
      </c>
    </row>
    <row r="744" ht="15.75" customHeight="1">
      <c r="A744" s="98">
        <v>43950.0</v>
      </c>
      <c r="B744" s="98">
        <v>43980.0</v>
      </c>
      <c r="C744" s="97">
        <v>0.0</v>
      </c>
    </row>
    <row r="745" ht="15.75" customHeight="1">
      <c r="A745" s="98">
        <v>43951.0</v>
      </c>
      <c r="B745" s="98">
        <v>43981.0</v>
      </c>
      <c r="C745" s="97">
        <v>0.0</v>
      </c>
    </row>
    <row r="746" ht="15.75" customHeight="1">
      <c r="A746" s="98">
        <v>43952.0</v>
      </c>
      <c r="B746" s="98">
        <v>43982.0</v>
      </c>
      <c r="C746" s="97">
        <v>0.0</v>
      </c>
    </row>
    <row r="747" ht="15.75" customHeight="1">
      <c r="A747" s="98">
        <v>43952.0</v>
      </c>
      <c r="B747" s="98">
        <v>43983.0</v>
      </c>
      <c r="C747" s="97">
        <v>0.0</v>
      </c>
    </row>
    <row r="748" ht="15.75" customHeight="1">
      <c r="A748" s="98">
        <v>43953.0</v>
      </c>
      <c r="B748" s="98">
        <v>43984.0</v>
      </c>
      <c r="C748" s="97">
        <v>0.0</v>
      </c>
    </row>
    <row r="749" ht="15.75" customHeight="1">
      <c r="A749" s="98">
        <v>43954.0</v>
      </c>
      <c r="B749" s="98">
        <v>43985.0</v>
      </c>
      <c r="C749" s="97">
        <v>0.0</v>
      </c>
    </row>
    <row r="750" ht="15.75" customHeight="1">
      <c r="A750" s="98">
        <v>43955.0</v>
      </c>
      <c r="B750" s="98">
        <v>43986.0</v>
      </c>
      <c r="C750" s="97">
        <v>0.0</v>
      </c>
    </row>
    <row r="751" ht="15.75" customHeight="1">
      <c r="A751" s="98">
        <v>43956.0</v>
      </c>
      <c r="B751" s="98">
        <v>43987.0</v>
      </c>
      <c r="C751" s="97">
        <v>0.0</v>
      </c>
    </row>
    <row r="752" ht="15.75" customHeight="1">
      <c r="A752" s="98">
        <v>43957.0</v>
      </c>
      <c r="B752" s="98">
        <v>43988.0</v>
      </c>
      <c r="C752" s="97">
        <v>0.0</v>
      </c>
    </row>
    <row r="753" ht="15.75" customHeight="1">
      <c r="A753" s="98">
        <v>43958.0</v>
      </c>
      <c r="B753" s="98">
        <v>43989.0</v>
      </c>
      <c r="C753" s="97">
        <v>0.0</v>
      </c>
    </row>
    <row r="754" ht="15.75" customHeight="1">
      <c r="A754" s="98">
        <v>43959.0</v>
      </c>
      <c r="B754" s="98">
        <v>43990.0</v>
      </c>
      <c r="C754" s="97">
        <v>0.0</v>
      </c>
    </row>
    <row r="755" ht="15.75" customHeight="1">
      <c r="A755" s="98">
        <v>43960.0</v>
      </c>
      <c r="B755" s="98">
        <v>43991.0</v>
      </c>
      <c r="C755" s="97">
        <v>0.0</v>
      </c>
    </row>
    <row r="756" ht="15.75" customHeight="1">
      <c r="A756" s="98">
        <v>43961.0</v>
      </c>
      <c r="B756" s="98">
        <v>43992.0</v>
      </c>
      <c r="C756" s="97">
        <v>0.0</v>
      </c>
    </row>
    <row r="757" ht="15.75" customHeight="1">
      <c r="A757" s="98">
        <v>43962.0</v>
      </c>
      <c r="B757" s="98">
        <v>43993.0</v>
      </c>
      <c r="C757" s="97">
        <v>0.0</v>
      </c>
    </row>
    <row r="758" ht="15.75" customHeight="1">
      <c r="A758" s="98">
        <v>43963.0</v>
      </c>
      <c r="B758" s="98">
        <v>43994.0</v>
      </c>
      <c r="C758" s="97">
        <v>0.0</v>
      </c>
    </row>
    <row r="759" ht="15.75" customHeight="1">
      <c r="A759" s="98">
        <v>43964.0</v>
      </c>
      <c r="B759" s="98">
        <v>43995.0</v>
      </c>
      <c r="C759" s="97">
        <v>0.0</v>
      </c>
    </row>
    <row r="760" ht="15.75" customHeight="1">
      <c r="A760" s="98">
        <v>43965.0</v>
      </c>
      <c r="B760" s="98">
        <v>43996.0</v>
      </c>
      <c r="C760" s="97">
        <v>0.0</v>
      </c>
    </row>
    <row r="761" ht="15.75" customHeight="1">
      <c r="A761" s="98">
        <v>43966.0</v>
      </c>
      <c r="B761" s="98">
        <v>43997.0</v>
      </c>
      <c r="C761" s="97">
        <v>0.0</v>
      </c>
    </row>
    <row r="762" ht="15.75" customHeight="1">
      <c r="A762" s="98">
        <v>43967.0</v>
      </c>
      <c r="B762" s="98">
        <v>43998.0</v>
      </c>
      <c r="C762" s="97">
        <v>0.0</v>
      </c>
    </row>
    <row r="763" ht="15.75" customHeight="1">
      <c r="A763" s="98">
        <v>43968.0</v>
      </c>
      <c r="B763" s="98">
        <v>43999.0</v>
      </c>
      <c r="C763" s="97">
        <v>0.0</v>
      </c>
    </row>
    <row r="764" ht="15.75" customHeight="1">
      <c r="A764" s="98">
        <v>43969.0</v>
      </c>
      <c r="B764" s="98">
        <v>44000.0</v>
      </c>
      <c r="C764" s="97">
        <v>0.0</v>
      </c>
    </row>
    <row r="765" ht="15.75" customHeight="1">
      <c r="A765" s="98">
        <v>43970.0</v>
      </c>
      <c r="B765" s="98">
        <v>44001.0</v>
      </c>
      <c r="C765" s="97">
        <v>0.0</v>
      </c>
    </row>
    <row r="766" ht="15.75" customHeight="1">
      <c r="A766" s="98">
        <v>43971.0</v>
      </c>
      <c r="B766" s="98">
        <v>44002.0</v>
      </c>
      <c r="C766" s="97">
        <v>0.0</v>
      </c>
    </row>
    <row r="767" ht="15.75" customHeight="1">
      <c r="A767" s="98">
        <v>43972.0</v>
      </c>
      <c r="B767" s="98">
        <v>44003.0</v>
      </c>
      <c r="C767" s="97">
        <v>0.0</v>
      </c>
    </row>
    <row r="768" ht="15.75" customHeight="1">
      <c r="A768" s="98">
        <v>43973.0</v>
      </c>
      <c r="B768" s="98">
        <v>44004.0</v>
      </c>
      <c r="C768" s="97">
        <v>0.0</v>
      </c>
    </row>
    <row r="769" ht="15.75" customHeight="1">
      <c r="A769" s="98">
        <v>43974.0</v>
      </c>
      <c r="B769" s="98">
        <v>44005.0</v>
      </c>
      <c r="C769" s="97">
        <v>0.0</v>
      </c>
    </row>
    <row r="770" ht="15.75" customHeight="1">
      <c r="A770" s="98">
        <v>43975.0</v>
      </c>
      <c r="B770" s="98">
        <v>44006.0</v>
      </c>
      <c r="C770" s="97">
        <v>0.0</v>
      </c>
    </row>
    <row r="771" ht="15.75" customHeight="1">
      <c r="A771" s="98">
        <v>43976.0</v>
      </c>
      <c r="B771" s="98">
        <v>44007.0</v>
      </c>
      <c r="C771" s="97">
        <v>0.0</v>
      </c>
    </row>
    <row r="772" ht="15.75" customHeight="1">
      <c r="A772" s="98">
        <v>43977.0</v>
      </c>
      <c r="B772" s="98">
        <v>44008.0</v>
      </c>
      <c r="C772" s="97">
        <v>0.0</v>
      </c>
    </row>
    <row r="773" ht="15.75" customHeight="1">
      <c r="A773" s="98">
        <v>43978.0</v>
      </c>
      <c r="B773" s="98">
        <v>44009.0</v>
      </c>
      <c r="C773" s="97">
        <v>0.0</v>
      </c>
    </row>
    <row r="774" ht="15.75" customHeight="1">
      <c r="A774" s="98">
        <v>43979.0</v>
      </c>
      <c r="B774" s="98">
        <v>44010.0</v>
      </c>
      <c r="C774" s="97">
        <v>0.0</v>
      </c>
    </row>
    <row r="775" ht="15.75" customHeight="1">
      <c r="A775" s="98">
        <v>43980.0</v>
      </c>
      <c r="B775" s="98">
        <v>44011.0</v>
      </c>
      <c r="C775" s="97">
        <v>0.0</v>
      </c>
    </row>
    <row r="776" ht="15.75" customHeight="1">
      <c r="A776" s="98">
        <v>43981.0</v>
      </c>
      <c r="B776" s="98">
        <v>44012.0</v>
      </c>
      <c r="C776" s="97">
        <v>0.0</v>
      </c>
    </row>
    <row r="777" ht="15.75" customHeight="1">
      <c r="A777" s="98">
        <v>43982.0</v>
      </c>
      <c r="B777" s="98">
        <v>44013.0</v>
      </c>
      <c r="C777" s="97">
        <v>0.0</v>
      </c>
    </row>
    <row r="778" ht="15.75" customHeight="1">
      <c r="A778" s="98">
        <v>43983.0</v>
      </c>
      <c r="B778" s="98">
        <v>44013.0</v>
      </c>
      <c r="C778" s="97">
        <v>0.0</v>
      </c>
    </row>
    <row r="779" ht="15.75" customHeight="1">
      <c r="A779" s="98">
        <v>43984.0</v>
      </c>
      <c r="B779" s="98">
        <v>44014.0</v>
      </c>
      <c r="C779" s="97">
        <v>0.0</v>
      </c>
    </row>
    <row r="780" ht="15.75" customHeight="1">
      <c r="A780" s="98">
        <v>43985.0</v>
      </c>
      <c r="B780" s="98">
        <v>44015.0</v>
      </c>
      <c r="C780" s="97">
        <v>0.0</v>
      </c>
    </row>
    <row r="781" ht="15.75" customHeight="1">
      <c r="A781" s="98">
        <v>43986.0</v>
      </c>
      <c r="B781" s="98">
        <v>44016.0</v>
      </c>
      <c r="C781" s="97">
        <v>0.0</v>
      </c>
    </row>
    <row r="782" ht="15.75" customHeight="1">
      <c r="A782" s="98">
        <v>43987.0</v>
      </c>
      <c r="B782" s="98">
        <v>44017.0</v>
      </c>
      <c r="C782" s="97">
        <v>0.0</v>
      </c>
    </row>
    <row r="783" ht="15.75" customHeight="1">
      <c r="A783" s="98">
        <v>43988.0</v>
      </c>
      <c r="B783" s="98">
        <v>44018.0</v>
      </c>
      <c r="C783" s="97">
        <v>0.0</v>
      </c>
    </row>
    <row r="784" ht="15.75" customHeight="1">
      <c r="A784" s="98">
        <v>43989.0</v>
      </c>
      <c r="B784" s="98">
        <v>44019.0</v>
      </c>
      <c r="C784" s="97">
        <v>0.0</v>
      </c>
    </row>
    <row r="785" ht="15.75" customHeight="1">
      <c r="A785" s="98">
        <v>43990.0</v>
      </c>
      <c r="B785" s="98">
        <v>44020.0</v>
      </c>
      <c r="C785" s="97">
        <v>0.0</v>
      </c>
    </row>
    <row r="786" ht="15.75" customHeight="1">
      <c r="A786" s="98">
        <v>43991.0</v>
      </c>
      <c r="B786" s="98">
        <v>44021.0</v>
      </c>
      <c r="C786" s="97">
        <v>0.0</v>
      </c>
    </row>
    <row r="787" ht="15.75" customHeight="1">
      <c r="A787" s="98">
        <v>43992.0</v>
      </c>
      <c r="B787" s="98">
        <v>44022.0</v>
      </c>
      <c r="C787" s="97">
        <v>0.0</v>
      </c>
    </row>
    <row r="788" ht="15.75" customHeight="1">
      <c r="A788" s="98">
        <v>43993.0</v>
      </c>
      <c r="B788" s="98">
        <v>44023.0</v>
      </c>
      <c r="C788" s="97">
        <v>0.0</v>
      </c>
    </row>
    <row r="789" ht="15.75" customHeight="1">
      <c r="A789" s="98">
        <v>43994.0</v>
      </c>
      <c r="B789" s="98">
        <v>44024.0</v>
      </c>
      <c r="C789" s="97">
        <v>0.0</v>
      </c>
    </row>
    <row r="790" ht="15.75" customHeight="1">
      <c r="A790" s="98">
        <v>43995.0</v>
      </c>
      <c r="B790" s="98">
        <v>44025.0</v>
      </c>
      <c r="C790" s="97">
        <v>0.0</v>
      </c>
    </row>
    <row r="791" ht="15.75" customHeight="1">
      <c r="A791" s="98">
        <v>43996.0</v>
      </c>
      <c r="B791" s="98">
        <v>44026.0</v>
      </c>
      <c r="C791" s="97">
        <v>0.0</v>
      </c>
    </row>
    <row r="792" ht="15.75" customHeight="1">
      <c r="A792" s="98">
        <v>43997.0</v>
      </c>
      <c r="B792" s="98">
        <v>44027.0</v>
      </c>
      <c r="C792" s="97">
        <v>0.0</v>
      </c>
    </row>
    <row r="793" ht="15.75" customHeight="1">
      <c r="A793" s="98">
        <v>43998.0</v>
      </c>
      <c r="B793" s="98">
        <v>44028.0</v>
      </c>
      <c r="C793" s="97">
        <v>0.0</v>
      </c>
    </row>
    <row r="794" ht="15.75" customHeight="1">
      <c r="A794" s="98">
        <v>43999.0</v>
      </c>
      <c r="B794" s="98">
        <v>44029.0</v>
      </c>
      <c r="C794" s="97">
        <v>0.0</v>
      </c>
    </row>
    <row r="795" ht="15.75" customHeight="1">
      <c r="A795" s="98">
        <v>44000.0</v>
      </c>
      <c r="B795" s="98">
        <v>44030.0</v>
      </c>
      <c r="C795" s="97">
        <v>0.0</v>
      </c>
    </row>
    <row r="796" ht="15.75" customHeight="1">
      <c r="A796" s="98">
        <v>44001.0</v>
      </c>
      <c r="B796" s="98">
        <v>44031.0</v>
      </c>
      <c r="C796" s="97">
        <v>0.0</v>
      </c>
    </row>
    <row r="797" ht="15.75" customHeight="1">
      <c r="A797" s="98">
        <v>44002.0</v>
      </c>
      <c r="B797" s="98">
        <v>44032.0</v>
      </c>
      <c r="C797" s="97">
        <v>0.0</v>
      </c>
    </row>
    <row r="798" ht="15.75" customHeight="1">
      <c r="A798" s="98">
        <v>44003.0</v>
      </c>
      <c r="B798" s="98">
        <v>44033.0</v>
      </c>
      <c r="C798" s="97">
        <v>0.0</v>
      </c>
    </row>
    <row r="799" ht="15.75" customHeight="1">
      <c r="A799" s="98">
        <v>44004.0</v>
      </c>
      <c r="B799" s="98">
        <v>44034.0</v>
      </c>
      <c r="C799" s="97">
        <v>0.0</v>
      </c>
    </row>
    <row r="800" ht="15.75" customHeight="1">
      <c r="A800" s="98">
        <v>44005.0</v>
      </c>
      <c r="B800" s="98">
        <v>44035.0</v>
      </c>
      <c r="C800" s="97">
        <v>0.0</v>
      </c>
    </row>
    <row r="801" ht="15.75" customHeight="1">
      <c r="A801" s="98">
        <v>44006.0</v>
      </c>
      <c r="B801" s="98">
        <v>44036.0</v>
      </c>
      <c r="C801" s="97">
        <v>0.0</v>
      </c>
    </row>
    <row r="802" ht="15.75" customHeight="1">
      <c r="A802" s="98">
        <v>44007.0</v>
      </c>
      <c r="B802" s="98">
        <v>44037.0</v>
      </c>
      <c r="C802" s="97">
        <v>0.0</v>
      </c>
    </row>
    <row r="803" ht="15.75" customHeight="1">
      <c r="A803" s="98">
        <v>44008.0</v>
      </c>
      <c r="B803" s="98">
        <v>44038.0</v>
      </c>
      <c r="C803" s="97">
        <v>0.0</v>
      </c>
    </row>
    <row r="804" ht="15.75" customHeight="1">
      <c r="A804" s="98">
        <v>44009.0</v>
      </c>
      <c r="B804" s="98">
        <v>44039.0</v>
      </c>
      <c r="C804" s="97">
        <v>0.0</v>
      </c>
    </row>
    <row r="805" ht="15.75" customHeight="1">
      <c r="A805" s="98">
        <v>44010.0</v>
      </c>
      <c r="B805" s="98">
        <v>44040.0</v>
      </c>
      <c r="C805" s="97">
        <v>0.0</v>
      </c>
    </row>
    <row r="806" ht="15.75" customHeight="1">
      <c r="A806" s="98">
        <v>44011.0</v>
      </c>
      <c r="B806" s="98">
        <v>44041.0</v>
      </c>
      <c r="C806" s="97">
        <v>0.0</v>
      </c>
    </row>
    <row r="807" ht="15.75" customHeight="1">
      <c r="A807" s="98">
        <v>44012.0</v>
      </c>
      <c r="B807" s="98">
        <v>44042.0</v>
      </c>
      <c r="C807" s="97">
        <v>0.0</v>
      </c>
    </row>
    <row r="808" ht="15.75" customHeight="1">
      <c r="A808" s="98">
        <v>44013.0</v>
      </c>
      <c r="B808" s="98">
        <v>44043.0</v>
      </c>
      <c r="C808" s="97">
        <v>0.0</v>
      </c>
    </row>
    <row r="809" ht="15.75" customHeight="1">
      <c r="A809" s="98">
        <v>44013.0</v>
      </c>
      <c r="B809" s="98">
        <v>44044.0</v>
      </c>
      <c r="C809" s="97">
        <v>0.0</v>
      </c>
    </row>
    <row r="810" ht="15.75" customHeight="1">
      <c r="A810" s="98">
        <v>44014.0</v>
      </c>
      <c r="B810" s="98">
        <v>44045.0</v>
      </c>
      <c r="C810" s="97">
        <v>0.0</v>
      </c>
    </row>
    <row r="811" ht="15.75" customHeight="1">
      <c r="A811" s="98">
        <v>44015.0</v>
      </c>
      <c r="B811" s="98">
        <v>44046.0</v>
      </c>
      <c r="C811" s="97">
        <v>0.0</v>
      </c>
    </row>
    <row r="812" ht="15.75" customHeight="1">
      <c r="A812" s="98">
        <v>44016.0</v>
      </c>
      <c r="B812" s="98">
        <v>44047.0</v>
      </c>
      <c r="C812" s="97">
        <v>0.0</v>
      </c>
    </row>
    <row r="813" ht="15.75" customHeight="1">
      <c r="A813" s="98">
        <v>44017.0</v>
      </c>
      <c r="B813" s="98">
        <v>44048.0</v>
      </c>
      <c r="C813" s="97">
        <v>0.0</v>
      </c>
    </row>
    <row r="814" ht="15.75" customHeight="1">
      <c r="A814" s="98">
        <v>44018.0</v>
      </c>
      <c r="B814" s="98">
        <v>44049.0</v>
      </c>
      <c r="C814" s="97">
        <v>0.0</v>
      </c>
    </row>
    <row r="815" ht="15.75" customHeight="1">
      <c r="A815" s="98">
        <v>44019.0</v>
      </c>
      <c r="B815" s="98">
        <v>44050.0</v>
      </c>
      <c r="C815" s="97">
        <v>0.0</v>
      </c>
    </row>
    <row r="816" ht="15.75" customHeight="1">
      <c r="A816" s="98">
        <v>44020.0</v>
      </c>
      <c r="B816" s="98">
        <v>44051.0</v>
      </c>
      <c r="C816" s="97">
        <v>0.0</v>
      </c>
    </row>
    <row r="817" ht="15.75" customHeight="1">
      <c r="A817" s="98">
        <v>44021.0</v>
      </c>
      <c r="B817" s="98">
        <v>44052.0</v>
      </c>
      <c r="C817" s="97">
        <v>0.0</v>
      </c>
    </row>
    <row r="818" ht="15.75" customHeight="1">
      <c r="A818" s="98">
        <v>44022.0</v>
      </c>
      <c r="B818" s="98">
        <v>44053.0</v>
      </c>
      <c r="C818" s="97">
        <v>0.0</v>
      </c>
    </row>
    <row r="819" ht="15.75" customHeight="1">
      <c r="A819" s="98">
        <v>44023.0</v>
      </c>
      <c r="B819" s="98">
        <v>44054.0</v>
      </c>
      <c r="C819" s="97">
        <v>0.0</v>
      </c>
    </row>
    <row r="820" ht="15.75" customHeight="1">
      <c r="A820" s="98">
        <v>44024.0</v>
      </c>
      <c r="B820" s="98">
        <v>44055.0</v>
      </c>
      <c r="C820" s="97">
        <v>0.0</v>
      </c>
    </row>
    <row r="821" ht="15.75" customHeight="1">
      <c r="A821" s="98">
        <v>44025.0</v>
      </c>
      <c r="B821" s="98">
        <v>44056.0</v>
      </c>
      <c r="C821" s="97">
        <v>0.0</v>
      </c>
    </row>
    <row r="822" ht="15.75" customHeight="1">
      <c r="A822" s="98">
        <v>44026.0</v>
      </c>
      <c r="B822" s="98">
        <v>44057.0</v>
      </c>
      <c r="C822" s="97">
        <v>0.0</v>
      </c>
    </row>
    <row r="823" ht="15.75" customHeight="1">
      <c r="A823" s="98">
        <v>44027.0</v>
      </c>
      <c r="B823" s="98">
        <v>44058.0</v>
      </c>
      <c r="C823" s="97">
        <v>0.0</v>
      </c>
    </row>
    <row r="824" ht="15.75" customHeight="1">
      <c r="A824" s="98">
        <v>44028.0</v>
      </c>
      <c r="B824" s="98">
        <v>44059.0</v>
      </c>
      <c r="C824" s="97">
        <v>0.0</v>
      </c>
    </row>
    <row r="825" ht="15.75" customHeight="1">
      <c r="A825" s="98">
        <v>44029.0</v>
      </c>
      <c r="B825" s="98">
        <v>44060.0</v>
      </c>
      <c r="C825" s="97">
        <v>0.0</v>
      </c>
    </row>
    <row r="826" ht="15.75" customHeight="1">
      <c r="A826" s="98">
        <v>44030.0</v>
      </c>
      <c r="B826" s="98">
        <v>44061.0</v>
      </c>
      <c r="C826" s="97">
        <v>0.0</v>
      </c>
    </row>
    <row r="827" ht="15.75" customHeight="1">
      <c r="A827" s="98">
        <v>44031.0</v>
      </c>
      <c r="B827" s="98">
        <v>44062.0</v>
      </c>
      <c r="C827" s="97">
        <v>0.0</v>
      </c>
    </row>
    <row r="828" ht="15.75" customHeight="1">
      <c r="A828" s="98">
        <v>44032.0</v>
      </c>
      <c r="B828" s="98">
        <v>44063.0</v>
      </c>
      <c r="C828" s="97">
        <v>0.0</v>
      </c>
    </row>
    <row r="829" ht="15.75" customHeight="1">
      <c r="A829" s="98">
        <v>44033.0</v>
      </c>
      <c r="B829" s="98">
        <v>44064.0</v>
      </c>
      <c r="C829" s="97">
        <v>0.0</v>
      </c>
    </row>
    <row r="830" ht="15.75" customHeight="1">
      <c r="A830" s="98">
        <v>44034.0</v>
      </c>
      <c r="B830" s="98">
        <v>44065.0</v>
      </c>
      <c r="C830" s="97">
        <v>0.0</v>
      </c>
    </row>
    <row r="831" ht="15.75" customHeight="1">
      <c r="A831" s="98">
        <v>44035.0</v>
      </c>
      <c r="B831" s="98">
        <v>44066.0</v>
      </c>
      <c r="C831" s="97">
        <v>0.0</v>
      </c>
    </row>
    <row r="832" ht="15.75" customHeight="1">
      <c r="A832" s="98">
        <v>44036.0</v>
      </c>
      <c r="B832" s="98">
        <v>44067.0</v>
      </c>
      <c r="C832" s="97">
        <v>0.0</v>
      </c>
    </row>
    <row r="833" ht="15.75" customHeight="1">
      <c r="A833" s="98">
        <v>44037.0</v>
      </c>
      <c r="B833" s="98">
        <v>44068.0</v>
      </c>
      <c r="C833" s="97">
        <v>0.0</v>
      </c>
    </row>
    <row r="834" ht="15.75" customHeight="1">
      <c r="A834" s="98">
        <v>44038.0</v>
      </c>
      <c r="B834" s="98">
        <v>44069.0</v>
      </c>
      <c r="C834" s="97">
        <v>0.0</v>
      </c>
    </row>
    <row r="835" ht="15.75" customHeight="1">
      <c r="A835" s="98">
        <v>44039.0</v>
      </c>
      <c r="B835" s="98">
        <v>44070.0</v>
      </c>
      <c r="C835" s="97">
        <v>0.0</v>
      </c>
    </row>
    <row r="836" ht="15.75" customHeight="1">
      <c r="A836" s="98">
        <v>44040.0</v>
      </c>
      <c r="B836" s="98">
        <v>44071.0</v>
      </c>
      <c r="C836" s="97">
        <v>0.0</v>
      </c>
    </row>
    <row r="837" ht="15.75" customHeight="1">
      <c r="A837" s="98">
        <v>44041.0</v>
      </c>
      <c r="B837" s="98">
        <v>44072.0</v>
      </c>
      <c r="C837" s="97">
        <v>0.0</v>
      </c>
    </row>
    <row r="838" ht="15.75" customHeight="1">
      <c r="A838" s="98">
        <v>44042.0</v>
      </c>
      <c r="B838" s="98">
        <v>44073.0</v>
      </c>
      <c r="C838" s="97">
        <v>0.0</v>
      </c>
    </row>
    <row r="839" ht="15.75" customHeight="1">
      <c r="A839" s="98">
        <v>44043.0</v>
      </c>
      <c r="B839" s="98">
        <v>44074.0</v>
      </c>
      <c r="C839" s="97">
        <v>0.0</v>
      </c>
    </row>
    <row r="840" ht="15.75" customHeight="1">
      <c r="A840" s="98">
        <v>44044.0</v>
      </c>
      <c r="B840" s="98">
        <v>44075.0</v>
      </c>
      <c r="C840" s="97">
        <v>0.0</v>
      </c>
    </row>
    <row r="841" ht="15.75" customHeight="1">
      <c r="A841" s="98">
        <v>44045.0</v>
      </c>
      <c r="B841" s="98">
        <v>44076.0</v>
      </c>
      <c r="C841" s="97">
        <v>0.0</v>
      </c>
    </row>
    <row r="842" ht="15.75" customHeight="1">
      <c r="A842" s="98">
        <v>44046.0</v>
      </c>
      <c r="B842" s="98">
        <v>44077.0</v>
      </c>
      <c r="C842" s="97">
        <v>0.0</v>
      </c>
    </row>
    <row r="843" ht="15.75" customHeight="1">
      <c r="A843" s="98">
        <v>44047.0</v>
      </c>
      <c r="B843" s="98">
        <v>44078.0</v>
      </c>
      <c r="C843" s="97">
        <v>0.0</v>
      </c>
    </row>
    <row r="844" ht="15.75" customHeight="1">
      <c r="A844" s="98">
        <v>44048.0</v>
      </c>
      <c r="B844" s="98">
        <v>44079.0</v>
      </c>
      <c r="C844" s="97">
        <v>0.0</v>
      </c>
    </row>
    <row r="845" ht="15.75" customHeight="1">
      <c r="A845" s="98">
        <v>44049.0</v>
      </c>
      <c r="B845" s="98">
        <v>44080.0</v>
      </c>
      <c r="C845" s="97">
        <v>0.0</v>
      </c>
    </row>
    <row r="846" ht="15.75" customHeight="1">
      <c r="A846" s="98">
        <v>44050.0</v>
      </c>
      <c r="B846" s="98">
        <v>44081.0</v>
      </c>
      <c r="C846" s="97">
        <v>0.0</v>
      </c>
    </row>
    <row r="847" ht="15.75" customHeight="1">
      <c r="A847" s="98">
        <v>44051.0</v>
      </c>
      <c r="B847" s="98">
        <v>44082.0</v>
      </c>
      <c r="C847" s="97">
        <v>0.0</v>
      </c>
    </row>
    <row r="848" ht="15.75" customHeight="1">
      <c r="A848" s="98">
        <v>44052.0</v>
      </c>
      <c r="B848" s="98">
        <v>44083.0</v>
      </c>
      <c r="C848" s="97">
        <v>0.0</v>
      </c>
    </row>
    <row r="849" ht="15.75" customHeight="1">
      <c r="A849" s="98">
        <v>44053.0</v>
      </c>
      <c r="B849" s="98">
        <v>44084.0</v>
      </c>
      <c r="C849" s="97">
        <v>0.0</v>
      </c>
    </row>
    <row r="850" ht="15.75" customHeight="1">
      <c r="A850" s="98">
        <v>44054.0</v>
      </c>
      <c r="B850" s="98">
        <v>44085.0</v>
      </c>
      <c r="C850" s="97">
        <v>0.0</v>
      </c>
    </row>
    <row r="851" ht="15.75" customHeight="1">
      <c r="A851" s="98">
        <v>44055.0</v>
      </c>
      <c r="B851" s="98">
        <v>44086.0</v>
      </c>
      <c r="C851" s="97">
        <v>0.0</v>
      </c>
    </row>
    <row r="852" ht="15.75" customHeight="1">
      <c r="A852" s="98">
        <v>44056.0</v>
      </c>
      <c r="B852" s="98">
        <v>44087.0</v>
      </c>
      <c r="C852" s="97">
        <v>0.0</v>
      </c>
    </row>
    <row r="853" ht="15.75" customHeight="1">
      <c r="A853" s="98">
        <v>44057.0</v>
      </c>
      <c r="B853" s="98">
        <v>44088.0</v>
      </c>
      <c r="C853" s="97">
        <v>0.0</v>
      </c>
    </row>
    <row r="854" ht="15.75" customHeight="1">
      <c r="A854" s="98">
        <v>44058.0</v>
      </c>
      <c r="B854" s="98">
        <v>44089.0</v>
      </c>
      <c r="C854" s="97">
        <v>0.0</v>
      </c>
    </row>
    <row r="855" ht="15.75" customHeight="1">
      <c r="A855" s="98">
        <v>44059.0</v>
      </c>
      <c r="B855" s="98">
        <v>44090.0</v>
      </c>
      <c r="C855" s="97">
        <v>0.0</v>
      </c>
    </row>
    <row r="856" ht="15.75" customHeight="1">
      <c r="A856" s="98">
        <v>44060.0</v>
      </c>
      <c r="B856" s="98">
        <v>44091.0</v>
      </c>
      <c r="C856" s="97">
        <v>0.0</v>
      </c>
    </row>
    <row r="857" ht="15.75" customHeight="1">
      <c r="A857" s="98">
        <v>44061.0</v>
      </c>
      <c r="B857" s="98">
        <v>44092.0</v>
      </c>
      <c r="C857" s="97">
        <v>0.0</v>
      </c>
    </row>
    <row r="858" ht="15.75" customHeight="1">
      <c r="A858" s="98">
        <v>44062.0</v>
      </c>
      <c r="B858" s="98">
        <v>44093.0</v>
      </c>
      <c r="C858" s="97">
        <v>0.0</v>
      </c>
    </row>
    <row r="859" ht="15.75" customHeight="1">
      <c r="A859" s="98">
        <v>44063.0</v>
      </c>
      <c r="B859" s="98">
        <v>44094.0</v>
      </c>
      <c r="C859" s="97">
        <v>0.0</v>
      </c>
    </row>
    <row r="860" ht="15.75" customHeight="1">
      <c r="A860" s="98">
        <v>44064.0</v>
      </c>
      <c r="B860" s="98">
        <v>44095.0</v>
      </c>
      <c r="C860" s="97">
        <v>0.0</v>
      </c>
    </row>
    <row r="861" ht="15.75" customHeight="1">
      <c r="A861" s="98">
        <v>44065.0</v>
      </c>
      <c r="B861" s="98">
        <v>44096.0</v>
      </c>
      <c r="C861" s="97">
        <v>0.0</v>
      </c>
    </row>
    <row r="862" ht="15.75" customHeight="1">
      <c r="A862" s="98">
        <v>44066.0</v>
      </c>
      <c r="B862" s="98">
        <v>44097.0</v>
      </c>
      <c r="C862" s="97">
        <v>0.0</v>
      </c>
    </row>
    <row r="863" ht="15.75" customHeight="1">
      <c r="A863" s="98">
        <v>44067.0</v>
      </c>
      <c r="B863" s="98">
        <v>44098.0</v>
      </c>
      <c r="C863" s="97">
        <v>0.0</v>
      </c>
    </row>
    <row r="864" ht="15.75" customHeight="1">
      <c r="A864" s="98">
        <v>44068.0</v>
      </c>
      <c r="B864" s="98">
        <v>44099.0</v>
      </c>
      <c r="C864" s="97">
        <v>0.0</v>
      </c>
    </row>
    <row r="865" ht="15.75" customHeight="1">
      <c r="A865" s="98">
        <v>44069.0</v>
      </c>
      <c r="B865" s="98">
        <v>44100.0</v>
      </c>
      <c r="C865" s="97">
        <v>0.0</v>
      </c>
    </row>
    <row r="866" ht="15.75" customHeight="1">
      <c r="A866" s="98">
        <v>44070.0</v>
      </c>
      <c r="B866" s="98">
        <v>44101.0</v>
      </c>
      <c r="C866" s="97">
        <v>0.0</v>
      </c>
    </row>
    <row r="867" ht="15.75" customHeight="1">
      <c r="A867" s="98">
        <v>44071.0</v>
      </c>
      <c r="B867" s="98">
        <v>44102.0</v>
      </c>
      <c r="C867" s="97">
        <v>0.0</v>
      </c>
    </row>
    <row r="868" ht="15.75" customHeight="1">
      <c r="A868" s="98">
        <v>44072.0</v>
      </c>
      <c r="B868" s="98">
        <v>44103.0</v>
      </c>
      <c r="C868" s="97">
        <v>0.0</v>
      </c>
    </row>
    <row r="869" ht="15.75" customHeight="1">
      <c r="A869" s="98">
        <v>44073.0</v>
      </c>
      <c r="B869" s="98">
        <v>44104.0</v>
      </c>
      <c r="C869" s="97">
        <v>0.0</v>
      </c>
    </row>
    <row r="870" ht="15.75" customHeight="1">
      <c r="A870" s="98">
        <v>44074.0</v>
      </c>
      <c r="B870" s="98">
        <v>44105.0</v>
      </c>
      <c r="C870" s="97">
        <v>0.0</v>
      </c>
    </row>
    <row r="871" ht="15.75" customHeight="1">
      <c r="A871" s="98">
        <v>44075.0</v>
      </c>
      <c r="B871" s="98">
        <v>44105.0</v>
      </c>
      <c r="C871" s="97">
        <v>0.0</v>
      </c>
    </row>
    <row r="872" ht="15.75" customHeight="1">
      <c r="A872" s="98">
        <v>44076.0</v>
      </c>
      <c r="B872" s="98">
        <v>44106.0</v>
      </c>
      <c r="C872" s="97">
        <v>0.0</v>
      </c>
    </row>
    <row r="873" ht="15.75" customHeight="1">
      <c r="A873" s="98">
        <v>44077.0</v>
      </c>
      <c r="B873" s="98">
        <v>44107.0</v>
      </c>
      <c r="C873" s="97">
        <v>0.0</v>
      </c>
    </row>
    <row r="874" ht="15.75" customHeight="1">
      <c r="A874" s="98">
        <v>44078.0</v>
      </c>
      <c r="B874" s="98">
        <v>44108.0</v>
      </c>
      <c r="C874" s="97">
        <v>0.0</v>
      </c>
    </row>
    <row r="875" ht="15.75" customHeight="1">
      <c r="A875" s="98">
        <v>44079.0</v>
      </c>
      <c r="B875" s="98">
        <v>44109.0</v>
      </c>
      <c r="C875" s="97">
        <v>0.0</v>
      </c>
    </row>
    <row r="876" ht="15.75" customHeight="1">
      <c r="A876" s="98">
        <v>44080.0</v>
      </c>
      <c r="B876" s="98">
        <v>44110.0</v>
      </c>
      <c r="C876" s="97">
        <v>0.0</v>
      </c>
    </row>
    <row r="877" ht="15.75" customHeight="1">
      <c r="A877" s="98">
        <v>44081.0</v>
      </c>
      <c r="B877" s="98">
        <v>44111.0</v>
      </c>
      <c r="C877" s="97">
        <v>0.0</v>
      </c>
    </row>
    <row r="878" ht="15.75" customHeight="1">
      <c r="A878" s="98">
        <v>44082.0</v>
      </c>
      <c r="B878" s="98">
        <v>44112.0</v>
      </c>
      <c r="C878" s="97">
        <v>0.0</v>
      </c>
    </row>
    <row r="879" ht="15.75" customHeight="1">
      <c r="A879" s="98">
        <v>44083.0</v>
      </c>
      <c r="B879" s="98">
        <v>44113.0</v>
      </c>
      <c r="C879" s="97">
        <v>0.0</v>
      </c>
    </row>
    <row r="880" ht="15.75" customHeight="1">
      <c r="A880" s="98">
        <v>44084.0</v>
      </c>
      <c r="B880" s="98">
        <v>44114.0</v>
      </c>
      <c r="C880" s="97">
        <v>0.0</v>
      </c>
    </row>
    <row r="881" ht="15.75" customHeight="1">
      <c r="A881" s="98">
        <v>44085.0</v>
      </c>
      <c r="B881" s="98">
        <v>44115.0</v>
      </c>
      <c r="C881" s="97">
        <v>0.0</v>
      </c>
    </row>
    <row r="882" ht="15.75" customHeight="1">
      <c r="A882" s="98">
        <v>44086.0</v>
      </c>
      <c r="B882" s="98">
        <v>44116.0</v>
      </c>
      <c r="C882" s="97">
        <v>0.0</v>
      </c>
    </row>
    <row r="883" ht="15.75" customHeight="1">
      <c r="A883" s="98">
        <v>44087.0</v>
      </c>
      <c r="B883" s="98">
        <v>44117.0</v>
      </c>
      <c r="C883" s="97">
        <v>0.0</v>
      </c>
    </row>
    <row r="884" ht="15.75" customHeight="1">
      <c r="A884" s="98">
        <v>44088.0</v>
      </c>
      <c r="B884" s="98">
        <v>44118.0</v>
      </c>
      <c r="C884" s="97">
        <v>0.0</v>
      </c>
    </row>
    <row r="885" ht="15.75" customHeight="1">
      <c r="A885" s="98">
        <v>44089.0</v>
      </c>
      <c r="B885" s="98">
        <v>44119.0</v>
      </c>
      <c r="C885" s="97">
        <v>0.0</v>
      </c>
    </row>
    <row r="886" ht="15.75" customHeight="1">
      <c r="A886" s="98">
        <v>44090.0</v>
      </c>
      <c r="B886" s="98">
        <v>44120.0</v>
      </c>
      <c r="C886" s="97">
        <v>0.0</v>
      </c>
    </row>
    <row r="887" ht="15.75" customHeight="1">
      <c r="A887" s="98">
        <v>44091.0</v>
      </c>
      <c r="B887" s="98">
        <v>44121.0</v>
      </c>
      <c r="C887" s="97">
        <v>0.0</v>
      </c>
    </row>
    <row r="888" ht="15.75" customHeight="1">
      <c r="A888" s="98">
        <v>44092.0</v>
      </c>
      <c r="B888" s="98">
        <v>44122.0</v>
      </c>
      <c r="C888" s="97">
        <v>0.0</v>
      </c>
    </row>
    <row r="889" ht="15.75" customHeight="1">
      <c r="A889" s="98">
        <v>44093.0</v>
      </c>
      <c r="B889" s="98">
        <v>44123.0</v>
      </c>
      <c r="C889" s="97">
        <v>0.0</v>
      </c>
    </row>
    <row r="890" ht="15.75" customHeight="1">
      <c r="A890" s="98">
        <v>44094.0</v>
      </c>
      <c r="B890" s="98">
        <v>44124.0</v>
      </c>
      <c r="C890" s="97">
        <v>0.0</v>
      </c>
    </row>
    <row r="891" ht="15.75" customHeight="1">
      <c r="A891" s="98">
        <v>44095.0</v>
      </c>
      <c r="B891" s="98">
        <v>44125.0</v>
      </c>
      <c r="C891" s="97">
        <v>0.0</v>
      </c>
    </row>
    <row r="892" ht="15.75" customHeight="1">
      <c r="A892" s="98">
        <v>44096.0</v>
      </c>
      <c r="B892" s="98">
        <v>44126.0</v>
      </c>
      <c r="C892" s="97">
        <v>0.0</v>
      </c>
    </row>
    <row r="893" ht="15.75" customHeight="1">
      <c r="A893" s="98">
        <v>44097.0</v>
      </c>
      <c r="B893" s="98">
        <v>44127.0</v>
      </c>
      <c r="C893" s="97">
        <v>0.0</v>
      </c>
    </row>
    <row r="894" ht="15.75" customHeight="1">
      <c r="A894" s="98">
        <v>44098.0</v>
      </c>
      <c r="B894" s="98">
        <v>44128.0</v>
      </c>
      <c r="C894" s="97">
        <v>0.0</v>
      </c>
    </row>
    <row r="895" ht="15.75" customHeight="1">
      <c r="A895" s="98">
        <v>44099.0</v>
      </c>
      <c r="B895" s="98">
        <v>44129.0</v>
      </c>
      <c r="C895" s="97">
        <v>0.0</v>
      </c>
    </row>
    <row r="896" ht="15.75" customHeight="1">
      <c r="A896" s="98">
        <v>44100.0</v>
      </c>
      <c r="B896" s="98">
        <v>44130.0</v>
      </c>
      <c r="C896" s="97">
        <v>0.0</v>
      </c>
    </row>
    <row r="897" ht="15.75" customHeight="1">
      <c r="A897" s="98">
        <v>44101.0</v>
      </c>
      <c r="B897" s="98">
        <v>44131.0</v>
      </c>
      <c r="C897" s="97">
        <v>0.0</v>
      </c>
    </row>
    <row r="898" ht="15.75" customHeight="1">
      <c r="A898" s="98">
        <v>44102.0</v>
      </c>
      <c r="B898" s="98">
        <v>44132.0</v>
      </c>
      <c r="C898" s="97">
        <v>0.0</v>
      </c>
    </row>
    <row r="899" ht="15.75" customHeight="1">
      <c r="A899" s="98">
        <v>44103.0</v>
      </c>
      <c r="B899" s="98">
        <v>44133.0</v>
      </c>
      <c r="C899" s="97">
        <v>0.0</v>
      </c>
    </row>
    <row r="900" ht="15.75" customHeight="1">
      <c r="A900" s="98">
        <v>44104.0</v>
      </c>
      <c r="B900" s="98">
        <v>44134.0</v>
      </c>
      <c r="C900" s="97">
        <v>0.0</v>
      </c>
    </row>
    <row r="901" ht="15.75" customHeight="1">
      <c r="A901" s="98">
        <v>44105.0</v>
      </c>
      <c r="B901" s="98">
        <v>44135.0</v>
      </c>
      <c r="C901" s="97">
        <v>0.0</v>
      </c>
    </row>
    <row r="902" ht="15.75" customHeight="1">
      <c r="A902" s="98">
        <v>44105.0</v>
      </c>
      <c r="B902" s="98">
        <v>44136.0</v>
      </c>
      <c r="C902" s="97">
        <v>0.0</v>
      </c>
    </row>
    <row r="903" ht="15.75" customHeight="1">
      <c r="A903" s="98">
        <v>44106.0</v>
      </c>
      <c r="B903" s="98">
        <v>44137.0</v>
      </c>
      <c r="C903" s="97">
        <v>0.0</v>
      </c>
    </row>
    <row r="904" ht="15.75" customHeight="1">
      <c r="A904" s="98">
        <v>44107.0</v>
      </c>
      <c r="B904" s="98">
        <v>44138.0</v>
      </c>
      <c r="C904" s="97">
        <v>0.0</v>
      </c>
    </row>
    <row r="905" ht="15.75" customHeight="1">
      <c r="A905" s="98">
        <v>44108.0</v>
      </c>
      <c r="B905" s="98">
        <v>44139.0</v>
      </c>
      <c r="C905" s="97">
        <v>0.0</v>
      </c>
    </row>
    <row r="906" ht="15.75" customHeight="1">
      <c r="A906" s="98">
        <v>44109.0</v>
      </c>
      <c r="B906" s="98">
        <v>44140.0</v>
      </c>
      <c r="C906" s="97">
        <v>0.0</v>
      </c>
    </row>
    <row r="907" ht="15.75" customHeight="1">
      <c r="A907" s="98">
        <v>44110.0</v>
      </c>
      <c r="B907" s="98">
        <v>44141.0</v>
      </c>
      <c r="C907" s="97">
        <v>0.0</v>
      </c>
    </row>
    <row r="908" ht="15.75" customHeight="1">
      <c r="A908" s="98">
        <v>44111.0</v>
      </c>
      <c r="B908" s="98">
        <v>44142.0</v>
      </c>
      <c r="C908" s="97">
        <v>0.0</v>
      </c>
    </row>
    <row r="909" ht="15.75" customHeight="1">
      <c r="A909" s="98">
        <v>44112.0</v>
      </c>
      <c r="B909" s="98">
        <v>44143.0</v>
      </c>
      <c r="C909" s="97">
        <v>0.0</v>
      </c>
    </row>
    <row r="910" ht="15.75" customHeight="1">
      <c r="A910" s="98">
        <v>44113.0</v>
      </c>
      <c r="B910" s="98">
        <v>44144.0</v>
      </c>
      <c r="C910" s="97">
        <v>0.0</v>
      </c>
    </row>
    <row r="911" ht="15.75" customHeight="1">
      <c r="A911" s="98">
        <v>44114.0</v>
      </c>
      <c r="B911" s="98">
        <v>44145.0</v>
      </c>
      <c r="C911" s="97">
        <v>0.0</v>
      </c>
    </row>
    <row r="912" ht="15.75" customHeight="1">
      <c r="A912" s="98">
        <v>44115.0</v>
      </c>
      <c r="B912" s="98">
        <v>44146.0</v>
      </c>
      <c r="C912" s="97">
        <v>0.0</v>
      </c>
    </row>
    <row r="913" ht="15.75" customHeight="1">
      <c r="A913" s="98">
        <v>44116.0</v>
      </c>
      <c r="B913" s="98">
        <v>44147.0</v>
      </c>
      <c r="C913" s="97">
        <v>0.0</v>
      </c>
    </row>
    <row r="914" ht="15.75" customHeight="1">
      <c r="A914" s="98">
        <v>44117.0</v>
      </c>
      <c r="B914" s="98">
        <v>44148.0</v>
      </c>
      <c r="C914" s="97">
        <v>0.0</v>
      </c>
    </row>
    <row r="915" ht="15.75" customHeight="1">
      <c r="A915" s="98">
        <v>44118.0</v>
      </c>
      <c r="B915" s="98">
        <v>44149.0</v>
      </c>
      <c r="C915" s="97">
        <v>0.0</v>
      </c>
    </row>
    <row r="916" ht="15.75" customHeight="1">
      <c r="A916" s="98">
        <v>44119.0</v>
      </c>
      <c r="B916" s="98">
        <v>44150.0</v>
      </c>
      <c r="C916" s="97">
        <v>0.0</v>
      </c>
    </row>
    <row r="917" ht="15.75" customHeight="1">
      <c r="A917" s="98">
        <v>44120.0</v>
      </c>
      <c r="B917" s="98">
        <v>44151.0</v>
      </c>
      <c r="C917" s="97">
        <v>0.0</v>
      </c>
    </row>
    <row r="918" ht="15.75" customHeight="1">
      <c r="A918" s="98">
        <v>44121.0</v>
      </c>
      <c r="B918" s="98">
        <v>44152.0</v>
      </c>
      <c r="C918" s="97">
        <v>0.0</v>
      </c>
    </row>
    <row r="919" ht="15.75" customHeight="1">
      <c r="A919" s="98">
        <v>44122.0</v>
      </c>
      <c r="B919" s="98">
        <v>44153.0</v>
      </c>
      <c r="C919" s="97">
        <v>0.0</v>
      </c>
    </row>
    <row r="920" ht="15.75" customHeight="1">
      <c r="A920" s="98">
        <v>44123.0</v>
      </c>
      <c r="B920" s="98">
        <v>44154.0</v>
      </c>
      <c r="C920" s="97">
        <v>0.0</v>
      </c>
    </row>
    <row r="921" ht="15.75" customHeight="1">
      <c r="A921" s="98">
        <v>44124.0</v>
      </c>
      <c r="B921" s="98">
        <v>44155.0</v>
      </c>
      <c r="C921" s="97">
        <v>0.0</v>
      </c>
    </row>
    <row r="922" ht="15.75" customHeight="1">
      <c r="A922" s="98">
        <v>44125.0</v>
      </c>
      <c r="B922" s="98">
        <v>44156.0</v>
      </c>
      <c r="C922" s="97">
        <v>0.0</v>
      </c>
    </row>
    <row r="923" ht="15.75" customHeight="1">
      <c r="A923" s="98">
        <v>44126.0</v>
      </c>
      <c r="B923" s="98">
        <v>44157.0</v>
      </c>
      <c r="C923" s="97">
        <v>0.0</v>
      </c>
    </row>
    <row r="924" ht="15.75" customHeight="1">
      <c r="A924" s="98">
        <v>44127.0</v>
      </c>
      <c r="B924" s="98">
        <v>44158.0</v>
      </c>
      <c r="C924" s="97">
        <v>0.0</v>
      </c>
    </row>
    <row r="925" ht="15.75" customHeight="1">
      <c r="A925" s="98">
        <v>44128.0</v>
      </c>
      <c r="B925" s="98">
        <v>44159.0</v>
      </c>
      <c r="C925" s="97">
        <v>0.0</v>
      </c>
    </row>
    <row r="926" ht="15.75" customHeight="1">
      <c r="A926" s="98">
        <v>44129.0</v>
      </c>
      <c r="B926" s="98">
        <v>44160.0</v>
      </c>
      <c r="C926" s="97">
        <v>0.0</v>
      </c>
    </row>
    <row r="927" ht="15.75" customHeight="1">
      <c r="A927" s="98">
        <v>44130.0</v>
      </c>
      <c r="B927" s="98">
        <v>44161.0</v>
      </c>
      <c r="C927" s="97">
        <v>0.0</v>
      </c>
    </row>
    <row r="928" ht="15.75" customHeight="1">
      <c r="A928" s="98">
        <v>44131.0</v>
      </c>
      <c r="B928" s="98">
        <v>44162.0</v>
      </c>
      <c r="C928" s="97">
        <v>0.0</v>
      </c>
    </row>
    <row r="929" ht="15.75" customHeight="1">
      <c r="A929" s="98">
        <v>44132.0</v>
      </c>
      <c r="B929" s="98">
        <v>44163.0</v>
      </c>
      <c r="C929" s="97">
        <v>0.0</v>
      </c>
    </row>
    <row r="930" ht="15.75" customHeight="1">
      <c r="A930" s="98">
        <v>44133.0</v>
      </c>
      <c r="B930" s="98">
        <v>44164.0</v>
      </c>
      <c r="C930" s="97">
        <v>0.0</v>
      </c>
    </row>
    <row r="931" ht="15.75" customHeight="1">
      <c r="A931" s="98">
        <v>44134.0</v>
      </c>
      <c r="B931" s="98">
        <v>44165.0</v>
      </c>
      <c r="C931" s="97">
        <v>0.0</v>
      </c>
    </row>
    <row r="932" ht="15.75" customHeight="1">
      <c r="A932" s="98">
        <v>44135.0</v>
      </c>
      <c r="B932" s="98">
        <v>44166.0</v>
      </c>
      <c r="C932" s="97">
        <v>0.0</v>
      </c>
    </row>
    <row r="933" ht="15.75" customHeight="1">
      <c r="A933" s="98">
        <v>44136.0</v>
      </c>
      <c r="B933" s="98">
        <v>44166.0</v>
      </c>
      <c r="C933" s="97">
        <v>0.0</v>
      </c>
    </row>
    <row r="934" ht="15.75" customHeight="1">
      <c r="A934" s="98">
        <v>44137.0</v>
      </c>
      <c r="B934" s="98">
        <v>44167.0</v>
      </c>
      <c r="C934" s="97">
        <v>0.0</v>
      </c>
    </row>
    <row r="935" ht="15.75" customHeight="1">
      <c r="A935" s="98">
        <v>44138.0</v>
      </c>
      <c r="B935" s="98">
        <v>44168.0</v>
      </c>
      <c r="C935" s="97">
        <v>0.0</v>
      </c>
    </row>
    <row r="936" ht="15.75" customHeight="1">
      <c r="A936" s="98">
        <v>44139.0</v>
      </c>
      <c r="B936" s="98">
        <v>44169.0</v>
      </c>
      <c r="C936" s="97">
        <v>0.0</v>
      </c>
    </row>
    <row r="937" ht="15.75" customHeight="1">
      <c r="A937" s="98">
        <v>44140.0</v>
      </c>
      <c r="B937" s="98">
        <v>44170.0</v>
      </c>
      <c r="C937" s="97">
        <v>0.0</v>
      </c>
    </row>
    <row r="938" ht="15.75" customHeight="1">
      <c r="A938" s="98">
        <v>44141.0</v>
      </c>
      <c r="B938" s="98">
        <v>44171.0</v>
      </c>
      <c r="C938" s="97">
        <v>0.0</v>
      </c>
    </row>
    <row r="939" ht="15.75" customHeight="1">
      <c r="A939" s="98">
        <v>44142.0</v>
      </c>
      <c r="B939" s="98">
        <v>44172.0</v>
      </c>
      <c r="C939" s="97">
        <v>0.0</v>
      </c>
    </row>
    <row r="940" ht="15.75" customHeight="1">
      <c r="A940" s="98">
        <v>44143.0</v>
      </c>
      <c r="B940" s="98">
        <v>44173.0</v>
      </c>
      <c r="C940" s="97">
        <v>0.0</v>
      </c>
    </row>
    <row r="941" ht="15.75" customHeight="1">
      <c r="A941" s="98">
        <v>44144.0</v>
      </c>
      <c r="B941" s="98">
        <v>44174.0</v>
      </c>
      <c r="C941" s="97">
        <v>0.0</v>
      </c>
    </row>
    <row r="942" ht="15.75" customHeight="1">
      <c r="A942" s="98">
        <v>44145.0</v>
      </c>
      <c r="B942" s="98">
        <v>44175.0</v>
      </c>
      <c r="C942" s="97">
        <v>0.0</v>
      </c>
    </row>
    <row r="943" ht="15.75" customHeight="1">
      <c r="A943" s="98">
        <v>44146.0</v>
      </c>
      <c r="B943" s="98">
        <v>44176.0</v>
      </c>
      <c r="C943" s="97">
        <v>0.0</v>
      </c>
    </row>
    <row r="944" ht="15.75" customHeight="1">
      <c r="A944" s="98">
        <v>44147.0</v>
      </c>
      <c r="B944" s="98">
        <v>44177.0</v>
      </c>
      <c r="C944" s="97">
        <v>0.0</v>
      </c>
    </row>
    <row r="945" ht="15.75" customHeight="1">
      <c r="A945" s="98">
        <v>44148.0</v>
      </c>
      <c r="B945" s="98">
        <v>44178.0</v>
      </c>
      <c r="C945" s="97">
        <v>0.0</v>
      </c>
    </row>
    <row r="946" ht="15.75" customHeight="1">
      <c r="A946" s="98">
        <v>44149.0</v>
      </c>
      <c r="B946" s="98">
        <v>44179.0</v>
      </c>
      <c r="C946" s="97">
        <v>0.0</v>
      </c>
    </row>
    <row r="947" ht="15.75" customHeight="1">
      <c r="A947" s="98">
        <v>44150.0</v>
      </c>
      <c r="B947" s="98">
        <v>44180.0</v>
      </c>
      <c r="C947" s="97">
        <v>0.0</v>
      </c>
    </row>
    <row r="948" ht="15.75" customHeight="1">
      <c r="A948" s="98">
        <v>44151.0</v>
      </c>
      <c r="B948" s="98">
        <v>44181.0</v>
      </c>
      <c r="C948" s="97">
        <v>0.0</v>
      </c>
    </row>
    <row r="949" ht="15.75" customHeight="1">
      <c r="A949" s="98">
        <v>44152.0</v>
      </c>
      <c r="B949" s="98">
        <v>44182.0</v>
      </c>
      <c r="C949" s="97">
        <v>0.0</v>
      </c>
    </row>
    <row r="950" ht="15.75" customHeight="1">
      <c r="A950" s="98">
        <v>44153.0</v>
      </c>
      <c r="B950" s="98">
        <v>44183.0</v>
      </c>
      <c r="C950" s="97">
        <v>0.0</v>
      </c>
    </row>
    <row r="951" ht="15.75" customHeight="1">
      <c r="A951" s="98">
        <v>44154.0</v>
      </c>
      <c r="B951" s="98">
        <v>44184.0</v>
      </c>
      <c r="C951" s="97">
        <v>0.0</v>
      </c>
    </row>
    <row r="952" ht="15.75" customHeight="1">
      <c r="A952" s="98">
        <v>44155.0</v>
      </c>
      <c r="B952" s="98">
        <v>44185.0</v>
      </c>
      <c r="C952" s="97">
        <v>0.0</v>
      </c>
    </row>
    <row r="953" ht="15.75" customHeight="1">
      <c r="A953" s="98">
        <v>44156.0</v>
      </c>
      <c r="B953" s="98">
        <v>44186.0</v>
      </c>
      <c r="C953" s="97">
        <v>0.0</v>
      </c>
    </row>
    <row r="954" ht="15.75" customHeight="1">
      <c r="A954" s="98">
        <v>44157.0</v>
      </c>
      <c r="B954" s="98">
        <v>44187.0</v>
      </c>
      <c r="C954" s="97">
        <v>0.0</v>
      </c>
    </row>
    <row r="955" ht="15.75" customHeight="1">
      <c r="A955" s="98">
        <v>44158.0</v>
      </c>
      <c r="B955" s="98">
        <v>44188.0</v>
      </c>
      <c r="C955" s="97">
        <v>0.0</v>
      </c>
    </row>
    <row r="956" ht="15.75" customHeight="1">
      <c r="A956" s="98">
        <v>44159.0</v>
      </c>
      <c r="B956" s="98">
        <v>44189.0</v>
      </c>
      <c r="C956" s="97">
        <v>0.0</v>
      </c>
    </row>
    <row r="957" ht="15.75" customHeight="1">
      <c r="A957" s="98">
        <v>44160.0</v>
      </c>
      <c r="B957" s="98">
        <v>44190.0</v>
      </c>
      <c r="C957" s="97">
        <v>0.0</v>
      </c>
    </row>
    <row r="958" ht="15.75" customHeight="1">
      <c r="A958" s="98">
        <v>44161.0</v>
      </c>
      <c r="B958" s="98">
        <v>44191.0</v>
      </c>
      <c r="C958" s="97">
        <v>0.0</v>
      </c>
    </row>
    <row r="959" ht="15.75" customHeight="1">
      <c r="A959" s="98">
        <v>44162.0</v>
      </c>
      <c r="B959" s="98">
        <v>44192.0</v>
      </c>
      <c r="C959" s="97">
        <v>0.0</v>
      </c>
    </row>
    <row r="960" ht="15.75" customHeight="1">
      <c r="A960" s="98">
        <v>44163.0</v>
      </c>
      <c r="B960" s="98">
        <v>44193.0</v>
      </c>
      <c r="C960" s="97">
        <v>0.0</v>
      </c>
    </row>
    <row r="961" ht="15.75" customHeight="1">
      <c r="A961" s="98">
        <v>44164.0</v>
      </c>
      <c r="B961" s="98">
        <v>44194.0</v>
      </c>
      <c r="C961" s="97">
        <v>0.0</v>
      </c>
    </row>
    <row r="962" ht="15.75" customHeight="1">
      <c r="A962" s="98">
        <v>44165.0</v>
      </c>
      <c r="B962" s="98">
        <v>44195.0</v>
      </c>
      <c r="C962" s="97">
        <v>0.0</v>
      </c>
    </row>
    <row r="963" ht="15.75" customHeight="1">
      <c r="A963" s="98">
        <v>44166.0</v>
      </c>
      <c r="B963" s="98">
        <v>44196.0</v>
      </c>
      <c r="C963" s="97">
        <v>0.0</v>
      </c>
    </row>
    <row r="964" ht="15.75" customHeight="1">
      <c r="A964" s="98">
        <v>44166.0</v>
      </c>
      <c r="B964" s="98">
        <v>44197.0</v>
      </c>
      <c r="C964" s="97">
        <v>0.0</v>
      </c>
    </row>
    <row r="965" ht="15.75" customHeight="1">
      <c r="A965" s="98">
        <v>44167.0</v>
      </c>
      <c r="B965" s="98">
        <v>44198.0</v>
      </c>
      <c r="C965" s="97">
        <v>0.0</v>
      </c>
    </row>
    <row r="966" ht="15.75" customHeight="1">
      <c r="A966" s="98">
        <v>44168.0</v>
      </c>
      <c r="B966" s="98">
        <v>44199.0</v>
      </c>
      <c r="C966" s="97">
        <v>0.0</v>
      </c>
    </row>
    <row r="967" ht="15.75" customHeight="1">
      <c r="A967" s="98">
        <v>44169.0</v>
      </c>
      <c r="B967" s="98">
        <v>44200.0</v>
      </c>
      <c r="C967" s="97">
        <v>0.0</v>
      </c>
    </row>
    <row r="968" ht="15.75" customHeight="1">
      <c r="A968" s="98">
        <v>44170.0</v>
      </c>
      <c r="B968" s="98">
        <v>44201.0</v>
      </c>
      <c r="C968" s="97">
        <v>0.0</v>
      </c>
    </row>
    <row r="969" ht="15.75" customHeight="1">
      <c r="A969" s="98">
        <v>44171.0</v>
      </c>
      <c r="B969" s="98">
        <v>44202.0</v>
      </c>
      <c r="C969" s="97">
        <v>0.0</v>
      </c>
    </row>
    <row r="970" ht="15.75" customHeight="1">
      <c r="A970" s="98">
        <v>44172.0</v>
      </c>
      <c r="B970" s="98">
        <v>44203.0</v>
      </c>
      <c r="C970" s="97">
        <v>0.0</v>
      </c>
    </row>
    <row r="971" ht="15.75" customHeight="1">
      <c r="A971" s="98">
        <v>44173.0</v>
      </c>
      <c r="B971" s="98">
        <v>44204.0</v>
      </c>
      <c r="C971" s="97">
        <v>0.0</v>
      </c>
    </row>
    <row r="972" ht="15.75" customHeight="1">
      <c r="A972" s="98">
        <v>44174.0</v>
      </c>
      <c r="B972" s="98">
        <v>44205.0</v>
      </c>
      <c r="C972" s="97">
        <v>0.0</v>
      </c>
    </row>
    <row r="973" ht="15.75" customHeight="1">
      <c r="A973" s="98">
        <v>44175.0</v>
      </c>
      <c r="B973" s="98">
        <v>44206.0</v>
      </c>
      <c r="C973" s="97">
        <v>0.0</v>
      </c>
    </row>
    <row r="974" ht="15.75" customHeight="1">
      <c r="A974" s="98">
        <v>44176.0</v>
      </c>
      <c r="B974" s="98">
        <v>44207.0</v>
      </c>
      <c r="C974" s="97">
        <v>0.0</v>
      </c>
    </row>
    <row r="975" ht="15.75" customHeight="1">
      <c r="A975" s="98">
        <v>44177.0</v>
      </c>
      <c r="B975" s="98">
        <v>44208.0</v>
      </c>
      <c r="C975" s="97">
        <v>0.0</v>
      </c>
    </row>
    <row r="976" ht="15.75" customHeight="1">
      <c r="A976" s="98">
        <v>44178.0</v>
      </c>
      <c r="B976" s="98">
        <v>44209.0</v>
      </c>
      <c r="C976" s="97">
        <v>0.0</v>
      </c>
    </row>
    <row r="977" ht="15.75" customHeight="1">
      <c r="A977" s="98">
        <v>44179.0</v>
      </c>
      <c r="B977" s="98">
        <v>44210.0</v>
      </c>
      <c r="C977" s="97">
        <v>0.0</v>
      </c>
    </row>
    <row r="978" ht="15.75" customHeight="1">
      <c r="A978" s="98">
        <v>44180.0</v>
      </c>
      <c r="B978" s="98">
        <v>44211.0</v>
      </c>
      <c r="C978" s="97">
        <v>0.0</v>
      </c>
    </row>
    <row r="979" ht="15.75" customHeight="1">
      <c r="A979" s="98">
        <v>44181.0</v>
      </c>
      <c r="B979" s="98">
        <v>44212.0</v>
      </c>
      <c r="C979" s="97">
        <v>0.0</v>
      </c>
    </row>
    <row r="980" ht="15.75" customHeight="1">
      <c r="A980" s="98">
        <v>44182.0</v>
      </c>
      <c r="B980" s="98">
        <v>44213.0</v>
      </c>
      <c r="C980" s="97">
        <v>0.0</v>
      </c>
    </row>
    <row r="981" ht="15.75" customHeight="1">
      <c r="A981" s="98">
        <v>44183.0</v>
      </c>
      <c r="B981" s="98">
        <v>44214.0</v>
      </c>
      <c r="C981" s="97">
        <v>0.0</v>
      </c>
    </row>
    <row r="982" ht="15.75" customHeight="1">
      <c r="A982" s="98">
        <v>44184.0</v>
      </c>
      <c r="B982" s="98">
        <v>44215.0</v>
      </c>
      <c r="C982" s="97">
        <v>0.0</v>
      </c>
    </row>
    <row r="983" ht="15.75" customHeight="1">
      <c r="A983" s="98">
        <v>44185.0</v>
      </c>
      <c r="B983" s="98">
        <v>44216.0</v>
      </c>
      <c r="C983" s="97">
        <v>0.0</v>
      </c>
    </row>
    <row r="984" ht="15.75" customHeight="1">
      <c r="A984" s="98">
        <v>44186.0</v>
      </c>
      <c r="B984" s="98">
        <v>44217.0</v>
      </c>
      <c r="C984" s="97">
        <v>0.0</v>
      </c>
    </row>
    <row r="985" ht="15.75" customHeight="1">
      <c r="A985" s="98">
        <v>44187.0</v>
      </c>
      <c r="B985" s="98">
        <v>44218.0</v>
      </c>
      <c r="C985" s="97">
        <v>0.0</v>
      </c>
    </row>
    <row r="986" ht="15.75" customHeight="1">
      <c r="A986" s="98">
        <v>44188.0</v>
      </c>
      <c r="B986" s="98">
        <v>44219.0</v>
      </c>
      <c r="C986" s="97">
        <v>0.0</v>
      </c>
    </row>
    <row r="987" ht="15.75" customHeight="1">
      <c r="A987" s="98">
        <v>44189.0</v>
      </c>
      <c r="B987" s="98">
        <v>44220.0</v>
      </c>
      <c r="C987" s="97">
        <v>0.0</v>
      </c>
    </row>
    <row r="988" ht="15.75" customHeight="1">
      <c r="A988" s="98">
        <v>44190.0</v>
      </c>
      <c r="B988" s="98">
        <v>44221.0</v>
      </c>
      <c r="C988" s="97">
        <v>0.0</v>
      </c>
    </row>
    <row r="989" ht="15.75" customHeight="1">
      <c r="A989" s="98">
        <v>44191.0</v>
      </c>
      <c r="B989" s="98">
        <v>44222.0</v>
      </c>
      <c r="C989" s="97">
        <v>0.0</v>
      </c>
    </row>
    <row r="990" ht="15.75" customHeight="1">
      <c r="A990" s="98">
        <v>44192.0</v>
      </c>
      <c r="B990" s="98">
        <v>44223.0</v>
      </c>
      <c r="C990" s="97">
        <v>0.0</v>
      </c>
    </row>
    <row r="991" ht="15.75" customHeight="1">
      <c r="A991" s="98">
        <v>44193.0</v>
      </c>
      <c r="B991" s="98">
        <v>44224.0</v>
      </c>
      <c r="C991" s="97">
        <v>0.0</v>
      </c>
    </row>
    <row r="992" ht="15.75" customHeight="1">
      <c r="A992" s="98">
        <v>44194.0</v>
      </c>
      <c r="B992" s="98">
        <v>44225.0</v>
      </c>
      <c r="C992" s="97">
        <v>0.0</v>
      </c>
    </row>
    <row r="993" ht="15.75" customHeight="1">
      <c r="A993" s="98">
        <v>44195.0</v>
      </c>
      <c r="B993" s="98">
        <v>44226.0</v>
      </c>
      <c r="C993" s="97">
        <v>0.0</v>
      </c>
    </row>
    <row r="994" ht="15.75" customHeight="1">
      <c r="A994" s="98">
        <v>44196.0</v>
      </c>
      <c r="B994" s="98">
        <v>44227.0</v>
      </c>
      <c r="C994" s="97">
        <v>0.0</v>
      </c>
    </row>
    <row r="995" ht="15.75" customHeight="1">
      <c r="A995" s="98">
        <v>44197.0</v>
      </c>
      <c r="B995" s="98">
        <v>44228.0</v>
      </c>
      <c r="C995" s="97">
        <v>0.0</v>
      </c>
    </row>
    <row r="996" ht="15.75" customHeight="1">
      <c r="A996" s="98">
        <v>44198.0</v>
      </c>
      <c r="B996" s="98">
        <v>44229.0</v>
      </c>
      <c r="C996" s="97">
        <v>0.0</v>
      </c>
    </row>
    <row r="997" ht="15.75" customHeight="1">
      <c r="A997" s="98">
        <v>44199.0</v>
      </c>
      <c r="B997" s="98">
        <v>44230.0</v>
      </c>
      <c r="C997" s="97">
        <v>0.0</v>
      </c>
    </row>
    <row r="998" ht="15.75" customHeight="1">
      <c r="A998" s="98">
        <v>44200.0</v>
      </c>
      <c r="B998" s="98">
        <v>44231.0</v>
      </c>
      <c r="C998" s="97">
        <v>0.0</v>
      </c>
    </row>
    <row r="999" ht="15.75" customHeight="1">
      <c r="A999" s="98">
        <v>44201.0</v>
      </c>
      <c r="B999" s="98">
        <v>44232.0</v>
      </c>
      <c r="C999" s="97">
        <v>0.0</v>
      </c>
    </row>
    <row r="1000" ht="15.75" customHeight="1">
      <c r="A1000" s="98">
        <v>44202.0</v>
      </c>
      <c r="B1000" s="98">
        <v>44233.0</v>
      </c>
      <c r="C1000" s="97">
        <v>0.0</v>
      </c>
    </row>
    <row r="1001" ht="15.75" customHeight="1">
      <c r="A1001" s="98">
        <v>44203.0</v>
      </c>
      <c r="B1001" s="98">
        <v>44234.0</v>
      </c>
      <c r="C1001" s="97">
        <v>0.0</v>
      </c>
    </row>
    <row r="1002" ht="15.75" customHeight="1">
      <c r="A1002" s="98">
        <v>44204.0</v>
      </c>
      <c r="B1002" s="98">
        <v>44235.0</v>
      </c>
      <c r="C1002" s="97">
        <v>0.0</v>
      </c>
    </row>
    <row r="1003" ht="15.75" customHeight="1">
      <c r="A1003" s="98">
        <v>44205.0</v>
      </c>
      <c r="B1003" s="98">
        <v>44236.0</v>
      </c>
      <c r="C1003" s="97">
        <v>0.0</v>
      </c>
    </row>
    <row r="1004" ht="15.75" customHeight="1">
      <c r="A1004" s="98">
        <v>44206.0</v>
      </c>
      <c r="B1004" s="98">
        <v>44237.0</v>
      </c>
      <c r="C1004" s="97">
        <v>0.0</v>
      </c>
    </row>
    <row r="1005" ht="15.75" customHeight="1">
      <c r="A1005" s="98">
        <v>44207.0</v>
      </c>
      <c r="B1005" s="98">
        <v>44238.0</v>
      </c>
      <c r="C1005" s="97">
        <v>0.0</v>
      </c>
    </row>
    <row r="1006" ht="15.75" customHeight="1">
      <c r="A1006" s="98">
        <v>44208.0</v>
      </c>
      <c r="B1006" s="98">
        <v>44239.0</v>
      </c>
      <c r="C1006" s="97">
        <v>0.0</v>
      </c>
    </row>
    <row r="1007" ht="15.75" customHeight="1">
      <c r="A1007" s="98">
        <v>44209.0</v>
      </c>
      <c r="B1007" s="98">
        <v>44240.0</v>
      </c>
      <c r="C1007" s="97">
        <v>0.0</v>
      </c>
    </row>
    <row r="1008" ht="15.75" customHeight="1">
      <c r="A1008" s="98">
        <v>44210.0</v>
      </c>
      <c r="B1008" s="98">
        <v>44241.0</v>
      </c>
      <c r="C1008" s="97">
        <v>0.0</v>
      </c>
    </row>
    <row r="1009" ht="15.75" customHeight="1">
      <c r="A1009" s="98">
        <v>44211.0</v>
      </c>
      <c r="B1009" s="98">
        <v>44242.0</v>
      </c>
      <c r="C1009" s="97">
        <v>0.0</v>
      </c>
    </row>
    <row r="1010" ht="15.75" customHeight="1">
      <c r="A1010" s="98">
        <v>44212.0</v>
      </c>
      <c r="B1010" s="98">
        <v>44243.0</v>
      </c>
      <c r="C1010" s="97">
        <v>0.0</v>
      </c>
    </row>
    <row r="1011" ht="15.75" customHeight="1">
      <c r="A1011" s="98">
        <v>44213.0</v>
      </c>
      <c r="B1011" s="98">
        <v>44244.0</v>
      </c>
      <c r="C1011" s="97">
        <v>0.0</v>
      </c>
    </row>
    <row r="1012" ht="15.75" customHeight="1">
      <c r="A1012" s="98">
        <v>44214.0</v>
      </c>
      <c r="B1012" s="98">
        <v>44245.0</v>
      </c>
      <c r="C1012" s="97">
        <v>0.0</v>
      </c>
    </row>
    <row r="1013" ht="15.75" customHeight="1">
      <c r="A1013" s="98">
        <v>44215.0</v>
      </c>
      <c r="B1013" s="98">
        <v>44246.0</v>
      </c>
      <c r="C1013" s="97">
        <v>0.0</v>
      </c>
    </row>
    <row r="1014" ht="15.75" customHeight="1">
      <c r="A1014" s="98">
        <v>44216.0</v>
      </c>
      <c r="B1014" s="98">
        <v>44247.0</v>
      </c>
      <c r="C1014" s="97">
        <v>0.0</v>
      </c>
    </row>
    <row r="1015" ht="15.75" customHeight="1">
      <c r="A1015" s="98">
        <v>44217.0</v>
      </c>
      <c r="B1015" s="98">
        <v>44248.0</v>
      </c>
      <c r="C1015" s="97">
        <v>0.0</v>
      </c>
    </row>
    <row r="1016" ht="15.75" customHeight="1">
      <c r="A1016" s="98">
        <v>44218.0</v>
      </c>
      <c r="B1016" s="98">
        <v>44249.0</v>
      </c>
      <c r="C1016" s="97">
        <v>0.0</v>
      </c>
    </row>
    <row r="1017" ht="15.75" customHeight="1">
      <c r="A1017" s="98">
        <v>44219.0</v>
      </c>
      <c r="B1017" s="98">
        <v>44250.0</v>
      </c>
      <c r="C1017" s="97">
        <v>0.0</v>
      </c>
    </row>
    <row r="1018" ht="15.75" customHeight="1">
      <c r="A1018" s="98">
        <v>44220.0</v>
      </c>
      <c r="B1018" s="98">
        <v>44251.0</v>
      </c>
      <c r="C1018" s="97">
        <v>0.0</v>
      </c>
    </row>
    <row r="1019" ht="15.75" customHeight="1">
      <c r="A1019" s="98">
        <v>44221.0</v>
      </c>
      <c r="B1019" s="98">
        <v>44252.0</v>
      </c>
      <c r="C1019" s="97">
        <v>0.0</v>
      </c>
    </row>
    <row r="1020" ht="15.75" customHeight="1">
      <c r="A1020" s="98">
        <v>44222.0</v>
      </c>
      <c r="B1020" s="98">
        <v>44253.0</v>
      </c>
      <c r="C1020" s="97">
        <v>0.0</v>
      </c>
    </row>
    <row r="1021" ht="15.75" customHeight="1">
      <c r="A1021" s="98">
        <v>44223.0</v>
      </c>
      <c r="B1021" s="98">
        <v>44254.0</v>
      </c>
      <c r="C1021" s="97">
        <v>0.0</v>
      </c>
    </row>
    <row r="1022" ht="15.75" customHeight="1">
      <c r="A1022" s="98">
        <v>44224.0</v>
      </c>
      <c r="B1022" s="98">
        <v>44255.0</v>
      </c>
      <c r="C1022" s="97">
        <v>0.0</v>
      </c>
    </row>
    <row r="1023" ht="15.75" customHeight="1">
      <c r="A1023" s="98">
        <v>44225.0</v>
      </c>
      <c r="B1023" s="98">
        <v>44256.0</v>
      </c>
      <c r="C1023" s="97">
        <v>0.0</v>
      </c>
    </row>
    <row r="1024" ht="15.75" customHeight="1">
      <c r="A1024" s="98">
        <v>44226.0</v>
      </c>
      <c r="B1024" s="98">
        <v>44256.0</v>
      </c>
      <c r="C1024" s="97">
        <v>0.0</v>
      </c>
    </row>
    <row r="1025" ht="15.75" customHeight="1">
      <c r="A1025" s="98">
        <v>44227.0</v>
      </c>
      <c r="B1025" s="98">
        <v>44256.0</v>
      </c>
      <c r="C1025" s="97">
        <v>0.0</v>
      </c>
    </row>
    <row r="1026" ht="15.75" customHeight="1">
      <c r="A1026" s="98">
        <v>44228.0</v>
      </c>
      <c r="B1026" s="98">
        <v>44256.0</v>
      </c>
      <c r="C1026" s="97">
        <v>0.0</v>
      </c>
    </row>
    <row r="1027" ht="15.75" customHeight="1">
      <c r="A1027" s="98">
        <v>44229.0</v>
      </c>
      <c r="B1027" s="98">
        <v>44257.0</v>
      </c>
      <c r="C1027" s="97">
        <v>0.0</v>
      </c>
    </row>
    <row r="1028" ht="15.75" customHeight="1">
      <c r="A1028" s="98">
        <v>44230.0</v>
      </c>
      <c r="B1028" s="98">
        <v>44258.0</v>
      </c>
      <c r="C1028" s="97">
        <v>0.0</v>
      </c>
    </row>
    <row r="1029" ht="15.75" customHeight="1">
      <c r="A1029" s="98">
        <v>44231.0</v>
      </c>
      <c r="B1029" s="98">
        <v>44259.0</v>
      </c>
      <c r="C1029" s="97">
        <v>0.0</v>
      </c>
    </row>
    <row r="1030" ht="15.75" customHeight="1">
      <c r="A1030" s="98">
        <v>44232.0</v>
      </c>
      <c r="B1030" s="98">
        <v>44260.0</v>
      </c>
      <c r="C1030" s="97">
        <v>0.0</v>
      </c>
    </row>
    <row r="1031" ht="15.75" customHeight="1">
      <c r="A1031" s="98">
        <v>44233.0</v>
      </c>
      <c r="B1031" s="98">
        <v>44261.0</v>
      </c>
      <c r="C1031" s="97">
        <v>0.0</v>
      </c>
    </row>
    <row r="1032" ht="15.75" customHeight="1">
      <c r="A1032" s="98">
        <v>44234.0</v>
      </c>
      <c r="B1032" s="98">
        <v>44262.0</v>
      </c>
      <c r="C1032" s="97">
        <v>0.0</v>
      </c>
    </row>
    <row r="1033" ht="15.75" customHeight="1">
      <c r="A1033" s="98">
        <v>44235.0</v>
      </c>
      <c r="B1033" s="98">
        <v>44263.0</v>
      </c>
      <c r="C1033" s="97">
        <v>0.0</v>
      </c>
    </row>
    <row r="1034" ht="15.75" customHeight="1">
      <c r="A1034" s="98">
        <v>44236.0</v>
      </c>
      <c r="B1034" s="98">
        <v>44264.0</v>
      </c>
      <c r="C1034" s="97">
        <v>0.0</v>
      </c>
    </row>
    <row r="1035" ht="15.75" customHeight="1">
      <c r="A1035" s="98">
        <v>44237.0</v>
      </c>
      <c r="B1035" s="98">
        <v>44265.0</v>
      </c>
      <c r="C1035" s="97">
        <v>0.0</v>
      </c>
    </row>
    <row r="1036" ht="15.75" customHeight="1">
      <c r="A1036" s="98">
        <v>44238.0</v>
      </c>
      <c r="B1036" s="98">
        <v>44266.0</v>
      </c>
      <c r="C1036" s="97">
        <v>0.0</v>
      </c>
    </row>
    <row r="1037" ht="15.75" customHeight="1">
      <c r="A1037" s="98">
        <v>44239.0</v>
      </c>
      <c r="B1037" s="98">
        <v>44267.0</v>
      </c>
      <c r="C1037" s="97">
        <v>0.0</v>
      </c>
    </row>
    <row r="1038" ht="15.75" customHeight="1">
      <c r="A1038" s="98">
        <v>44240.0</v>
      </c>
      <c r="B1038" s="98">
        <v>44268.0</v>
      </c>
      <c r="C1038" s="97">
        <v>0.0</v>
      </c>
    </row>
    <row r="1039" ht="15.75" customHeight="1">
      <c r="A1039" s="98">
        <v>44241.0</v>
      </c>
      <c r="B1039" s="98">
        <v>44269.0</v>
      </c>
      <c r="C1039" s="97">
        <v>0.0</v>
      </c>
    </row>
    <row r="1040" ht="15.75" customHeight="1">
      <c r="A1040" s="98">
        <v>44242.0</v>
      </c>
      <c r="B1040" s="98">
        <v>44270.0</v>
      </c>
      <c r="C1040" s="97">
        <v>0.0</v>
      </c>
    </row>
    <row r="1041" ht="15.75" customHeight="1">
      <c r="A1041" s="98">
        <v>44243.0</v>
      </c>
      <c r="B1041" s="98">
        <v>44271.0</v>
      </c>
      <c r="C1041" s="97">
        <v>0.0</v>
      </c>
    </row>
    <row r="1042" ht="15.75" customHeight="1">
      <c r="A1042" s="98">
        <v>44244.0</v>
      </c>
      <c r="B1042" s="98">
        <v>44272.0</v>
      </c>
      <c r="C1042" s="97">
        <v>0.0</v>
      </c>
    </row>
    <row r="1043" ht="15.75" customHeight="1">
      <c r="A1043" s="98">
        <v>44245.0</v>
      </c>
      <c r="B1043" s="98">
        <v>44273.0</v>
      </c>
      <c r="C1043" s="97">
        <v>0.0</v>
      </c>
    </row>
    <row r="1044" ht="15.75" customHeight="1">
      <c r="A1044" s="98">
        <v>44246.0</v>
      </c>
      <c r="B1044" s="98">
        <v>44274.0</v>
      </c>
      <c r="C1044" s="97">
        <v>0.0</v>
      </c>
    </row>
    <row r="1045" ht="15.75" customHeight="1">
      <c r="A1045" s="98">
        <v>44247.0</v>
      </c>
      <c r="B1045" s="98">
        <v>44275.0</v>
      </c>
      <c r="C1045" s="97">
        <v>0.0</v>
      </c>
    </row>
    <row r="1046" ht="15.75" customHeight="1">
      <c r="A1046" s="98">
        <v>44248.0</v>
      </c>
      <c r="B1046" s="98">
        <v>44276.0</v>
      </c>
      <c r="C1046" s="97">
        <v>0.0</v>
      </c>
    </row>
    <row r="1047" ht="15.75" customHeight="1">
      <c r="A1047" s="98">
        <v>44249.0</v>
      </c>
      <c r="B1047" s="98">
        <v>44277.0</v>
      </c>
      <c r="C1047" s="97">
        <v>0.0</v>
      </c>
    </row>
    <row r="1048" ht="15.75" customHeight="1">
      <c r="A1048" s="98">
        <v>44250.0</v>
      </c>
      <c r="B1048" s="98">
        <v>44278.0</v>
      </c>
      <c r="C1048" s="97">
        <v>0.0</v>
      </c>
    </row>
    <row r="1049" ht="15.75" customHeight="1">
      <c r="A1049" s="98">
        <v>44251.0</v>
      </c>
      <c r="B1049" s="98">
        <v>44279.0</v>
      </c>
      <c r="C1049" s="97">
        <v>0.0</v>
      </c>
    </row>
    <row r="1050" ht="15.75" customHeight="1">
      <c r="A1050" s="98">
        <v>44252.0</v>
      </c>
      <c r="B1050" s="98">
        <v>44280.0</v>
      </c>
      <c r="C1050" s="97">
        <v>0.0</v>
      </c>
    </row>
    <row r="1051" ht="15.75" customHeight="1">
      <c r="A1051" s="98">
        <v>44253.0</v>
      </c>
      <c r="B1051" s="98">
        <v>44281.0</v>
      </c>
      <c r="C1051" s="97">
        <v>0.0</v>
      </c>
    </row>
    <row r="1052" ht="15.75" customHeight="1">
      <c r="A1052" s="98">
        <v>44254.0</v>
      </c>
      <c r="B1052" s="98">
        <v>44282.0</v>
      </c>
      <c r="C1052" s="97">
        <v>0.0</v>
      </c>
    </row>
    <row r="1053" ht="15.75" customHeight="1">
      <c r="A1053" s="98">
        <v>44255.0</v>
      </c>
      <c r="B1053" s="98">
        <v>44283.0</v>
      </c>
      <c r="C1053" s="97">
        <v>0.0</v>
      </c>
    </row>
    <row r="1054" ht="15.75" customHeight="1">
      <c r="A1054" s="98">
        <v>44256.0</v>
      </c>
      <c r="B1054" s="98">
        <v>44284.0</v>
      </c>
      <c r="C1054" s="97">
        <v>0.0</v>
      </c>
    </row>
    <row r="1055" ht="15.75" customHeight="1">
      <c r="A1055" s="98">
        <v>44256.0</v>
      </c>
      <c r="B1055" s="98">
        <v>44285.0</v>
      </c>
      <c r="C1055" s="97">
        <v>0.0</v>
      </c>
    </row>
    <row r="1056" ht="15.75" customHeight="1">
      <c r="A1056" s="98">
        <v>44256.0</v>
      </c>
      <c r="B1056" s="98">
        <v>44286.0</v>
      </c>
      <c r="C1056" s="97">
        <v>0.0</v>
      </c>
    </row>
    <row r="1057" ht="15.75" customHeight="1">
      <c r="A1057" s="98">
        <v>44256.0</v>
      </c>
      <c r="B1057" s="98">
        <v>44287.0</v>
      </c>
      <c r="C1057" s="97">
        <v>0.0</v>
      </c>
    </row>
    <row r="1058" ht="15.75" customHeight="1">
      <c r="A1058" s="98">
        <v>44257.0</v>
      </c>
      <c r="B1058" s="98">
        <v>44288.0</v>
      </c>
      <c r="C1058" s="97">
        <v>0.0</v>
      </c>
    </row>
    <row r="1059" ht="15.75" customHeight="1">
      <c r="A1059" s="98">
        <v>44258.0</v>
      </c>
      <c r="B1059" s="98">
        <v>44289.0</v>
      </c>
      <c r="C1059" s="97">
        <v>0.0</v>
      </c>
    </row>
    <row r="1060" ht="15.75" customHeight="1">
      <c r="A1060" s="98">
        <v>44259.0</v>
      </c>
      <c r="B1060" s="98">
        <v>44290.0</v>
      </c>
      <c r="C1060" s="97">
        <v>0.0</v>
      </c>
    </row>
    <row r="1061" ht="15.75" customHeight="1">
      <c r="A1061" s="98">
        <v>44260.0</v>
      </c>
      <c r="B1061" s="98">
        <v>44291.0</v>
      </c>
      <c r="C1061" s="97">
        <v>0.0</v>
      </c>
    </row>
    <row r="1062" ht="15.75" customHeight="1">
      <c r="A1062" s="98">
        <v>44261.0</v>
      </c>
      <c r="B1062" s="98">
        <v>44292.0</v>
      </c>
      <c r="C1062" s="97">
        <v>0.0</v>
      </c>
    </row>
    <row r="1063" ht="15.75" customHeight="1">
      <c r="A1063" s="98">
        <v>44262.0</v>
      </c>
      <c r="B1063" s="98">
        <v>44293.0</v>
      </c>
      <c r="C1063" s="97">
        <v>0.0</v>
      </c>
    </row>
    <row r="1064" ht="15.75" customHeight="1">
      <c r="A1064" s="98">
        <v>44263.0</v>
      </c>
      <c r="B1064" s="98">
        <v>44294.0</v>
      </c>
      <c r="C1064" s="97">
        <v>0.0</v>
      </c>
    </row>
    <row r="1065" ht="15.75" customHeight="1">
      <c r="A1065" s="98">
        <v>44264.0</v>
      </c>
      <c r="B1065" s="98">
        <v>44295.0</v>
      </c>
      <c r="C1065" s="97">
        <v>0.0</v>
      </c>
    </row>
    <row r="1066" ht="15.75" customHeight="1">
      <c r="A1066" s="98">
        <v>44265.0</v>
      </c>
      <c r="B1066" s="98">
        <v>44296.0</v>
      </c>
      <c r="C1066" s="97">
        <v>0.0</v>
      </c>
    </row>
    <row r="1067" ht="15.75" customHeight="1">
      <c r="A1067" s="98">
        <v>44266.0</v>
      </c>
      <c r="B1067" s="98">
        <v>44297.0</v>
      </c>
      <c r="C1067" s="97">
        <v>0.0</v>
      </c>
    </row>
    <row r="1068" ht="15.75" customHeight="1">
      <c r="A1068" s="98">
        <v>44267.0</v>
      </c>
      <c r="B1068" s="98">
        <v>44298.0</v>
      </c>
      <c r="C1068" s="97">
        <v>0.0</v>
      </c>
    </row>
    <row r="1069" ht="15.75" customHeight="1">
      <c r="A1069" s="98">
        <v>44268.0</v>
      </c>
      <c r="B1069" s="98">
        <v>44299.0</v>
      </c>
      <c r="C1069" s="97">
        <v>0.0</v>
      </c>
    </row>
    <row r="1070" ht="15.75" customHeight="1">
      <c r="A1070" s="98">
        <v>44269.0</v>
      </c>
      <c r="B1070" s="98">
        <v>44300.0</v>
      </c>
      <c r="C1070" s="97">
        <v>0.0</v>
      </c>
    </row>
    <row r="1071" ht="15.75" customHeight="1">
      <c r="A1071" s="98">
        <v>44270.0</v>
      </c>
      <c r="B1071" s="98">
        <v>44301.0</v>
      </c>
      <c r="C1071" s="97">
        <v>0.0</v>
      </c>
    </row>
    <row r="1072" ht="15.75" customHeight="1">
      <c r="A1072" s="98">
        <v>44271.0</v>
      </c>
      <c r="B1072" s="98">
        <v>44302.0</v>
      </c>
      <c r="C1072" s="97">
        <v>0.0</v>
      </c>
    </row>
    <row r="1073" ht="15.75" customHeight="1">
      <c r="A1073" s="98">
        <v>44272.0</v>
      </c>
      <c r="B1073" s="98">
        <v>44303.0</v>
      </c>
      <c r="C1073" s="97">
        <v>0.0</v>
      </c>
    </row>
    <row r="1074" ht="15.75" customHeight="1">
      <c r="A1074" s="98">
        <v>44273.0</v>
      </c>
      <c r="B1074" s="98">
        <v>44304.0</v>
      </c>
      <c r="C1074" s="97">
        <v>0.0</v>
      </c>
    </row>
    <row r="1075" ht="15.75" customHeight="1">
      <c r="A1075" s="98">
        <v>44274.0</v>
      </c>
      <c r="B1075" s="98">
        <v>44305.0</v>
      </c>
      <c r="C1075" s="97">
        <v>0.0</v>
      </c>
    </row>
    <row r="1076" ht="15.75" customHeight="1">
      <c r="A1076" s="98">
        <v>44275.0</v>
      </c>
      <c r="B1076" s="98">
        <v>44306.0</v>
      </c>
      <c r="C1076" s="97">
        <v>0.0</v>
      </c>
    </row>
    <row r="1077" ht="15.75" customHeight="1">
      <c r="A1077" s="98">
        <v>44276.0</v>
      </c>
      <c r="B1077" s="98">
        <v>44307.0</v>
      </c>
      <c r="C1077" s="97">
        <v>0.0</v>
      </c>
    </row>
    <row r="1078" ht="15.75" customHeight="1">
      <c r="A1078" s="98">
        <v>44277.0</v>
      </c>
      <c r="B1078" s="98">
        <v>44308.0</v>
      </c>
      <c r="C1078" s="97">
        <v>0.0</v>
      </c>
    </row>
    <row r="1079" ht="15.75" customHeight="1">
      <c r="A1079" s="98">
        <v>44278.0</v>
      </c>
      <c r="B1079" s="98">
        <v>44309.0</v>
      </c>
      <c r="C1079" s="97">
        <v>0.0</v>
      </c>
    </row>
    <row r="1080" ht="15.75" customHeight="1">
      <c r="A1080" s="98">
        <v>44279.0</v>
      </c>
      <c r="B1080" s="98">
        <v>44310.0</v>
      </c>
      <c r="C1080" s="97">
        <v>0.0</v>
      </c>
    </row>
    <row r="1081" ht="15.75" customHeight="1">
      <c r="A1081" s="98">
        <v>44280.0</v>
      </c>
      <c r="B1081" s="98">
        <v>44311.0</v>
      </c>
      <c r="C1081" s="97">
        <v>0.0</v>
      </c>
    </row>
    <row r="1082" ht="15.75" customHeight="1">
      <c r="A1082" s="98">
        <v>44281.0</v>
      </c>
      <c r="B1082" s="98">
        <v>44312.0</v>
      </c>
      <c r="C1082" s="97">
        <v>0.0</v>
      </c>
    </row>
    <row r="1083" ht="15.75" customHeight="1">
      <c r="A1083" s="98">
        <v>44282.0</v>
      </c>
      <c r="B1083" s="98">
        <v>44313.0</v>
      </c>
      <c r="C1083" s="97">
        <v>0.0</v>
      </c>
    </row>
    <row r="1084" ht="15.75" customHeight="1">
      <c r="A1084" s="98">
        <v>44283.0</v>
      </c>
      <c r="B1084" s="98">
        <v>44314.0</v>
      </c>
      <c r="C1084" s="97">
        <v>0.0</v>
      </c>
    </row>
    <row r="1085" ht="15.75" customHeight="1">
      <c r="A1085" s="98">
        <v>44284.0</v>
      </c>
      <c r="B1085" s="98">
        <v>44315.0</v>
      </c>
      <c r="C1085" s="97">
        <v>0.0</v>
      </c>
    </row>
    <row r="1086" ht="15.75" customHeight="1">
      <c r="A1086" s="98">
        <v>44285.0</v>
      </c>
      <c r="B1086" s="98">
        <v>44316.0</v>
      </c>
      <c r="C1086" s="97">
        <v>0.0</v>
      </c>
    </row>
    <row r="1087" ht="15.75" customHeight="1">
      <c r="A1087" s="98">
        <v>44286.0</v>
      </c>
      <c r="B1087" s="98">
        <v>44317.0</v>
      </c>
      <c r="C1087" s="97">
        <v>0.0</v>
      </c>
    </row>
    <row r="1088" ht="15.75" customHeight="1">
      <c r="A1088" s="98">
        <v>44287.0</v>
      </c>
      <c r="B1088" s="98">
        <v>44317.0</v>
      </c>
      <c r="C1088" s="97">
        <v>0.0</v>
      </c>
    </row>
    <row r="1089" ht="15.75" customHeight="1">
      <c r="A1089" s="98">
        <v>44288.0</v>
      </c>
      <c r="B1089" s="98">
        <v>44318.0</v>
      </c>
      <c r="C1089" s="97">
        <v>0.0</v>
      </c>
    </row>
    <row r="1090" ht="15.75" customHeight="1">
      <c r="A1090" s="98">
        <v>44289.0</v>
      </c>
      <c r="B1090" s="98">
        <v>44319.0</v>
      </c>
      <c r="C1090" s="97">
        <v>0.0</v>
      </c>
    </row>
    <row r="1091" ht="15.75" customHeight="1">
      <c r="A1091" s="98">
        <v>44290.0</v>
      </c>
      <c r="B1091" s="98">
        <v>44320.0</v>
      </c>
      <c r="C1091" s="97">
        <v>0.0</v>
      </c>
    </row>
    <row r="1092" ht="15.75" customHeight="1">
      <c r="A1092" s="98">
        <v>44291.0</v>
      </c>
      <c r="B1092" s="98">
        <v>44321.0</v>
      </c>
      <c r="C1092" s="97">
        <v>0.0</v>
      </c>
    </row>
    <row r="1093" ht="15.75" customHeight="1">
      <c r="A1093" s="98">
        <v>44292.0</v>
      </c>
      <c r="B1093" s="98">
        <v>44322.0</v>
      </c>
      <c r="C1093" s="97">
        <v>0.0</v>
      </c>
    </row>
    <row r="1094" ht="15.75" customHeight="1">
      <c r="A1094" s="98">
        <v>44293.0</v>
      </c>
      <c r="B1094" s="98">
        <v>44323.0</v>
      </c>
      <c r="C1094" s="97">
        <v>0.0</v>
      </c>
    </row>
    <row r="1095" ht="15.75" customHeight="1">
      <c r="A1095" s="98">
        <v>44294.0</v>
      </c>
      <c r="B1095" s="98">
        <v>44324.0</v>
      </c>
      <c r="C1095" s="97">
        <v>0.0</v>
      </c>
    </row>
    <row r="1096" ht="15.75" customHeight="1">
      <c r="A1096" s="98">
        <v>44295.0</v>
      </c>
      <c r="B1096" s="98">
        <v>44325.0</v>
      </c>
      <c r="C1096" s="97">
        <v>0.0</v>
      </c>
    </row>
    <row r="1097" ht="15.75" customHeight="1">
      <c r="A1097" s="98">
        <v>44296.0</v>
      </c>
      <c r="B1097" s="98">
        <v>44326.0</v>
      </c>
      <c r="C1097" s="97">
        <v>0.0</v>
      </c>
    </row>
    <row r="1098" ht="15.75" customHeight="1">
      <c r="A1098" s="98">
        <v>44297.0</v>
      </c>
      <c r="B1098" s="98">
        <v>44327.0</v>
      </c>
      <c r="C1098" s="97">
        <v>0.0</v>
      </c>
    </row>
    <row r="1099" ht="15.75" customHeight="1">
      <c r="A1099" s="98">
        <v>44298.0</v>
      </c>
      <c r="B1099" s="98">
        <v>44328.0</v>
      </c>
      <c r="C1099" s="97">
        <v>0.0</v>
      </c>
    </row>
    <row r="1100" ht="15.75" customHeight="1">
      <c r="A1100" s="98">
        <v>44299.0</v>
      </c>
      <c r="B1100" s="98">
        <v>44329.0</v>
      </c>
      <c r="C1100" s="97">
        <v>0.0</v>
      </c>
    </row>
    <row r="1101" ht="15.75" customHeight="1">
      <c r="A1101" s="98">
        <v>44300.0</v>
      </c>
      <c r="B1101" s="98">
        <v>44330.0</v>
      </c>
      <c r="C1101" s="97">
        <v>0.0</v>
      </c>
    </row>
    <row r="1102" ht="15.75" customHeight="1">
      <c r="A1102" s="98">
        <v>44301.0</v>
      </c>
      <c r="B1102" s="98">
        <v>44331.0</v>
      </c>
      <c r="C1102" s="97">
        <v>0.0</v>
      </c>
    </row>
    <row r="1103" ht="15.75" customHeight="1">
      <c r="A1103" s="98">
        <v>44302.0</v>
      </c>
      <c r="B1103" s="98">
        <v>44332.0</v>
      </c>
      <c r="C1103" s="97">
        <v>0.0</v>
      </c>
    </row>
    <row r="1104" ht="15.75" customHeight="1">
      <c r="A1104" s="98">
        <v>44303.0</v>
      </c>
      <c r="B1104" s="98">
        <v>44333.0</v>
      </c>
      <c r="C1104" s="97">
        <v>0.0</v>
      </c>
    </row>
    <row r="1105" ht="15.75" customHeight="1">
      <c r="A1105" s="98">
        <v>44304.0</v>
      </c>
      <c r="B1105" s="98">
        <v>44334.0</v>
      </c>
      <c r="C1105" s="97">
        <v>0.0</v>
      </c>
    </row>
    <row r="1106" ht="15.75" customHeight="1">
      <c r="A1106" s="98">
        <v>44305.0</v>
      </c>
      <c r="B1106" s="98">
        <v>44335.0</v>
      </c>
      <c r="C1106" s="97">
        <v>0.0</v>
      </c>
    </row>
    <row r="1107" ht="15.75" customHeight="1">
      <c r="A1107" s="98">
        <v>44306.0</v>
      </c>
      <c r="B1107" s="98">
        <v>44336.0</v>
      </c>
      <c r="C1107" s="97">
        <v>0.0</v>
      </c>
    </row>
    <row r="1108" ht="15.75" customHeight="1">
      <c r="A1108" s="98">
        <v>44307.0</v>
      </c>
      <c r="B1108" s="98">
        <v>44337.0</v>
      </c>
      <c r="C1108" s="97">
        <v>0.0</v>
      </c>
    </row>
    <row r="1109" ht="15.75" customHeight="1">
      <c r="A1109" s="98">
        <v>44308.0</v>
      </c>
      <c r="B1109" s="98">
        <v>44338.0</v>
      </c>
      <c r="C1109" s="97">
        <v>0.0</v>
      </c>
    </row>
    <row r="1110" ht="15.75" customHeight="1">
      <c r="A1110" s="98">
        <v>44309.0</v>
      </c>
      <c r="B1110" s="98">
        <v>44339.0</v>
      </c>
      <c r="C1110" s="97">
        <v>0.0</v>
      </c>
    </row>
    <row r="1111" ht="15.75" customHeight="1">
      <c r="A1111" s="98">
        <v>44310.0</v>
      </c>
      <c r="B1111" s="98">
        <v>44340.0</v>
      </c>
      <c r="C1111" s="97">
        <v>0.0</v>
      </c>
    </row>
    <row r="1112" ht="15.75" customHeight="1">
      <c r="A1112" s="98">
        <v>44311.0</v>
      </c>
      <c r="B1112" s="98">
        <v>44341.0</v>
      </c>
      <c r="C1112" s="97">
        <v>0.0</v>
      </c>
    </row>
    <row r="1113" ht="15.75" customHeight="1">
      <c r="A1113" s="98">
        <v>44312.0</v>
      </c>
      <c r="B1113" s="98">
        <v>44342.0</v>
      </c>
      <c r="C1113" s="97">
        <v>0.0</v>
      </c>
    </row>
    <row r="1114" ht="15.75" customHeight="1">
      <c r="A1114" s="98">
        <v>44313.0</v>
      </c>
      <c r="B1114" s="98">
        <v>44343.0</v>
      </c>
      <c r="C1114" s="97">
        <v>0.0</v>
      </c>
    </row>
    <row r="1115" ht="15.75" customHeight="1">
      <c r="A1115" s="98">
        <v>44314.0</v>
      </c>
      <c r="B1115" s="98">
        <v>44344.0</v>
      </c>
      <c r="C1115" s="97">
        <v>0.0</v>
      </c>
    </row>
    <row r="1116" ht="15.75" customHeight="1">
      <c r="A1116" s="98">
        <v>44315.0</v>
      </c>
      <c r="B1116" s="98">
        <v>44345.0</v>
      </c>
      <c r="C1116" s="97">
        <v>0.0</v>
      </c>
    </row>
    <row r="1117" ht="15.75" customHeight="1">
      <c r="A1117" s="98">
        <v>44316.0</v>
      </c>
      <c r="B1117" s="98">
        <v>44346.0</v>
      </c>
      <c r="C1117" s="97">
        <v>0.0</v>
      </c>
    </row>
    <row r="1118" ht="15.75" customHeight="1">
      <c r="A1118" s="98">
        <v>44317.0</v>
      </c>
      <c r="B1118" s="98">
        <v>44347.0</v>
      </c>
      <c r="C1118" s="97">
        <v>0.0</v>
      </c>
    </row>
    <row r="1119" ht="15.75" customHeight="1">
      <c r="A1119" s="98">
        <v>44317.0</v>
      </c>
      <c r="B1119" s="98">
        <v>44348.0</v>
      </c>
      <c r="C1119" s="97">
        <v>0.0</v>
      </c>
    </row>
    <row r="1120" ht="15.75" customHeight="1">
      <c r="A1120" s="98">
        <v>44318.0</v>
      </c>
      <c r="B1120" s="98">
        <v>44349.0</v>
      </c>
      <c r="C1120" s="97">
        <v>0.0</v>
      </c>
    </row>
    <row r="1121" ht="15.75" customHeight="1">
      <c r="A1121" s="98">
        <v>44319.0</v>
      </c>
      <c r="B1121" s="98">
        <v>44350.0</v>
      </c>
      <c r="C1121" s="97">
        <v>0.0</v>
      </c>
    </row>
    <row r="1122" ht="15.75" customHeight="1">
      <c r="A1122" s="98">
        <v>44320.0</v>
      </c>
      <c r="B1122" s="98">
        <v>44351.0</v>
      </c>
      <c r="C1122" s="97">
        <v>0.0</v>
      </c>
    </row>
    <row r="1123" ht="15.75" customHeight="1">
      <c r="A1123" s="98">
        <v>44321.0</v>
      </c>
      <c r="B1123" s="98">
        <v>44352.0</v>
      </c>
      <c r="C1123" s="97">
        <v>0.0</v>
      </c>
    </row>
    <row r="1124" ht="15.75" customHeight="1">
      <c r="A1124" s="98">
        <v>44322.0</v>
      </c>
      <c r="B1124" s="98">
        <v>44353.0</v>
      </c>
      <c r="C1124" s="97">
        <v>0.0</v>
      </c>
    </row>
    <row r="1125" ht="15.75" customHeight="1">
      <c r="A1125" s="98">
        <v>44323.0</v>
      </c>
      <c r="B1125" s="98">
        <v>44354.0</v>
      </c>
      <c r="C1125" s="97">
        <v>0.0</v>
      </c>
    </row>
    <row r="1126" ht="15.75" customHeight="1">
      <c r="A1126" s="98">
        <v>44324.0</v>
      </c>
      <c r="B1126" s="98">
        <v>44355.0</v>
      </c>
      <c r="C1126" s="97">
        <v>0.0</v>
      </c>
    </row>
    <row r="1127" ht="15.75" customHeight="1">
      <c r="A1127" s="98">
        <v>44325.0</v>
      </c>
      <c r="B1127" s="98">
        <v>44356.0</v>
      </c>
      <c r="C1127" s="97">
        <v>0.0</v>
      </c>
    </row>
    <row r="1128" ht="15.75" customHeight="1">
      <c r="A1128" s="98">
        <v>44326.0</v>
      </c>
      <c r="B1128" s="98">
        <v>44357.0</v>
      </c>
      <c r="C1128" s="97">
        <v>0.0</v>
      </c>
    </row>
    <row r="1129" ht="15.75" customHeight="1">
      <c r="A1129" s="98">
        <v>44327.0</v>
      </c>
      <c r="B1129" s="98">
        <v>44358.0</v>
      </c>
      <c r="C1129" s="97">
        <v>0.0</v>
      </c>
    </row>
    <row r="1130" ht="15.75" customHeight="1">
      <c r="A1130" s="98">
        <v>44328.0</v>
      </c>
      <c r="B1130" s="98">
        <v>44359.0</v>
      </c>
      <c r="C1130" s="97">
        <v>0.0</v>
      </c>
    </row>
    <row r="1131" ht="15.75" customHeight="1">
      <c r="A1131" s="98">
        <v>44329.0</v>
      </c>
      <c r="B1131" s="98">
        <v>44360.0</v>
      </c>
      <c r="C1131" s="97">
        <v>0.0</v>
      </c>
    </row>
    <row r="1132" ht="15.75" customHeight="1">
      <c r="A1132" s="98">
        <v>44330.0</v>
      </c>
      <c r="B1132" s="98">
        <v>44361.0</v>
      </c>
      <c r="C1132" s="97">
        <v>0.0</v>
      </c>
    </row>
    <row r="1133" ht="15.75" customHeight="1">
      <c r="A1133" s="98">
        <v>44331.0</v>
      </c>
      <c r="B1133" s="98">
        <v>44362.0</v>
      </c>
      <c r="C1133" s="97">
        <v>0.0</v>
      </c>
    </row>
    <row r="1134" ht="15.75" customHeight="1">
      <c r="A1134" s="98">
        <v>44332.0</v>
      </c>
      <c r="B1134" s="98">
        <v>44363.0</v>
      </c>
      <c r="C1134" s="97">
        <v>0.0</v>
      </c>
    </row>
    <row r="1135" ht="15.75" customHeight="1">
      <c r="A1135" s="98">
        <v>44333.0</v>
      </c>
      <c r="B1135" s="98">
        <v>44364.0</v>
      </c>
      <c r="C1135" s="97">
        <v>0.0</v>
      </c>
    </row>
    <row r="1136" ht="15.75" customHeight="1">
      <c r="A1136" s="98">
        <v>44334.0</v>
      </c>
      <c r="B1136" s="98">
        <v>44365.0</v>
      </c>
      <c r="C1136" s="97">
        <v>0.0</v>
      </c>
    </row>
    <row r="1137" ht="15.75" customHeight="1">
      <c r="A1137" s="98">
        <v>44335.0</v>
      </c>
      <c r="B1137" s="98">
        <v>44366.0</v>
      </c>
      <c r="C1137" s="97">
        <v>0.0</v>
      </c>
    </row>
    <row r="1138" ht="15.75" customHeight="1">
      <c r="A1138" s="98">
        <v>44336.0</v>
      </c>
      <c r="B1138" s="98">
        <v>44367.0</v>
      </c>
      <c r="C1138" s="97">
        <v>0.0</v>
      </c>
    </row>
    <row r="1139" ht="15.75" customHeight="1">
      <c r="A1139" s="98">
        <v>44337.0</v>
      </c>
      <c r="B1139" s="98">
        <v>44368.0</v>
      </c>
      <c r="C1139" s="97">
        <v>0.0</v>
      </c>
    </row>
    <row r="1140" ht="15.75" customHeight="1">
      <c r="A1140" s="98">
        <v>44338.0</v>
      </c>
      <c r="B1140" s="98">
        <v>44369.0</v>
      </c>
      <c r="C1140" s="97">
        <v>0.0</v>
      </c>
    </row>
    <row r="1141" ht="15.75" customHeight="1">
      <c r="A1141" s="98">
        <v>44339.0</v>
      </c>
      <c r="B1141" s="98">
        <v>44370.0</v>
      </c>
      <c r="C1141" s="97">
        <v>0.0</v>
      </c>
    </row>
    <row r="1142" ht="15.75" customHeight="1">
      <c r="A1142" s="98">
        <v>44340.0</v>
      </c>
      <c r="B1142" s="98">
        <v>44371.0</v>
      </c>
      <c r="C1142" s="97">
        <v>0.0</v>
      </c>
    </row>
    <row r="1143" ht="15.75" customHeight="1">
      <c r="A1143" s="98">
        <v>44341.0</v>
      </c>
      <c r="B1143" s="98">
        <v>44372.0</v>
      </c>
      <c r="C1143" s="97">
        <v>0.0</v>
      </c>
    </row>
    <row r="1144" ht="15.75" customHeight="1">
      <c r="A1144" s="98">
        <v>44342.0</v>
      </c>
      <c r="B1144" s="98">
        <v>44373.0</v>
      </c>
      <c r="C1144" s="97">
        <v>0.0</v>
      </c>
    </row>
    <row r="1145" ht="15.75" customHeight="1">
      <c r="A1145" s="98">
        <v>44343.0</v>
      </c>
      <c r="B1145" s="98">
        <v>44374.0</v>
      </c>
      <c r="C1145" s="97">
        <v>0.0</v>
      </c>
    </row>
    <row r="1146" ht="15.75" customHeight="1">
      <c r="A1146" s="98">
        <v>44344.0</v>
      </c>
      <c r="B1146" s="98">
        <v>44375.0</v>
      </c>
      <c r="C1146" s="97">
        <v>0.0</v>
      </c>
    </row>
    <row r="1147" ht="15.75" customHeight="1">
      <c r="A1147" s="98">
        <v>44345.0</v>
      </c>
      <c r="B1147" s="98">
        <v>44376.0</v>
      </c>
      <c r="C1147" s="97">
        <v>0.0</v>
      </c>
    </row>
    <row r="1148" ht="15.75" customHeight="1">
      <c r="A1148" s="98">
        <v>44346.0</v>
      </c>
      <c r="B1148" s="98">
        <v>44377.0</v>
      </c>
      <c r="C1148" s="97">
        <v>0.0</v>
      </c>
    </row>
    <row r="1149" ht="15.75" customHeight="1">
      <c r="A1149" s="98">
        <v>44347.0</v>
      </c>
      <c r="B1149" s="98">
        <v>44378.0</v>
      </c>
      <c r="C1149" s="97">
        <v>0.0</v>
      </c>
    </row>
    <row r="1150" ht="15.75" customHeight="1">
      <c r="A1150" s="98">
        <v>44348.0</v>
      </c>
      <c r="B1150" s="98">
        <v>44378.0</v>
      </c>
      <c r="C1150" s="97">
        <v>0.0</v>
      </c>
    </row>
    <row r="1151" ht="15.75" customHeight="1">
      <c r="A1151" s="98">
        <v>44349.0</v>
      </c>
      <c r="B1151" s="98">
        <v>44379.0</v>
      </c>
      <c r="C1151" s="97">
        <v>0.0</v>
      </c>
    </row>
    <row r="1152" ht="15.75" customHeight="1">
      <c r="A1152" s="98">
        <v>44350.0</v>
      </c>
      <c r="B1152" s="98">
        <v>44380.0</v>
      </c>
      <c r="C1152" s="97">
        <v>0.0</v>
      </c>
    </row>
    <row r="1153" ht="15.75" customHeight="1">
      <c r="A1153" s="98">
        <v>44351.0</v>
      </c>
      <c r="B1153" s="98">
        <v>44381.0</v>
      </c>
      <c r="C1153" s="97">
        <v>0.0</v>
      </c>
    </row>
    <row r="1154" ht="15.75" customHeight="1">
      <c r="A1154" s="98">
        <v>44352.0</v>
      </c>
      <c r="B1154" s="98">
        <v>44382.0</v>
      </c>
      <c r="C1154" s="97">
        <v>0.0</v>
      </c>
    </row>
    <row r="1155" ht="15.75" customHeight="1">
      <c r="A1155" s="98">
        <v>44353.0</v>
      </c>
      <c r="B1155" s="98">
        <v>44383.0</v>
      </c>
      <c r="C1155" s="97">
        <v>0.0</v>
      </c>
    </row>
    <row r="1156" ht="15.75" customHeight="1">
      <c r="A1156" s="98">
        <v>44354.0</v>
      </c>
      <c r="B1156" s="98">
        <v>44384.0</v>
      </c>
      <c r="C1156" s="97">
        <v>0.0</v>
      </c>
    </row>
    <row r="1157" ht="15.75" customHeight="1">
      <c r="A1157" s="98">
        <v>44355.0</v>
      </c>
      <c r="B1157" s="98">
        <v>44385.0</v>
      </c>
      <c r="C1157" s="97">
        <v>0.0</v>
      </c>
    </row>
    <row r="1158" ht="15.75" customHeight="1">
      <c r="A1158" s="98">
        <v>44356.0</v>
      </c>
      <c r="B1158" s="98">
        <v>44386.0</v>
      </c>
      <c r="C1158" s="97">
        <v>0.0</v>
      </c>
    </row>
    <row r="1159" ht="15.75" customHeight="1">
      <c r="A1159" s="98">
        <v>44357.0</v>
      </c>
      <c r="B1159" s="98">
        <v>44387.0</v>
      </c>
      <c r="C1159" s="97">
        <v>0.0</v>
      </c>
    </row>
    <row r="1160" ht="15.75" customHeight="1">
      <c r="A1160" s="98">
        <v>44358.0</v>
      </c>
      <c r="B1160" s="98">
        <v>44388.0</v>
      </c>
      <c r="C1160" s="97">
        <v>0.0</v>
      </c>
    </row>
    <row r="1161" ht="15.75" customHeight="1">
      <c r="A1161" s="98">
        <v>44359.0</v>
      </c>
      <c r="B1161" s="98">
        <v>44389.0</v>
      </c>
      <c r="C1161" s="97">
        <v>0.0</v>
      </c>
    </row>
    <row r="1162" ht="15.75" customHeight="1">
      <c r="A1162" s="98">
        <v>44360.0</v>
      </c>
      <c r="B1162" s="98">
        <v>44390.0</v>
      </c>
      <c r="C1162" s="97">
        <v>0.0</v>
      </c>
    </row>
    <row r="1163" ht="15.75" customHeight="1">
      <c r="A1163" s="98">
        <v>44361.0</v>
      </c>
      <c r="B1163" s="98">
        <v>44391.0</v>
      </c>
      <c r="C1163" s="97">
        <v>0.0</v>
      </c>
    </row>
    <row r="1164" ht="15.75" customHeight="1">
      <c r="A1164" s="98">
        <v>44362.0</v>
      </c>
      <c r="B1164" s="98">
        <v>44392.0</v>
      </c>
      <c r="C1164" s="97">
        <v>0.0</v>
      </c>
    </row>
    <row r="1165" ht="15.75" customHeight="1">
      <c r="A1165" s="98">
        <v>44363.0</v>
      </c>
      <c r="B1165" s="98">
        <v>44393.0</v>
      </c>
      <c r="C1165" s="97">
        <v>0.0</v>
      </c>
    </row>
    <row r="1166" ht="15.75" customHeight="1">
      <c r="A1166" s="98">
        <v>44364.0</v>
      </c>
      <c r="B1166" s="98">
        <v>44394.0</v>
      </c>
      <c r="C1166" s="97">
        <v>0.0</v>
      </c>
    </row>
    <row r="1167" ht="15.75" customHeight="1">
      <c r="A1167" s="98">
        <v>44365.0</v>
      </c>
      <c r="B1167" s="98">
        <v>44395.0</v>
      </c>
      <c r="C1167" s="97">
        <v>0.0</v>
      </c>
    </row>
    <row r="1168" ht="15.75" customHeight="1">
      <c r="A1168" s="98">
        <v>44366.0</v>
      </c>
      <c r="B1168" s="98">
        <v>44396.0</v>
      </c>
      <c r="C1168" s="97">
        <v>0.0</v>
      </c>
    </row>
    <row r="1169" ht="15.75" customHeight="1">
      <c r="A1169" s="98">
        <v>44367.0</v>
      </c>
      <c r="B1169" s="98">
        <v>44397.0</v>
      </c>
      <c r="C1169" s="97">
        <v>0.0</v>
      </c>
    </row>
    <row r="1170" ht="15.75" customHeight="1">
      <c r="A1170" s="98">
        <v>44368.0</v>
      </c>
      <c r="B1170" s="98">
        <v>44398.0</v>
      </c>
      <c r="C1170" s="97">
        <v>0.0</v>
      </c>
    </row>
    <row r="1171" ht="15.75" customHeight="1">
      <c r="A1171" s="98">
        <v>44369.0</v>
      </c>
      <c r="B1171" s="98">
        <v>44399.0</v>
      </c>
      <c r="C1171" s="97">
        <v>0.0</v>
      </c>
    </row>
    <row r="1172" ht="15.75" customHeight="1">
      <c r="A1172" s="98">
        <v>44370.0</v>
      </c>
      <c r="B1172" s="98">
        <v>44400.0</v>
      </c>
      <c r="C1172" s="97">
        <v>0.0</v>
      </c>
    </row>
    <row r="1173" ht="15.75" customHeight="1">
      <c r="A1173" s="98">
        <v>44371.0</v>
      </c>
      <c r="B1173" s="98">
        <v>44401.0</v>
      </c>
      <c r="C1173" s="97">
        <v>0.0</v>
      </c>
    </row>
    <row r="1174" ht="15.75" customHeight="1">
      <c r="A1174" s="98">
        <v>44372.0</v>
      </c>
      <c r="B1174" s="98">
        <v>44402.0</v>
      </c>
      <c r="C1174" s="97">
        <v>0.0</v>
      </c>
    </row>
    <row r="1175" ht="15.75" customHeight="1">
      <c r="A1175" s="98">
        <v>44373.0</v>
      </c>
      <c r="B1175" s="98">
        <v>44403.0</v>
      </c>
      <c r="C1175" s="97">
        <v>0.0</v>
      </c>
    </row>
    <row r="1176" ht="15.75" customHeight="1">
      <c r="A1176" s="98">
        <v>44374.0</v>
      </c>
      <c r="B1176" s="98">
        <v>44404.0</v>
      </c>
      <c r="C1176" s="97">
        <v>0.0</v>
      </c>
    </row>
    <row r="1177" ht="15.75" customHeight="1">
      <c r="A1177" s="98">
        <v>44375.0</v>
      </c>
      <c r="B1177" s="98">
        <v>44405.0</v>
      </c>
      <c r="C1177" s="97">
        <v>0.0</v>
      </c>
    </row>
    <row r="1178" ht="15.75" customHeight="1">
      <c r="A1178" s="98">
        <v>44376.0</v>
      </c>
      <c r="B1178" s="98">
        <v>44406.0</v>
      </c>
      <c r="C1178" s="97">
        <v>0.0</v>
      </c>
    </row>
    <row r="1179" ht="15.75" customHeight="1">
      <c r="A1179" s="98">
        <v>44377.0</v>
      </c>
      <c r="B1179" s="98">
        <v>44407.0</v>
      </c>
      <c r="C1179" s="97">
        <v>0.0</v>
      </c>
    </row>
    <row r="1180" ht="15.75" customHeight="1">
      <c r="A1180" s="98">
        <v>44378.0</v>
      </c>
      <c r="B1180" s="98">
        <v>44408.0</v>
      </c>
      <c r="C1180" s="97">
        <v>0.0</v>
      </c>
    </row>
    <row r="1181" ht="15.75" customHeight="1">
      <c r="A1181" s="98">
        <v>44378.0</v>
      </c>
      <c r="B1181" s="98">
        <v>44409.0</v>
      </c>
      <c r="C1181" s="97">
        <v>0.0</v>
      </c>
    </row>
    <row r="1182" ht="15.75" customHeight="1">
      <c r="A1182" s="98">
        <v>44379.0</v>
      </c>
      <c r="B1182" s="98">
        <v>44410.0</v>
      </c>
      <c r="C1182" s="97">
        <v>0.0</v>
      </c>
    </row>
    <row r="1183" ht="15.75" customHeight="1">
      <c r="A1183" s="98">
        <v>44380.0</v>
      </c>
      <c r="B1183" s="98">
        <v>44411.0</v>
      </c>
      <c r="C1183" s="97">
        <v>0.0</v>
      </c>
    </row>
    <row r="1184" ht="15.75" customHeight="1">
      <c r="A1184" s="98">
        <v>44381.0</v>
      </c>
      <c r="B1184" s="98">
        <v>44412.0</v>
      </c>
      <c r="C1184" s="97">
        <v>0.0</v>
      </c>
    </row>
    <row r="1185" ht="15.75" customHeight="1">
      <c r="A1185" s="98">
        <v>44382.0</v>
      </c>
      <c r="B1185" s="98">
        <v>44413.0</v>
      </c>
      <c r="C1185" s="97">
        <v>0.0</v>
      </c>
    </row>
    <row r="1186" ht="15.75" customHeight="1">
      <c r="A1186" s="98">
        <v>44383.0</v>
      </c>
      <c r="B1186" s="98">
        <v>44414.0</v>
      </c>
      <c r="C1186" s="97">
        <v>0.0</v>
      </c>
    </row>
    <row r="1187" ht="15.75" customHeight="1">
      <c r="A1187" s="98">
        <v>44384.0</v>
      </c>
      <c r="B1187" s="98">
        <v>44415.0</v>
      </c>
      <c r="C1187" s="97">
        <v>0.0</v>
      </c>
    </row>
    <row r="1188" ht="15.75" customHeight="1">
      <c r="A1188" s="98">
        <v>44385.0</v>
      </c>
      <c r="B1188" s="98">
        <v>44416.0</v>
      </c>
      <c r="C1188" s="97">
        <v>0.0</v>
      </c>
    </row>
    <row r="1189" ht="15.75" customHeight="1">
      <c r="A1189" s="98">
        <v>44386.0</v>
      </c>
      <c r="B1189" s="98">
        <v>44417.0</v>
      </c>
      <c r="C1189" s="97">
        <v>0.0</v>
      </c>
    </row>
    <row r="1190" ht="15.75" customHeight="1">
      <c r="A1190" s="98">
        <v>44387.0</v>
      </c>
      <c r="B1190" s="98">
        <v>44418.0</v>
      </c>
      <c r="C1190" s="97">
        <v>0.0</v>
      </c>
    </row>
    <row r="1191" ht="15.75" customHeight="1">
      <c r="A1191" s="98">
        <v>44388.0</v>
      </c>
      <c r="B1191" s="98">
        <v>44419.0</v>
      </c>
      <c r="C1191" s="97">
        <v>0.0</v>
      </c>
    </row>
    <row r="1192" ht="15.75" customHeight="1">
      <c r="A1192" s="98">
        <v>44389.0</v>
      </c>
      <c r="B1192" s="98">
        <v>44420.0</v>
      </c>
      <c r="C1192" s="97">
        <v>0.0</v>
      </c>
    </row>
    <row r="1193" ht="15.75" customHeight="1">
      <c r="A1193" s="98">
        <v>44390.0</v>
      </c>
      <c r="B1193" s="98">
        <v>44421.0</v>
      </c>
      <c r="C1193" s="97">
        <v>0.0</v>
      </c>
    </row>
    <row r="1194" ht="15.75" customHeight="1">
      <c r="A1194" s="98">
        <v>44391.0</v>
      </c>
      <c r="B1194" s="98">
        <v>44422.0</v>
      </c>
      <c r="C1194" s="97">
        <v>0.0</v>
      </c>
    </row>
    <row r="1195" ht="15.75" customHeight="1">
      <c r="A1195" s="98">
        <v>44392.0</v>
      </c>
      <c r="B1195" s="98">
        <v>44423.0</v>
      </c>
      <c r="C1195" s="97">
        <v>0.0</v>
      </c>
    </row>
    <row r="1196" ht="15.75" customHeight="1">
      <c r="A1196" s="98">
        <v>44393.0</v>
      </c>
      <c r="B1196" s="98">
        <v>44424.0</v>
      </c>
      <c r="C1196" s="97">
        <v>0.0</v>
      </c>
    </row>
    <row r="1197" ht="15.75" customHeight="1">
      <c r="A1197" s="98">
        <v>44394.0</v>
      </c>
      <c r="B1197" s="98">
        <v>44425.0</v>
      </c>
      <c r="C1197" s="97">
        <v>0.0</v>
      </c>
    </row>
    <row r="1198" ht="15.75" customHeight="1">
      <c r="A1198" s="98">
        <v>44395.0</v>
      </c>
      <c r="B1198" s="98">
        <v>44426.0</v>
      </c>
      <c r="C1198" s="97">
        <v>0.0</v>
      </c>
    </row>
    <row r="1199" ht="15.75" customHeight="1">
      <c r="A1199" s="98">
        <v>44396.0</v>
      </c>
      <c r="B1199" s="98">
        <v>44427.0</v>
      </c>
      <c r="C1199" s="97">
        <v>0.0</v>
      </c>
    </row>
    <row r="1200" ht="15.75" customHeight="1">
      <c r="A1200" s="98">
        <v>44397.0</v>
      </c>
      <c r="B1200" s="98">
        <v>44428.0</v>
      </c>
      <c r="C1200" s="97">
        <v>0.0</v>
      </c>
    </row>
    <row r="1201" ht="15.75" customHeight="1">
      <c r="A1201" s="98">
        <v>44398.0</v>
      </c>
      <c r="B1201" s="98">
        <v>44429.0</v>
      </c>
      <c r="C1201" s="97">
        <v>0.0</v>
      </c>
    </row>
    <row r="1202" ht="15.75" customHeight="1">
      <c r="A1202" s="98">
        <v>44399.0</v>
      </c>
      <c r="B1202" s="98">
        <v>44430.0</v>
      </c>
      <c r="C1202" s="97">
        <v>0.0</v>
      </c>
    </row>
    <row r="1203" ht="15.75" customHeight="1">
      <c r="A1203" s="98">
        <v>44400.0</v>
      </c>
      <c r="B1203" s="98">
        <v>44431.0</v>
      </c>
      <c r="C1203" s="97">
        <v>0.0</v>
      </c>
    </row>
    <row r="1204" ht="15.75" customHeight="1">
      <c r="A1204" s="98">
        <v>44401.0</v>
      </c>
      <c r="B1204" s="98">
        <v>44432.0</v>
      </c>
      <c r="C1204" s="97">
        <v>0.0</v>
      </c>
    </row>
    <row r="1205" ht="15.75" customHeight="1">
      <c r="A1205" s="98">
        <v>44402.0</v>
      </c>
      <c r="B1205" s="98">
        <v>44433.0</v>
      </c>
      <c r="C1205" s="97">
        <v>0.0</v>
      </c>
    </row>
    <row r="1206" ht="15.75" customHeight="1">
      <c r="A1206" s="98">
        <v>44403.0</v>
      </c>
      <c r="B1206" s="98">
        <v>44434.0</v>
      </c>
      <c r="C1206" s="97">
        <v>0.0</v>
      </c>
    </row>
    <row r="1207" ht="15.75" customHeight="1">
      <c r="A1207" s="98">
        <v>44404.0</v>
      </c>
      <c r="B1207" s="98">
        <v>44435.0</v>
      </c>
      <c r="C1207" s="97">
        <v>0.0</v>
      </c>
    </row>
    <row r="1208" ht="15.75" customHeight="1">
      <c r="A1208" s="98">
        <v>44405.0</v>
      </c>
      <c r="B1208" s="98">
        <v>44436.0</v>
      </c>
      <c r="C1208" s="97">
        <v>0.0</v>
      </c>
    </row>
    <row r="1209" ht="15.75" customHeight="1">
      <c r="A1209" s="98">
        <v>44406.0</v>
      </c>
      <c r="B1209" s="98">
        <v>44437.0</v>
      </c>
      <c r="C1209" s="97">
        <v>0.0</v>
      </c>
    </row>
    <row r="1210" ht="15.75" customHeight="1">
      <c r="A1210" s="98">
        <v>44407.0</v>
      </c>
      <c r="B1210" s="98">
        <v>44438.0</v>
      </c>
      <c r="C1210" s="97">
        <v>0.0</v>
      </c>
    </row>
    <row r="1211" ht="15.75" customHeight="1">
      <c r="A1211" s="98">
        <v>44408.0</v>
      </c>
      <c r="B1211" s="98">
        <v>44439.0</v>
      </c>
      <c r="C1211" s="97">
        <v>0.0</v>
      </c>
    </row>
    <row r="1212" ht="15.75" customHeight="1">
      <c r="A1212" s="98">
        <v>44409.0</v>
      </c>
      <c r="B1212" s="98">
        <v>44440.0</v>
      </c>
      <c r="C1212" s="97">
        <v>0.0</v>
      </c>
    </row>
    <row r="1213" ht="15.75" customHeight="1">
      <c r="A1213" s="98">
        <v>44410.0</v>
      </c>
      <c r="B1213" s="98">
        <v>44441.0</v>
      </c>
      <c r="C1213" s="97">
        <v>0.0</v>
      </c>
    </row>
    <row r="1214" ht="15.75" customHeight="1">
      <c r="A1214" s="98">
        <v>44411.0</v>
      </c>
      <c r="B1214" s="98">
        <v>44442.0</v>
      </c>
      <c r="C1214" s="97">
        <v>0.0</v>
      </c>
    </row>
    <row r="1215" ht="15.75" customHeight="1">
      <c r="A1215" s="98">
        <v>44412.0</v>
      </c>
      <c r="B1215" s="98">
        <v>44443.0</v>
      </c>
      <c r="C1215" s="97">
        <v>0.0</v>
      </c>
    </row>
    <row r="1216" ht="15.75" customHeight="1">
      <c r="A1216" s="98">
        <v>44413.0</v>
      </c>
      <c r="B1216" s="98">
        <v>44444.0</v>
      </c>
      <c r="C1216" s="97">
        <v>0.0</v>
      </c>
    </row>
    <row r="1217" ht="15.75" customHeight="1">
      <c r="A1217" s="98">
        <v>44414.0</v>
      </c>
      <c r="B1217" s="98">
        <v>44445.0</v>
      </c>
      <c r="C1217" s="97">
        <v>0.0</v>
      </c>
    </row>
    <row r="1218" ht="15.75" customHeight="1">
      <c r="A1218" s="98">
        <v>44415.0</v>
      </c>
      <c r="B1218" s="98">
        <v>44446.0</v>
      </c>
      <c r="C1218" s="97">
        <v>0.0</v>
      </c>
    </row>
    <row r="1219" ht="15.75" customHeight="1">
      <c r="A1219" s="98">
        <v>44416.0</v>
      </c>
      <c r="B1219" s="98">
        <v>44447.0</v>
      </c>
      <c r="C1219" s="97">
        <v>0.0</v>
      </c>
    </row>
    <row r="1220" ht="15.75" customHeight="1">
      <c r="A1220" s="98">
        <v>44417.0</v>
      </c>
      <c r="B1220" s="98">
        <v>44448.0</v>
      </c>
      <c r="C1220" s="97">
        <v>0.0</v>
      </c>
    </row>
    <row r="1221" ht="15.75" customHeight="1">
      <c r="A1221" s="98">
        <v>44418.0</v>
      </c>
      <c r="B1221" s="98">
        <v>44449.0</v>
      </c>
      <c r="C1221" s="97">
        <v>0.0</v>
      </c>
    </row>
    <row r="1222" ht="15.75" customHeight="1">
      <c r="A1222" s="98">
        <v>44419.0</v>
      </c>
      <c r="B1222" s="98">
        <v>44450.0</v>
      </c>
      <c r="C1222" s="97">
        <v>0.0</v>
      </c>
    </row>
    <row r="1223" ht="15.75" customHeight="1">
      <c r="A1223" s="98">
        <v>44420.0</v>
      </c>
      <c r="B1223" s="98">
        <v>44451.0</v>
      </c>
      <c r="C1223" s="97">
        <v>0.0</v>
      </c>
    </row>
    <row r="1224" ht="15.75" customHeight="1">
      <c r="A1224" s="98">
        <v>44421.0</v>
      </c>
      <c r="B1224" s="98">
        <v>44452.0</v>
      </c>
      <c r="C1224" s="97">
        <v>0.0</v>
      </c>
    </row>
    <row r="1225" ht="15.75" customHeight="1">
      <c r="A1225" s="98">
        <v>44422.0</v>
      </c>
      <c r="B1225" s="98">
        <v>44453.0</v>
      </c>
      <c r="C1225" s="97">
        <v>0.0</v>
      </c>
    </row>
    <row r="1226" ht="15.75" customHeight="1">
      <c r="A1226" s="98">
        <v>44423.0</v>
      </c>
      <c r="B1226" s="98">
        <v>44454.0</v>
      </c>
      <c r="C1226" s="97">
        <v>0.0</v>
      </c>
    </row>
    <row r="1227" ht="15.75" customHeight="1">
      <c r="A1227" s="98">
        <v>44424.0</v>
      </c>
      <c r="B1227" s="98">
        <v>44455.0</v>
      </c>
      <c r="C1227" s="97">
        <v>0.0</v>
      </c>
    </row>
    <row r="1228" ht="15.75" customHeight="1">
      <c r="A1228" s="98">
        <v>44425.0</v>
      </c>
      <c r="B1228" s="98">
        <v>44456.0</v>
      </c>
      <c r="C1228" s="97">
        <v>0.0</v>
      </c>
    </row>
    <row r="1229" ht="15.75" customHeight="1">
      <c r="A1229" s="98">
        <v>44426.0</v>
      </c>
      <c r="B1229" s="98">
        <v>44457.0</v>
      </c>
      <c r="C1229" s="97">
        <v>0.0</v>
      </c>
    </row>
    <row r="1230" ht="15.75" customHeight="1">
      <c r="A1230" s="98">
        <v>44427.0</v>
      </c>
      <c r="B1230" s="98">
        <v>44458.0</v>
      </c>
      <c r="C1230" s="97">
        <v>0.0</v>
      </c>
    </row>
    <row r="1231" ht="15.75" customHeight="1">
      <c r="A1231" s="98">
        <v>44428.0</v>
      </c>
      <c r="B1231" s="98">
        <v>44459.0</v>
      </c>
      <c r="C1231" s="97">
        <v>0.0</v>
      </c>
    </row>
    <row r="1232" ht="15.75" customHeight="1">
      <c r="A1232" s="98">
        <v>44429.0</v>
      </c>
      <c r="B1232" s="98">
        <v>44460.0</v>
      </c>
      <c r="C1232" s="97">
        <v>0.0</v>
      </c>
    </row>
    <row r="1233" ht="15.75" customHeight="1">
      <c r="A1233" s="98">
        <v>44430.0</v>
      </c>
      <c r="B1233" s="98">
        <v>44461.0</v>
      </c>
      <c r="C1233" s="97">
        <v>0.0</v>
      </c>
    </row>
    <row r="1234" ht="15.75" customHeight="1">
      <c r="A1234" s="98">
        <v>44431.0</v>
      </c>
      <c r="B1234" s="98">
        <v>44462.0</v>
      </c>
      <c r="C1234" s="97">
        <v>0.0</v>
      </c>
    </row>
    <row r="1235" ht="15.75" customHeight="1">
      <c r="A1235" s="98">
        <v>44432.0</v>
      </c>
      <c r="B1235" s="98">
        <v>44463.0</v>
      </c>
      <c r="C1235" s="97">
        <v>0.0</v>
      </c>
    </row>
    <row r="1236" ht="15.75" customHeight="1">
      <c r="A1236" s="98">
        <v>44433.0</v>
      </c>
      <c r="B1236" s="98">
        <v>44464.0</v>
      </c>
      <c r="C1236" s="97">
        <v>0.0</v>
      </c>
    </row>
    <row r="1237" ht="15.75" customHeight="1">
      <c r="A1237" s="98">
        <v>44434.0</v>
      </c>
      <c r="B1237" s="98">
        <v>44465.0</v>
      </c>
      <c r="C1237" s="97">
        <v>0.0</v>
      </c>
    </row>
    <row r="1238" ht="15.75" customHeight="1">
      <c r="A1238" s="98">
        <v>44435.0</v>
      </c>
      <c r="B1238" s="98">
        <v>44466.0</v>
      </c>
      <c r="C1238" s="97">
        <v>0.0</v>
      </c>
    </row>
    <row r="1239" ht="15.75" customHeight="1">
      <c r="A1239" s="98">
        <v>44436.0</v>
      </c>
      <c r="B1239" s="98">
        <v>44467.0</v>
      </c>
      <c r="C1239" s="97">
        <v>0.0</v>
      </c>
    </row>
    <row r="1240" ht="15.75" customHeight="1">
      <c r="A1240" s="98">
        <v>44437.0</v>
      </c>
      <c r="B1240" s="98">
        <v>44468.0</v>
      </c>
      <c r="C1240" s="97">
        <v>0.0</v>
      </c>
    </row>
    <row r="1241" ht="15.75" customHeight="1">
      <c r="A1241" s="98">
        <v>44438.0</v>
      </c>
      <c r="B1241" s="98">
        <v>44469.0</v>
      </c>
      <c r="C1241" s="97">
        <v>0.0</v>
      </c>
    </row>
    <row r="1242" ht="15.75" customHeight="1">
      <c r="A1242" s="98">
        <v>44439.0</v>
      </c>
      <c r="B1242" s="98">
        <v>44470.0</v>
      </c>
      <c r="C1242" s="97">
        <v>0.0</v>
      </c>
    </row>
    <row r="1243" ht="15.75" customHeight="1">
      <c r="A1243" s="98">
        <v>44440.0</v>
      </c>
      <c r="B1243" s="98">
        <v>44470.0</v>
      </c>
      <c r="C1243" s="97">
        <v>0.0</v>
      </c>
    </row>
    <row r="1244" ht="15.75" customHeight="1">
      <c r="A1244" s="98">
        <v>44441.0</v>
      </c>
      <c r="B1244" s="98">
        <v>44471.0</v>
      </c>
      <c r="C1244" s="97">
        <v>0.0</v>
      </c>
    </row>
    <row r="1245" ht="15.75" customHeight="1">
      <c r="A1245" s="98">
        <v>44442.0</v>
      </c>
      <c r="B1245" s="98">
        <v>44472.0</v>
      </c>
      <c r="C1245" s="97">
        <v>0.0</v>
      </c>
    </row>
    <row r="1246" ht="15.75" customHeight="1">
      <c r="A1246" s="98">
        <v>44443.0</v>
      </c>
      <c r="B1246" s="98">
        <v>44473.0</v>
      </c>
      <c r="C1246" s="97">
        <v>0.0</v>
      </c>
    </row>
    <row r="1247" ht="15.75" customHeight="1">
      <c r="A1247" s="98">
        <v>44444.0</v>
      </c>
      <c r="B1247" s="98">
        <v>44474.0</v>
      </c>
      <c r="C1247" s="97">
        <v>0.0</v>
      </c>
    </row>
    <row r="1248" ht="15.75" customHeight="1">
      <c r="A1248" s="98">
        <v>44445.0</v>
      </c>
      <c r="B1248" s="98">
        <v>44475.0</v>
      </c>
      <c r="C1248" s="97">
        <v>0.0</v>
      </c>
    </row>
    <row r="1249" ht="15.75" customHeight="1">
      <c r="A1249" s="98">
        <v>44446.0</v>
      </c>
      <c r="B1249" s="98">
        <v>44476.0</v>
      </c>
      <c r="C1249" s="97">
        <v>0.0</v>
      </c>
    </row>
    <row r="1250" ht="15.75" customHeight="1">
      <c r="A1250" s="98">
        <v>44447.0</v>
      </c>
      <c r="B1250" s="98">
        <v>44477.0</v>
      </c>
      <c r="C1250" s="97">
        <v>0.0</v>
      </c>
    </row>
    <row r="1251" ht="15.75" customHeight="1">
      <c r="A1251" s="98">
        <v>44448.0</v>
      </c>
      <c r="B1251" s="98">
        <v>44478.0</v>
      </c>
      <c r="C1251" s="97">
        <v>0.0</v>
      </c>
    </row>
    <row r="1252" ht="15.75" customHeight="1">
      <c r="A1252" s="98">
        <v>44449.0</v>
      </c>
      <c r="B1252" s="98">
        <v>44479.0</v>
      </c>
      <c r="C1252" s="97">
        <v>0.0</v>
      </c>
    </row>
    <row r="1253" ht="15.75" customHeight="1">
      <c r="A1253" s="98">
        <v>44450.0</v>
      </c>
      <c r="B1253" s="98">
        <v>44480.0</v>
      </c>
      <c r="C1253" s="97">
        <v>0.0</v>
      </c>
    </row>
    <row r="1254" ht="15.75" customHeight="1">
      <c r="A1254" s="98">
        <v>44451.0</v>
      </c>
      <c r="B1254" s="98">
        <v>44481.0</v>
      </c>
      <c r="C1254" s="97">
        <v>0.0</v>
      </c>
    </row>
    <row r="1255" ht="15.75" customHeight="1">
      <c r="A1255" s="98">
        <v>44452.0</v>
      </c>
      <c r="B1255" s="98">
        <v>44482.0</v>
      </c>
      <c r="C1255" s="97">
        <v>0.0</v>
      </c>
    </row>
    <row r="1256" ht="15.75" customHeight="1">
      <c r="A1256" s="98">
        <v>44453.0</v>
      </c>
      <c r="B1256" s="98">
        <v>44483.0</v>
      </c>
      <c r="C1256" s="97">
        <v>0.0</v>
      </c>
    </row>
    <row r="1257" ht="15.75" customHeight="1">
      <c r="A1257" s="98">
        <v>44454.0</v>
      </c>
      <c r="B1257" s="98">
        <v>44484.0</v>
      </c>
      <c r="C1257" s="97">
        <v>0.0</v>
      </c>
    </row>
    <row r="1258" ht="15.75" customHeight="1">
      <c r="A1258" s="98">
        <v>44455.0</v>
      </c>
      <c r="B1258" s="98">
        <v>44485.0</v>
      </c>
      <c r="C1258" s="97">
        <v>0.0</v>
      </c>
    </row>
    <row r="1259" ht="15.75" customHeight="1">
      <c r="A1259" s="98">
        <v>44456.0</v>
      </c>
      <c r="B1259" s="98">
        <v>44486.0</v>
      </c>
      <c r="C1259" s="97">
        <v>0.0</v>
      </c>
    </row>
    <row r="1260" ht="15.75" customHeight="1">
      <c r="A1260" s="98">
        <v>44457.0</v>
      </c>
      <c r="B1260" s="98">
        <v>44487.0</v>
      </c>
      <c r="C1260" s="97">
        <v>0.0</v>
      </c>
    </row>
    <row r="1261" ht="15.75" customHeight="1">
      <c r="A1261" s="98">
        <v>44458.0</v>
      </c>
      <c r="B1261" s="98">
        <v>44488.0</v>
      </c>
      <c r="C1261" s="97">
        <v>0.0</v>
      </c>
    </row>
    <row r="1262" ht="15.75" customHeight="1">
      <c r="A1262" s="98">
        <v>44459.0</v>
      </c>
      <c r="B1262" s="98">
        <v>44489.0</v>
      </c>
      <c r="C1262" s="97">
        <v>0.0</v>
      </c>
    </row>
    <row r="1263" ht="15.75" customHeight="1">
      <c r="A1263" s="98">
        <v>44460.0</v>
      </c>
      <c r="B1263" s="98">
        <v>44490.0</v>
      </c>
      <c r="C1263" s="97">
        <v>0.0</v>
      </c>
    </row>
    <row r="1264" ht="15.75" customHeight="1">
      <c r="A1264" s="98">
        <v>44461.0</v>
      </c>
      <c r="B1264" s="98">
        <v>44491.0</v>
      </c>
      <c r="C1264" s="97">
        <v>0.0</v>
      </c>
    </row>
    <row r="1265" ht="15.75" customHeight="1">
      <c r="A1265" s="98">
        <v>44462.0</v>
      </c>
      <c r="B1265" s="98">
        <v>44492.0</v>
      </c>
      <c r="C1265" s="97">
        <v>0.0</v>
      </c>
    </row>
    <row r="1266" ht="15.75" customHeight="1">
      <c r="A1266" s="98">
        <v>44463.0</v>
      </c>
      <c r="B1266" s="98">
        <v>44493.0</v>
      </c>
      <c r="C1266" s="97">
        <v>0.0</v>
      </c>
    </row>
    <row r="1267" ht="15.75" customHeight="1">
      <c r="A1267" s="98">
        <v>44464.0</v>
      </c>
      <c r="B1267" s="98">
        <v>44494.0</v>
      </c>
      <c r="C1267" s="97">
        <v>0.0</v>
      </c>
    </row>
    <row r="1268" ht="15.75" customHeight="1">
      <c r="A1268" s="98">
        <v>44465.0</v>
      </c>
      <c r="B1268" s="98">
        <v>44495.0</v>
      </c>
      <c r="C1268" s="97">
        <v>0.0</v>
      </c>
    </row>
    <row r="1269" ht="15.75" customHeight="1">
      <c r="A1269" s="98">
        <v>44466.0</v>
      </c>
      <c r="B1269" s="98">
        <v>44496.0</v>
      </c>
      <c r="C1269" s="97">
        <v>0.0</v>
      </c>
    </row>
    <row r="1270" ht="15.75" customHeight="1">
      <c r="A1270" s="98">
        <v>44467.0</v>
      </c>
      <c r="B1270" s="98">
        <v>44497.0</v>
      </c>
      <c r="C1270" s="97">
        <v>0.0</v>
      </c>
    </row>
    <row r="1271" ht="15.75" customHeight="1">
      <c r="A1271" s="98">
        <v>44468.0</v>
      </c>
      <c r="B1271" s="98">
        <v>44498.0</v>
      </c>
      <c r="C1271" s="97">
        <v>0.0</v>
      </c>
    </row>
    <row r="1272" ht="15.75" customHeight="1">
      <c r="A1272" s="98">
        <v>44469.0</v>
      </c>
      <c r="B1272" s="98">
        <v>44499.0</v>
      </c>
      <c r="C1272" s="97">
        <v>0.0</v>
      </c>
    </row>
    <row r="1273" ht="15.75" customHeight="1">
      <c r="A1273" s="98">
        <v>44470.0</v>
      </c>
      <c r="B1273" s="98">
        <v>44500.0</v>
      </c>
      <c r="C1273" s="97">
        <v>0.0</v>
      </c>
    </row>
    <row r="1274" ht="15.75" customHeight="1">
      <c r="A1274" s="98">
        <v>44470.0</v>
      </c>
      <c r="B1274" s="98">
        <v>44501.0</v>
      </c>
      <c r="C1274" s="97">
        <v>0.0</v>
      </c>
    </row>
    <row r="1275" ht="15.75" customHeight="1">
      <c r="A1275" s="98">
        <v>44471.0</v>
      </c>
      <c r="B1275" s="98">
        <v>44502.0</v>
      </c>
      <c r="C1275" s="97">
        <v>0.0</v>
      </c>
    </row>
    <row r="1276" ht="15.75" customHeight="1">
      <c r="A1276" s="98">
        <v>44472.0</v>
      </c>
      <c r="B1276" s="98">
        <v>44503.0</v>
      </c>
      <c r="C1276" s="97">
        <v>0.0</v>
      </c>
    </row>
    <row r="1277" ht="15.75" customHeight="1">
      <c r="A1277" s="98">
        <v>44473.0</v>
      </c>
      <c r="B1277" s="98">
        <v>44504.0</v>
      </c>
      <c r="C1277" s="97">
        <v>0.0</v>
      </c>
    </row>
    <row r="1278" ht="15.75" customHeight="1">
      <c r="A1278" s="98">
        <v>44474.0</v>
      </c>
      <c r="B1278" s="98">
        <v>44505.0</v>
      </c>
      <c r="C1278" s="97">
        <v>0.0</v>
      </c>
    </row>
    <row r="1279" ht="15.75" customHeight="1">
      <c r="A1279" s="98">
        <v>44475.0</v>
      </c>
      <c r="B1279" s="98">
        <v>44506.0</v>
      </c>
      <c r="C1279" s="97">
        <v>0.0</v>
      </c>
    </row>
    <row r="1280" ht="15.75" customHeight="1">
      <c r="A1280" s="98">
        <v>44476.0</v>
      </c>
      <c r="B1280" s="98">
        <v>44507.0</v>
      </c>
      <c r="C1280" s="97">
        <v>0.0</v>
      </c>
    </row>
    <row r="1281" ht="15.75" customHeight="1">
      <c r="A1281" s="98">
        <v>44477.0</v>
      </c>
      <c r="B1281" s="98">
        <v>44508.0</v>
      </c>
      <c r="C1281" s="97">
        <v>0.0</v>
      </c>
    </row>
    <row r="1282" ht="15.75" customHeight="1">
      <c r="A1282" s="98">
        <v>44478.0</v>
      </c>
      <c r="B1282" s="98">
        <v>44509.0</v>
      </c>
      <c r="C1282" s="97">
        <v>0.0</v>
      </c>
    </row>
    <row r="1283" ht="15.75" customHeight="1">
      <c r="A1283" s="98">
        <v>44479.0</v>
      </c>
      <c r="B1283" s="98">
        <v>44510.0</v>
      </c>
      <c r="C1283" s="97">
        <v>0.0</v>
      </c>
    </row>
    <row r="1284" ht="15.75" customHeight="1">
      <c r="A1284" s="98">
        <v>44480.0</v>
      </c>
      <c r="B1284" s="98">
        <v>44511.0</v>
      </c>
      <c r="C1284" s="97">
        <v>0.0</v>
      </c>
    </row>
    <row r="1285" ht="15.75" customHeight="1">
      <c r="A1285" s="98">
        <v>44481.0</v>
      </c>
      <c r="B1285" s="98">
        <v>44512.0</v>
      </c>
      <c r="C1285" s="97">
        <v>0.0</v>
      </c>
    </row>
    <row r="1286" ht="15.75" customHeight="1">
      <c r="A1286" s="98">
        <v>44482.0</v>
      </c>
      <c r="B1286" s="98">
        <v>44513.0</v>
      </c>
      <c r="C1286" s="97">
        <v>0.0</v>
      </c>
    </row>
    <row r="1287" ht="15.75" customHeight="1">
      <c r="A1287" s="98">
        <v>44483.0</v>
      </c>
      <c r="B1287" s="98">
        <v>44514.0</v>
      </c>
      <c r="C1287" s="97">
        <v>0.0</v>
      </c>
    </row>
    <row r="1288" ht="15.75" customHeight="1">
      <c r="A1288" s="98">
        <v>44484.0</v>
      </c>
      <c r="B1288" s="98">
        <v>44515.0</v>
      </c>
      <c r="C1288" s="97">
        <v>0.0</v>
      </c>
    </row>
    <row r="1289" ht="15.75" customHeight="1">
      <c r="A1289" s="98">
        <v>44485.0</v>
      </c>
      <c r="B1289" s="98">
        <v>44516.0</v>
      </c>
      <c r="C1289" s="97">
        <v>0.0</v>
      </c>
    </row>
    <row r="1290" ht="15.75" customHeight="1">
      <c r="A1290" s="98">
        <v>44486.0</v>
      </c>
      <c r="B1290" s="98">
        <v>44517.0</v>
      </c>
      <c r="C1290" s="97">
        <v>0.0</v>
      </c>
    </row>
    <row r="1291" ht="15.75" customHeight="1">
      <c r="A1291" s="98">
        <v>44487.0</v>
      </c>
      <c r="B1291" s="98">
        <v>44518.0</v>
      </c>
      <c r="C1291" s="97">
        <v>0.0</v>
      </c>
    </row>
    <row r="1292" ht="15.75" customHeight="1">
      <c r="A1292" s="98">
        <v>44488.0</v>
      </c>
      <c r="B1292" s="98">
        <v>44519.0</v>
      </c>
      <c r="C1292" s="97">
        <v>0.0</v>
      </c>
    </row>
    <row r="1293" ht="15.75" customHeight="1">
      <c r="A1293" s="98">
        <v>44489.0</v>
      </c>
      <c r="B1293" s="98">
        <v>44520.0</v>
      </c>
      <c r="C1293" s="97">
        <v>0.0</v>
      </c>
    </row>
    <row r="1294" ht="15.75" customHeight="1">
      <c r="A1294" s="98">
        <v>44490.0</v>
      </c>
      <c r="B1294" s="98">
        <v>44521.0</v>
      </c>
      <c r="C1294" s="97">
        <v>0.0</v>
      </c>
    </row>
    <row r="1295" ht="15.75" customHeight="1">
      <c r="A1295" s="98">
        <v>44491.0</v>
      </c>
      <c r="B1295" s="98">
        <v>44522.0</v>
      </c>
      <c r="C1295" s="97">
        <v>0.0</v>
      </c>
    </row>
    <row r="1296" ht="15.75" customHeight="1">
      <c r="A1296" s="98">
        <v>44492.0</v>
      </c>
      <c r="B1296" s="98">
        <v>44523.0</v>
      </c>
      <c r="C1296" s="97">
        <v>0.0</v>
      </c>
    </row>
    <row r="1297" ht="15.75" customHeight="1">
      <c r="A1297" s="98">
        <v>44493.0</v>
      </c>
      <c r="B1297" s="98">
        <v>44524.0</v>
      </c>
      <c r="C1297" s="97">
        <v>0.0</v>
      </c>
    </row>
    <row r="1298" ht="15.75" customHeight="1">
      <c r="A1298" s="98">
        <v>44494.0</v>
      </c>
      <c r="B1298" s="98">
        <v>44525.0</v>
      </c>
      <c r="C1298" s="97">
        <v>0.0</v>
      </c>
    </row>
    <row r="1299" ht="15.75" customHeight="1">
      <c r="A1299" s="98">
        <v>44495.0</v>
      </c>
      <c r="B1299" s="98">
        <v>44526.0</v>
      </c>
      <c r="C1299" s="97">
        <v>0.0</v>
      </c>
    </row>
    <row r="1300" ht="15.75" customHeight="1">
      <c r="A1300" s="98">
        <v>44496.0</v>
      </c>
      <c r="B1300" s="98">
        <v>44527.0</v>
      </c>
      <c r="C1300" s="97">
        <v>0.0</v>
      </c>
    </row>
    <row r="1301" ht="15.75" customHeight="1">
      <c r="A1301" s="98">
        <v>44497.0</v>
      </c>
      <c r="B1301" s="98">
        <v>44528.0</v>
      </c>
      <c r="C1301" s="97">
        <v>0.0</v>
      </c>
    </row>
    <row r="1302" ht="15.75" customHeight="1">
      <c r="A1302" s="98">
        <v>44498.0</v>
      </c>
      <c r="B1302" s="98">
        <v>44529.0</v>
      </c>
      <c r="C1302" s="97">
        <v>0.0</v>
      </c>
    </row>
    <row r="1303" ht="15.75" customHeight="1">
      <c r="A1303" s="98">
        <v>44499.0</v>
      </c>
      <c r="B1303" s="98">
        <v>44530.0</v>
      </c>
      <c r="C1303" s="97">
        <v>0.0</v>
      </c>
    </row>
    <row r="1304" ht="15.75" customHeight="1">
      <c r="A1304" s="98">
        <v>44500.0</v>
      </c>
      <c r="B1304" s="98">
        <v>44531.0</v>
      </c>
      <c r="C1304" s="97">
        <v>0.0</v>
      </c>
    </row>
    <row r="1305" ht="15.75" customHeight="1">
      <c r="A1305" s="98">
        <v>44501.0</v>
      </c>
      <c r="B1305" s="98">
        <v>44531.0</v>
      </c>
      <c r="C1305" s="97">
        <v>0.0</v>
      </c>
    </row>
    <row r="1306" ht="15.75" customHeight="1">
      <c r="A1306" s="98">
        <v>44502.0</v>
      </c>
      <c r="B1306" s="98">
        <v>44532.0</v>
      </c>
      <c r="C1306" s="97">
        <v>0.0</v>
      </c>
    </row>
    <row r="1307" ht="15.75" customHeight="1">
      <c r="A1307" s="98">
        <v>44503.0</v>
      </c>
      <c r="B1307" s="98">
        <v>44533.0</v>
      </c>
      <c r="C1307" s="97">
        <v>0.0</v>
      </c>
    </row>
    <row r="1308" ht="15.75" customHeight="1">
      <c r="A1308" s="98">
        <v>44504.0</v>
      </c>
      <c r="B1308" s="98">
        <v>44534.0</v>
      </c>
      <c r="C1308" s="97">
        <v>0.0</v>
      </c>
    </row>
    <row r="1309" ht="15.75" customHeight="1">
      <c r="A1309" s="98">
        <v>44505.0</v>
      </c>
      <c r="B1309" s="98">
        <v>44535.0</v>
      </c>
      <c r="C1309" s="97">
        <v>0.0</v>
      </c>
    </row>
    <row r="1310" ht="15.75" customHeight="1">
      <c r="A1310" s="98">
        <v>44506.0</v>
      </c>
      <c r="B1310" s="98">
        <v>44536.0</v>
      </c>
      <c r="C1310" s="97">
        <v>0.0</v>
      </c>
    </row>
    <row r="1311" ht="15.75" customHeight="1">
      <c r="A1311" s="98">
        <v>44507.0</v>
      </c>
      <c r="B1311" s="98">
        <v>44537.0</v>
      </c>
      <c r="C1311" s="97">
        <v>0.0</v>
      </c>
    </row>
    <row r="1312" ht="15.75" customHeight="1">
      <c r="A1312" s="98">
        <v>44508.0</v>
      </c>
      <c r="B1312" s="98">
        <v>44538.0</v>
      </c>
      <c r="C1312" s="97">
        <v>0.0</v>
      </c>
    </row>
    <row r="1313" ht="15.75" customHeight="1">
      <c r="A1313" s="98">
        <v>44509.0</v>
      </c>
      <c r="B1313" s="98">
        <v>44539.0</v>
      </c>
      <c r="C1313" s="97">
        <v>0.0</v>
      </c>
    </row>
    <row r="1314" ht="15.75" customHeight="1">
      <c r="A1314" s="98">
        <v>44510.0</v>
      </c>
      <c r="B1314" s="98">
        <v>44540.0</v>
      </c>
      <c r="C1314" s="97">
        <v>0.0</v>
      </c>
    </row>
    <row r="1315" ht="15.75" customHeight="1">
      <c r="A1315" s="98">
        <v>44511.0</v>
      </c>
      <c r="B1315" s="98">
        <v>44541.0</v>
      </c>
      <c r="C1315" s="97">
        <v>0.0</v>
      </c>
    </row>
    <row r="1316" ht="15.75" customHeight="1">
      <c r="A1316" s="98">
        <v>44512.0</v>
      </c>
      <c r="B1316" s="98">
        <v>44542.0</v>
      </c>
      <c r="C1316" s="97">
        <v>0.0</v>
      </c>
    </row>
    <row r="1317" ht="15.75" customHeight="1">
      <c r="A1317" s="98">
        <v>44513.0</v>
      </c>
      <c r="B1317" s="98">
        <v>44543.0</v>
      </c>
      <c r="C1317" s="97">
        <v>0.0</v>
      </c>
    </row>
    <row r="1318" ht="15.75" customHeight="1">
      <c r="A1318" s="98">
        <v>44514.0</v>
      </c>
      <c r="B1318" s="98">
        <v>44544.0</v>
      </c>
      <c r="C1318" s="97">
        <v>0.0</v>
      </c>
    </row>
    <row r="1319" ht="15.75" customHeight="1">
      <c r="A1319" s="98">
        <v>44515.0</v>
      </c>
      <c r="B1319" s="98">
        <v>44545.0</v>
      </c>
      <c r="C1319" s="97">
        <v>0.0</v>
      </c>
    </row>
    <row r="1320" ht="15.75" customHeight="1">
      <c r="A1320" s="98">
        <v>44516.0</v>
      </c>
      <c r="B1320" s="98">
        <v>44546.0</v>
      </c>
      <c r="C1320" s="97">
        <v>0.0143</v>
      </c>
    </row>
    <row r="1321" ht="15.75" customHeight="1">
      <c r="A1321" s="98">
        <v>44517.0</v>
      </c>
      <c r="B1321" s="98">
        <v>44547.0</v>
      </c>
      <c r="C1321" s="97">
        <v>0.0165</v>
      </c>
    </row>
    <row r="1322" ht="15.75" customHeight="1">
      <c r="A1322" s="98">
        <v>44518.0</v>
      </c>
      <c r="B1322" s="98">
        <v>44548.0</v>
      </c>
      <c r="C1322" s="97">
        <v>0.0173</v>
      </c>
    </row>
    <row r="1323" ht="15.75" customHeight="1">
      <c r="A1323" s="98">
        <v>44519.0</v>
      </c>
      <c r="B1323" s="98">
        <v>44549.0</v>
      </c>
      <c r="C1323" s="97">
        <v>0.0</v>
      </c>
    </row>
    <row r="1324" ht="15.75" customHeight="1">
      <c r="A1324" s="98">
        <v>44520.0</v>
      </c>
      <c r="B1324" s="98">
        <v>44550.0</v>
      </c>
      <c r="C1324" s="97">
        <v>0.0</v>
      </c>
    </row>
    <row r="1325" ht="15.75" customHeight="1">
      <c r="A1325" s="98">
        <v>44521.0</v>
      </c>
      <c r="B1325" s="98">
        <v>44551.0</v>
      </c>
      <c r="C1325" s="97">
        <v>0.0</v>
      </c>
    </row>
    <row r="1326" ht="15.75" customHeight="1">
      <c r="A1326" s="98">
        <v>44522.0</v>
      </c>
      <c r="B1326" s="98">
        <v>44552.0</v>
      </c>
      <c r="C1326" s="97">
        <v>0.0157</v>
      </c>
    </row>
    <row r="1327" ht="15.75" customHeight="1">
      <c r="A1327" s="98">
        <v>44523.0</v>
      </c>
      <c r="B1327" s="98">
        <v>44553.0</v>
      </c>
      <c r="C1327" s="97">
        <v>0.017</v>
      </c>
    </row>
    <row r="1328" ht="15.75" customHeight="1">
      <c r="A1328" s="98">
        <v>44524.0</v>
      </c>
      <c r="B1328" s="98">
        <v>44554.0</v>
      </c>
      <c r="C1328" s="97">
        <v>0.0194</v>
      </c>
    </row>
    <row r="1329" ht="15.75" customHeight="1">
      <c r="A1329" s="98">
        <v>44525.0</v>
      </c>
      <c r="B1329" s="98">
        <v>44555.0</v>
      </c>
      <c r="C1329" s="97">
        <v>0.0207</v>
      </c>
    </row>
    <row r="1330" ht="15.75" customHeight="1">
      <c r="A1330" s="98">
        <v>44526.0</v>
      </c>
      <c r="B1330" s="98">
        <v>44556.0</v>
      </c>
      <c r="C1330" s="97">
        <v>0.0</v>
      </c>
    </row>
    <row r="1331" ht="15.75" customHeight="1">
      <c r="A1331" s="98">
        <v>44527.0</v>
      </c>
      <c r="B1331" s="98">
        <v>44557.0</v>
      </c>
      <c r="C1331" s="97">
        <v>0.0</v>
      </c>
    </row>
    <row r="1332" ht="15.75" customHeight="1">
      <c r="A1332" s="98">
        <v>44528.0</v>
      </c>
      <c r="B1332" s="98">
        <v>44558.0</v>
      </c>
      <c r="C1332" s="97">
        <v>0.0</v>
      </c>
    </row>
    <row r="1333" ht="15.75" customHeight="1">
      <c r="A1333" s="98">
        <v>44529.0</v>
      </c>
      <c r="B1333" s="98">
        <v>44559.0</v>
      </c>
      <c r="C1333" s="97">
        <v>0.0212</v>
      </c>
    </row>
    <row r="1334" ht="15.75" customHeight="1">
      <c r="A1334" s="98">
        <v>44530.0</v>
      </c>
      <c r="B1334" s="98">
        <v>44560.0</v>
      </c>
      <c r="C1334" s="97">
        <v>0.0248</v>
      </c>
    </row>
    <row r="1335" ht="15.75" customHeight="1">
      <c r="A1335" s="98">
        <v>44531.0</v>
      </c>
      <c r="B1335" s="98">
        <v>44561.0</v>
      </c>
      <c r="C1335" s="97">
        <v>0.0274</v>
      </c>
    </row>
    <row r="1336" ht="15.75" customHeight="1">
      <c r="A1336" s="98">
        <v>44531.0</v>
      </c>
      <c r="B1336" s="98">
        <v>44562.0</v>
      </c>
      <c r="C1336" s="97">
        <v>0.0488</v>
      </c>
    </row>
    <row r="1337" ht="15.75" customHeight="1">
      <c r="A1337" s="98">
        <v>44532.0</v>
      </c>
      <c r="B1337" s="98">
        <v>44563.0</v>
      </c>
      <c r="C1337" s="97">
        <v>0.0326</v>
      </c>
    </row>
    <row r="1338" ht="15.75" customHeight="1">
      <c r="A1338" s="98">
        <v>44533.0</v>
      </c>
      <c r="B1338" s="98">
        <v>44564.0</v>
      </c>
      <c r="C1338" s="97">
        <v>0.0159</v>
      </c>
    </row>
    <row r="1339" ht="15.75" customHeight="1">
      <c r="A1339" s="98">
        <v>44534.0</v>
      </c>
      <c r="B1339" s="98">
        <v>44565.0</v>
      </c>
      <c r="C1339" s="97">
        <v>0.0213</v>
      </c>
    </row>
    <row r="1340" ht="15.75" customHeight="1">
      <c r="A1340" s="98">
        <v>44535.0</v>
      </c>
      <c r="B1340" s="98">
        <v>44566.0</v>
      </c>
      <c r="C1340" s="97">
        <v>0.0476</v>
      </c>
    </row>
    <row r="1341" ht="15.75" customHeight="1">
      <c r="A1341" s="98">
        <v>44536.0</v>
      </c>
      <c r="B1341" s="98">
        <v>44567.0</v>
      </c>
      <c r="C1341" s="97">
        <v>0.0739</v>
      </c>
    </row>
    <row r="1342" ht="15.75" customHeight="1">
      <c r="A1342" s="98">
        <v>44537.0</v>
      </c>
      <c r="B1342" s="98">
        <v>44568.0</v>
      </c>
      <c r="C1342" s="97">
        <v>0.0833</v>
      </c>
    </row>
    <row r="1343" ht="15.75" customHeight="1">
      <c r="A1343" s="98">
        <v>44538.0</v>
      </c>
      <c r="B1343" s="98">
        <v>44569.0</v>
      </c>
      <c r="C1343" s="97">
        <v>0.0821</v>
      </c>
    </row>
    <row r="1344" ht="15.75" customHeight="1">
      <c r="A1344" s="98">
        <v>44539.0</v>
      </c>
      <c r="B1344" s="98">
        <v>44570.0</v>
      </c>
      <c r="C1344" s="97">
        <v>0.0652</v>
      </c>
    </row>
    <row r="1345" ht="15.75" customHeight="1">
      <c r="A1345" s="98">
        <v>44540.0</v>
      </c>
      <c r="B1345" s="98">
        <v>44571.0</v>
      </c>
      <c r="C1345" s="97">
        <v>0.0436</v>
      </c>
    </row>
    <row r="1346" ht="15.75" customHeight="1">
      <c r="A1346" s="98">
        <v>44541.0</v>
      </c>
      <c r="B1346" s="98">
        <v>44572.0</v>
      </c>
      <c r="C1346" s="97">
        <v>0.0469</v>
      </c>
    </row>
    <row r="1347" ht="15.75" customHeight="1">
      <c r="A1347" s="98">
        <v>44542.0</v>
      </c>
      <c r="B1347" s="98">
        <v>44573.0</v>
      </c>
      <c r="C1347" s="97">
        <v>0.0728</v>
      </c>
    </row>
    <row r="1348" ht="15.75" customHeight="1">
      <c r="A1348" s="98">
        <v>44543.0</v>
      </c>
      <c r="B1348" s="98">
        <v>44574.0</v>
      </c>
      <c r="C1348" s="97">
        <v>0.0987</v>
      </c>
    </row>
    <row r="1349" ht="15.75" customHeight="1">
      <c r="A1349" s="98">
        <v>44544.0</v>
      </c>
      <c r="B1349" s="98">
        <v>44575.0</v>
      </c>
      <c r="C1349" s="97">
        <v>0.1024</v>
      </c>
    </row>
    <row r="1350" ht="15.75" customHeight="1">
      <c r="A1350" s="98">
        <v>44545.0</v>
      </c>
      <c r="B1350" s="98">
        <v>44576.0</v>
      </c>
      <c r="C1350" s="97">
        <v>0.1037</v>
      </c>
    </row>
    <row r="1351" ht="15.75" customHeight="1">
      <c r="A1351" s="98">
        <v>44546.0</v>
      </c>
      <c r="B1351" s="98">
        <v>44577.0</v>
      </c>
      <c r="C1351" s="97">
        <v>0.0835</v>
      </c>
    </row>
    <row r="1352" ht="15.75" customHeight="1">
      <c r="A1352" s="98">
        <v>44547.0</v>
      </c>
      <c r="B1352" s="98">
        <v>44578.0</v>
      </c>
      <c r="C1352" s="97">
        <v>0.0498</v>
      </c>
    </row>
    <row r="1353" ht="15.75" customHeight="1">
      <c r="A1353" s="98">
        <v>44548.0</v>
      </c>
      <c r="B1353" s="98">
        <v>44579.0</v>
      </c>
      <c r="C1353" s="97">
        <v>0.0536</v>
      </c>
    </row>
    <row r="1354" ht="15.75" customHeight="1">
      <c r="A1354" s="98">
        <v>44549.0</v>
      </c>
      <c r="B1354" s="98">
        <v>44580.0</v>
      </c>
      <c r="C1354" s="97">
        <v>0.0896</v>
      </c>
    </row>
    <row r="1355" ht="15.75" customHeight="1">
      <c r="A1355" s="98">
        <v>44550.0</v>
      </c>
      <c r="B1355" s="98">
        <v>44581.0</v>
      </c>
      <c r="C1355" s="97">
        <v>0.1156</v>
      </c>
    </row>
    <row r="1356" ht="15.75" customHeight="1">
      <c r="A1356" s="99">
        <v>44551.0</v>
      </c>
      <c r="B1356" s="99">
        <v>44582.0</v>
      </c>
      <c r="C1356" s="100">
        <v>0.1195</v>
      </c>
    </row>
    <row r="1357" ht="15.75" customHeight="1">
      <c r="A1357" s="98">
        <v>44552.0</v>
      </c>
      <c r="B1357" s="98">
        <v>44583.0</v>
      </c>
      <c r="C1357" s="97">
        <v>0.1141</v>
      </c>
    </row>
    <row r="1358" ht="15.75" customHeight="1">
      <c r="A1358" s="98">
        <v>44553.0</v>
      </c>
      <c r="B1358" s="98">
        <v>44584.0</v>
      </c>
      <c r="C1358" s="97">
        <v>0.0905</v>
      </c>
    </row>
    <row r="1359" ht="15.75" customHeight="1">
      <c r="A1359" s="98">
        <v>44554.0</v>
      </c>
      <c r="B1359" s="98">
        <v>44585.0</v>
      </c>
      <c r="C1359" s="97">
        <v>0.0688</v>
      </c>
    </row>
    <row r="1360" ht="15.75" customHeight="1">
      <c r="A1360" s="98">
        <v>44555.0</v>
      </c>
      <c r="B1360" s="98">
        <v>44586.0</v>
      </c>
      <c r="C1360" s="97">
        <v>0.0735</v>
      </c>
    </row>
    <row r="1361" ht="15.75" customHeight="1">
      <c r="A1361" s="98">
        <v>44556.0</v>
      </c>
      <c r="B1361" s="98">
        <v>44587.0</v>
      </c>
      <c r="C1361" s="97">
        <v>0.0997</v>
      </c>
    </row>
    <row r="1362" ht="15.75" customHeight="1">
      <c r="A1362" s="98">
        <v>44557.0</v>
      </c>
      <c r="B1362" s="98">
        <v>44588.0</v>
      </c>
      <c r="C1362" s="97">
        <v>0.1259</v>
      </c>
    </row>
    <row r="1363" ht="15.75" customHeight="1">
      <c r="A1363" s="98">
        <v>44558.0</v>
      </c>
      <c r="B1363" s="98">
        <v>44589.0</v>
      </c>
      <c r="C1363" s="97">
        <v>0.1312</v>
      </c>
    </row>
    <row r="1364" ht="15.75" customHeight="1">
      <c r="A1364" s="98">
        <v>44559.0</v>
      </c>
      <c r="B1364" s="98">
        <v>44590.0</v>
      </c>
      <c r="C1364" s="97">
        <v>0.1345</v>
      </c>
    </row>
    <row r="1365" ht="15.75" customHeight="1">
      <c r="A1365" s="98">
        <v>44560.0</v>
      </c>
      <c r="B1365" s="98">
        <v>44591.0</v>
      </c>
      <c r="C1365" s="97">
        <v>0.1112</v>
      </c>
    </row>
    <row r="1366" ht="15.75" customHeight="1">
      <c r="A1366" s="98">
        <v>44561.0</v>
      </c>
      <c r="B1366" s="98">
        <v>44592.0</v>
      </c>
      <c r="C1366" s="97">
        <v>0.0853</v>
      </c>
    </row>
    <row r="1367" ht="15.75" customHeight="1">
      <c r="A1367" s="98">
        <v>44562.0</v>
      </c>
      <c r="B1367" s="98">
        <v>44593.0</v>
      </c>
      <c r="C1367" s="97">
        <v>0.0605</v>
      </c>
    </row>
    <row r="1368" ht="15.75" customHeight="1">
      <c r="A1368" s="98">
        <v>44563.0</v>
      </c>
      <c r="B1368" s="98">
        <v>44594.0</v>
      </c>
      <c r="C1368" s="97">
        <v>0.0868</v>
      </c>
    </row>
    <row r="1369" ht="15.75" customHeight="1">
      <c r="A1369" s="98">
        <v>44564.0</v>
      </c>
      <c r="B1369" s="98">
        <v>44595.0</v>
      </c>
      <c r="C1369" s="97">
        <v>0.1132</v>
      </c>
    </row>
    <row r="1370" ht="15.75" customHeight="1">
      <c r="A1370" s="98">
        <v>44565.0</v>
      </c>
      <c r="B1370" s="98">
        <v>44596.0</v>
      </c>
      <c r="C1370" s="97">
        <v>0.1152</v>
      </c>
    </row>
    <row r="1371" ht="15.75" customHeight="1">
      <c r="A1371" s="98">
        <v>44566.0</v>
      </c>
      <c r="B1371" s="98">
        <v>44597.0</v>
      </c>
      <c r="C1371" s="97">
        <v>0.114</v>
      </c>
    </row>
    <row r="1372" ht="15.75" customHeight="1">
      <c r="A1372" s="98">
        <v>44567.0</v>
      </c>
      <c r="B1372" s="98">
        <v>44598.0</v>
      </c>
      <c r="C1372" s="97">
        <v>0.0903</v>
      </c>
    </row>
    <row r="1373" ht="15.75" customHeight="1">
      <c r="A1373" s="98">
        <v>44568.0</v>
      </c>
      <c r="B1373" s="98">
        <v>44599.0</v>
      </c>
      <c r="C1373" s="97">
        <v>0.0657</v>
      </c>
    </row>
    <row r="1374" ht="15.75" customHeight="1">
      <c r="A1374" s="98">
        <v>44569.0</v>
      </c>
      <c r="B1374" s="98">
        <v>44600.0</v>
      </c>
      <c r="C1374" s="97">
        <v>0.0674</v>
      </c>
    </row>
    <row r="1375" ht="15.75" customHeight="1">
      <c r="A1375" s="98">
        <v>44570.0</v>
      </c>
      <c r="B1375" s="98">
        <v>44601.0</v>
      </c>
      <c r="C1375" s="97">
        <v>0.0941</v>
      </c>
    </row>
    <row r="1376" ht="15.75" customHeight="1">
      <c r="A1376" s="98">
        <v>44571.0</v>
      </c>
      <c r="B1376" s="98">
        <v>44602.0</v>
      </c>
      <c r="C1376" s="97">
        <v>0.1209</v>
      </c>
    </row>
    <row r="1377" ht="15.75" customHeight="1">
      <c r="A1377" s="98">
        <v>44572.0</v>
      </c>
      <c r="B1377" s="98">
        <v>44603.0</v>
      </c>
      <c r="C1377" s="97">
        <v>0.1243</v>
      </c>
    </row>
    <row r="1378" ht="15.75" customHeight="1">
      <c r="A1378" s="98">
        <v>44573.0</v>
      </c>
      <c r="B1378" s="98">
        <v>44604.0</v>
      </c>
      <c r="C1378" s="97">
        <v>0.1249</v>
      </c>
    </row>
    <row r="1379" ht="15.75" customHeight="1">
      <c r="A1379" s="98">
        <v>44574.0</v>
      </c>
      <c r="B1379" s="98">
        <v>44605.0</v>
      </c>
      <c r="C1379" s="97">
        <v>0.0995</v>
      </c>
    </row>
    <row r="1380" ht="15.75" customHeight="1">
      <c r="A1380" s="98">
        <v>44575.0</v>
      </c>
      <c r="B1380" s="98">
        <v>44606.0</v>
      </c>
      <c r="C1380" s="97">
        <v>0.0747</v>
      </c>
    </row>
    <row r="1381" ht="15.75" customHeight="1">
      <c r="A1381" s="98">
        <v>44576.0</v>
      </c>
      <c r="B1381" s="98">
        <v>44607.0</v>
      </c>
      <c r="C1381" s="97">
        <v>0.076</v>
      </c>
    </row>
    <row r="1382" ht="15.75" customHeight="1">
      <c r="A1382" s="98">
        <v>44577.0</v>
      </c>
      <c r="B1382" s="98">
        <v>44608.0</v>
      </c>
      <c r="C1382" s="97">
        <v>0.1031</v>
      </c>
    </row>
    <row r="1383" ht="15.75" customHeight="1">
      <c r="A1383" s="98">
        <v>44578.0</v>
      </c>
      <c r="B1383" s="98">
        <v>44609.0</v>
      </c>
      <c r="C1383" s="97">
        <v>0.1303</v>
      </c>
    </row>
    <row r="1384" ht="15.75" customHeight="1">
      <c r="A1384" s="98">
        <v>44579.0</v>
      </c>
      <c r="B1384" s="98">
        <v>44610.0</v>
      </c>
      <c r="C1384" s="97">
        <v>0.1317</v>
      </c>
    </row>
    <row r="1385" ht="15.75" customHeight="1">
      <c r="A1385" s="98">
        <v>44580.0</v>
      </c>
      <c r="B1385" s="98">
        <v>44611.0</v>
      </c>
      <c r="C1385" s="97">
        <v>0.1333</v>
      </c>
    </row>
    <row r="1386" ht="15.75" customHeight="1">
      <c r="A1386" s="98">
        <v>44581.0</v>
      </c>
      <c r="B1386" s="98">
        <v>44612.0</v>
      </c>
      <c r="C1386" s="97">
        <v>0.1101</v>
      </c>
    </row>
    <row r="1387" ht="15.75" customHeight="1">
      <c r="A1387" s="99">
        <v>44582.0</v>
      </c>
      <c r="B1387" s="99">
        <v>44613.0</v>
      </c>
      <c r="C1387" s="100">
        <v>0.0841</v>
      </c>
    </row>
    <row r="1388" ht="15.75" customHeight="1">
      <c r="A1388" s="98">
        <v>44583.0</v>
      </c>
      <c r="B1388" s="98">
        <v>44614.0</v>
      </c>
      <c r="C1388" s="97">
        <v>0.0873</v>
      </c>
    </row>
    <row r="1389" ht="15.75" customHeight="1">
      <c r="A1389" s="98">
        <v>44584.0</v>
      </c>
      <c r="B1389" s="98">
        <v>44615.0</v>
      </c>
      <c r="C1389" s="97">
        <v>0.115</v>
      </c>
    </row>
    <row r="1390" ht="15.75" customHeight="1">
      <c r="A1390" s="98">
        <v>44585.0</v>
      </c>
      <c r="B1390" s="98">
        <v>44616.0</v>
      </c>
      <c r="C1390" s="97">
        <v>0.1428</v>
      </c>
    </row>
    <row r="1391" ht="15.75" customHeight="1">
      <c r="A1391" s="98">
        <v>44586.0</v>
      </c>
      <c r="B1391" s="98">
        <v>44617.0</v>
      </c>
      <c r="C1391" s="97">
        <v>0.1436</v>
      </c>
    </row>
    <row r="1392" ht="15.75" customHeight="1">
      <c r="A1392" s="98">
        <v>44587.0</v>
      </c>
      <c r="B1392" s="98">
        <v>44618.0</v>
      </c>
      <c r="C1392" s="97">
        <v>0.1364</v>
      </c>
    </row>
    <row r="1393" ht="15.75" customHeight="1">
      <c r="A1393" s="98">
        <v>44588.0</v>
      </c>
      <c r="B1393" s="98">
        <v>44619.0</v>
      </c>
      <c r="C1393" s="97">
        <v>0.1113</v>
      </c>
    </row>
    <row r="1394" ht="15.75" customHeight="1">
      <c r="A1394" s="98">
        <v>44589.0</v>
      </c>
      <c r="B1394" s="98">
        <v>44620.0</v>
      </c>
      <c r="C1394" s="97">
        <v>0.0478</v>
      </c>
    </row>
    <row r="1395" ht="15.75" customHeight="1">
      <c r="A1395" s="98">
        <v>44590.0</v>
      </c>
      <c r="B1395" s="98">
        <v>44621.0</v>
      </c>
      <c r="C1395" s="97">
        <v>0.0231</v>
      </c>
    </row>
    <row r="1396" ht="15.75" customHeight="1">
      <c r="A1396" s="98">
        <v>44591.0</v>
      </c>
      <c r="B1396" s="98">
        <v>44621.0</v>
      </c>
      <c r="C1396" s="97">
        <v>0.0231</v>
      </c>
    </row>
    <row r="1397" ht="15.75" customHeight="1">
      <c r="A1397" s="98">
        <v>44592.0</v>
      </c>
      <c r="B1397" s="98">
        <v>44621.0</v>
      </c>
      <c r="C1397" s="97">
        <v>0.0231</v>
      </c>
    </row>
    <row r="1398" ht="15.75" customHeight="1">
      <c r="A1398" s="98">
        <v>44593.0</v>
      </c>
      <c r="B1398" s="98">
        <v>44621.0</v>
      </c>
      <c r="C1398" s="97">
        <v>0.0</v>
      </c>
    </row>
    <row r="1399" ht="15.75" customHeight="1">
      <c r="A1399" s="98">
        <v>44594.0</v>
      </c>
      <c r="B1399" s="98">
        <v>44622.0</v>
      </c>
      <c r="C1399" s="97">
        <v>0.0</v>
      </c>
    </row>
    <row r="1400" ht="15.75" customHeight="1">
      <c r="A1400" s="98">
        <v>44595.0</v>
      </c>
      <c r="B1400" s="98">
        <v>44623.0</v>
      </c>
      <c r="C1400" s="97">
        <v>0.0</v>
      </c>
    </row>
    <row r="1401" ht="15.75" customHeight="1">
      <c r="A1401" s="98">
        <v>44596.0</v>
      </c>
      <c r="B1401" s="98">
        <v>44624.0</v>
      </c>
      <c r="C1401" s="97">
        <v>0.0</v>
      </c>
    </row>
    <row r="1402" ht="15.75" customHeight="1">
      <c r="A1402" s="98">
        <v>44597.0</v>
      </c>
      <c r="B1402" s="98">
        <v>44625.0</v>
      </c>
      <c r="C1402" s="97">
        <v>0.0</v>
      </c>
    </row>
    <row r="1403" ht="15.75" customHeight="1">
      <c r="A1403" s="98">
        <v>44598.0</v>
      </c>
      <c r="B1403" s="98">
        <v>44626.0</v>
      </c>
      <c r="C1403" s="97">
        <v>0.0</v>
      </c>
    </row>
    <row r="1404" ht="15.75" customHeight="1">
      <c r="A1404" s="98">
        <v>44599.0</v>
      </c>
      <c r="B1404" s="98">
        <v>44627.0</v>
      </c>
      <c r="C1404" s="97">
        <v>0.0</v>
      </c>
    </row>
    <row r="1405" ht="15.75" customHeight="1">
      <c r="A1405" s="98">
        <v>44600.0</v>
      </c>
      <c r="B1405" s="98">
        <v>44628.0</v>
      </c>
      <c r="C1405" s="97">
        <v>0.0</v>
      </c>
    </row>
    <row r="1406" ht="15.75" customHeight="1">
      <c r="A1406" s="98">
        <v>44601.0</v>
      </c>
      <c r="B1406" s="98">
        <v>44629.0</v>
      </c>
      <c r="C1406" s="97">
        <v>0.0</v>
      </c>
    </row>
    <row r="1407" ht="15.75" customHeight="1">
      <c r="A1407" s="98">
        <v>44602.0</v>
      </c>
      <c r="B1407" s="98">
        <v>44630.0</v>
      </c>
      <c r="C1407" s="97">
        <v>0.0</v>
      </c>
    </row>
    <row r="1408" ht="15.75" customHeight="1">
      <c r="A1408" s="98">
        <v>44603.0</v>
      </c>
      <c r="B1408" s="98">
        <v>44631.0</v>
      </c>
      <c r="C1408" s="97">
        <v>0.0</v>
      </c>
    </row>
    <row r="1409" ht="15.75" customHeight="1">
      <c r="A1409" s="98">
        <v>44604.0</v>
      </c>
      <c r="B1409" s="98">
        <v>44632.0</v>
      </c>
      <c r="C1409" s="97">
        <v>0.0</v>
      </c>
    </row>
    <row r="1410" ht="15.75" customHeight="1">
      <c r="A1410" s="98">
        <v>44605.0</v>
      </c>
      <c r="B1410" s="98">
        <v>44633.0</v>
      </c>
      <c r="C1410" s="97">
        <v>0.0</v>
      </c>
    </row>
    <row r="1411" ht="15.75" customHeight="1">
      <c r="A1411" s="98">
        <v>44606.0</v>
      </c>
      <c r="B1411" s="98">
        <v>44634.0</v>
      </c>
      <c r="C1411" s="97">
        <v>0.0</v>
      </c>
    </row>
    <row r="1412" ht="15.75" customHeight="1">
      <c r="A1412" s="98">
        <v>44607.0</v>
      </c>
      <c r="B1412" s="98">
        <v>44635.0</v>
      </c>
      <c r="C1412" s="97">
        <v>0.0</v>
      </c>
    </row>
    <row r="1413" ht="15.75" customHeight="1">
      <c r="A1413" s="98">
        <v>44608.0</v>
      </c>
      <c r="B1413" s="98">
        <v>44636.0</v>
      </c>
      <c r="C1413" s="97">
        <v>0.0</v>
      </c>
    </row>
    <row r="1414" ht="15.75" customHeight="1">
      <c r="A1414" s="98">
        <v>44609.0</v>
      </c>
      <c r="B1414" s="98">
        <v>44637.0</v>
      </c>
      <c r="C1414" s="97">
        <v>0.0</v>
      </c>
    </row>
    <row r="1415" ht="15.75" customHeight="1">
      <c r="A1415" s="98">
        <v>44610.0</v>
      </c>
      <c r="B1415" s="98">
        <v>44638.0</v>
      </c>
      <c r="C1415" s="97">
        <v>0.0</v>
      </c>
    </row>
    <row r="1416" ht="15.75" customHeight="1">
      <c r="A1416" s="98">
        <v>44611.0</v>
      </c>
      <c r="B1416" s="98">
        <v>44639.0</v>
      </c>
      <c r="C1416" s="97">
        <v>0.0</v>
      </c>
    </row>
    <row r="1417" ht="15.75" customHeight="1">
      <c r="A1417" s="98">
        <v>44612.0</v>
      </c>
      <c r="B1417" s="98">
        <v>44640.0</v>
      </c>
      <c r="C1417" s="97">
        <v>0.0</v>
      </c>
    </row>
    <row r="1418" ht="15.75" customHeight="1">
      <c r="A1418" s="99">
        <v>44613.0</v>
      </c>
      <c r="B1418" s="99">
        <v>44641.0</v>
      </c>
      <c r="C1418" s="100">
        <v>0.0</v>
      </c>
    </row>
    <row r="1419" ht="15.75" customHeight="1">
      <c r="A1419" s="98">
        <v>44614.0</v>
      </c>
      <c r="B1419" s="98">
        <v>44642.0</v>
      </c>
      <c r="C1419" s="97">
        <v>0.0</v>
      </c>
    </row>
    <row r="1420" ht="15.75" customHeight="1">
      <c r="A1420" s="98">
        <v>44615.0</v>
      </c>
      <c r="B1420" s="98">
        <v>44643.0</v>
      </c>
      <c r="C1420" s="97">
        <v>0.0</v>
      </c>
    </row>
    <row r="1421" ht="15.75" customHeight="1">
      <c r="A1421" s="98">
        <v>44616.0</v>
      </c>
      <c r="B1421" s="98">
        <v>44644.0</v>
      </c>
      <c r="C1421" s="97">
        <v>0.0</v>
      </c>
    </row>
    <row r="1422" ht="15.75" customHeight="1">
      <c r="A1422" s="98">
        <v>44617.0</v>
      </c>
      <c r="B1422" s="98">
        <v>44645.0</v>
      </c>
      <c r="C1422" s="97">
        <v>0.0</v>
      </c>
    </row>
    <row r="1423" ht="15.75" customHeight="1">
      <c r="A1423" s="98">
        <v>44618.0</v>
      </c>
      <c r="B1423" s="98">
        <v>44646.0</v>
      </c>
      <c r="C1423" s="97">
        <v>0.0</v>
      </c>
    </row>
    <row r="1424" ht="15.75" customHeight="1">
      <c r="A1424" s="98">
        <v>44619.0</v>
      </c>
      <c r="B1424" s="98">
        <v>44647.0</v>
      </c>
      <c r="C1424" s="97">
        <v>0.0</v>
      </c>
    </row>
    <row r="1425" ht="15.75" customHeight="1">
      <c r="A1425" s="98">
        <v>44620.0</v>
      </c>
      <c r="B1425" s="98">
        <v>44648.0</v>
      </c>
      <c r="C1425" s="97">
        <v>0.0</v>
      </c>
    </row>
    <row r="1426" ht="15.75" customHeight="1">
      <c r="A1426" s="98">
        <v>44621.0</v>
      </c>
      <c r="B1426" s="98">
        <v>44649.0</v>
      </c>
      <c r="C1426" s="97">
        <v>0.0186</v>
      </c>
    </row>
    <row r="1427" ht="15.75" customHeight="1">
      <c r="A1427" s="98">
        <v>44621.0</v>
      </c>
      <c r="B1427" s="98">
        <v>44650.0</v>
      </c>
      <c r="C1427" s="97">
        <v>0.0479</v>
      </c>
    </row>
    <row r="1428" ht="15.75" customHeight="1">
      <c r="A1428" s="98">
        <v>44621.0</v>
      </c>
      <c r="B1428" s="98">
        <v>44651.0</v>
      </c>
      <c r="C1428" s="97">
        <v>0.0675</v>
      </c>
    </row>
    <row r="1429" ht="15.75" customHeight="1">
      <c r="A1429" s="98">
        <v>44621.0</v>
      </c>
      <c r="B1429" s="98">
        <v>44652.0</v>
      </c>
      <c r="C1429" s="97">
        <v>0.0971</v>
      </c>
    </row>
    <row r="1430" ht="15.75" customHeight="1">
      <c r="A1430" s="98">
        <v>44622.0</v>
      </c>
      <c r="B1430" s="98">
        <v>44653.0</v>
      </c>
      <c r="C1430" s="97">
        <v>0.1298</v>
      </c>
    </row>
    <row r="1431" ht="15.75" customHeight="1">
      <c r="A1431" s="98">
        <v>44623.0</v>
      </c>
      <c r="B1431" s="98">
        <v>44654.0</v>
      </c>
      <c r="C1431" s="97">
        <v>0.0992</v>
      </c>
    </row>
    <row r="1432" ht="15.75" customHeight="1">
      <c r="A1432" s="98">
        <v>44624.0</v>
      </c>
      <c r="B1432" s="98">
        <v>44655.0</v>
      </c>
      <c r="C1432" s="97">
        <v>0.067</v>
      </c>
    </row>
    <row r="1433" ht="15.75" customHeight="1">
      <c r="A1433" s="98">
        <v>44625.0</v>
      </c>
      <c r="B1433" s="98">
        <v>44656.0</v>
      </c>
      <c r="C1433" s="97">
        <v>0.0775</v>
      </c>
    </row>
    <row r="1434" ht="15.75" customHeight="1">
      <c r="A1434" s="98">
        <v>44626.0</v>
      </c>
      <c r="B1434" s="98">
        <v>44657.0</v>
      </c>
      <c r="C1434" s="97">
        <v>0.1012</v>
      </c>
    </row>
    <row r="1435" ht="15.75" customHeight="1">
      <c r="A1435" s="98">
        <v>44627.0</v>
      </c>
      <c r="B1435" s="98">
        <v>44658.0</v>
      </c>
      <c r="C1435" s="97">
        <v>0.1348</v>
      </c>
    </row>
    <row r="1436" ht="15.75" customHeight="1">
      <c r="A1436" s="98">
        <v>44628.0</v>
      </c>
      <c r="B1436" s="98">
        <v>44659.0</v>
      </c>
      <c r="C1436" s="97">
        <v>0.1386</v>
      </c>
    </row>
    <row r="1437" ht="15.75" customHeight="1">
      <c r="A1437" s="98">
        <v>44629.0</v>
      </c>
      <c r="B1437" s="98">
        <v>44660.0</v>
      </c>
      <c r="C1437" s="97">
        <v>0.1415</v>
      </c>
    </row>
    <row r="1438" ht="15.75" customHeight="1">
      <c r="A1438" s="98">
        <v>44630.0</v>
      </c>
      <c r="B1438" s="98">
        <v>44661.0</v>
      </c>
      <c r="C1438" s="97">
        <v>0.1123</v>
      </c>
    </row>
    <row r="1439" ht="15.75" customHeight="1">
      <c r="A1439" s="98">
        <v>44631.0</v>
      </c>
      <c r="B1439" s="98">
        <v>44662.0</v>
      </c>
      <c r="C1439" s="97">
        <v>0.0851</v>
      </c>
    </row>
    <row r="1440" ht="15.75" customHeight="1">
      <c r="A1440" s="98">
        <v>44632.0</v>
      </c>
      <c r="B1440" s="98">
        <v>44663.0</v>
      </c>
      <c r="C1440" s="97">
        <v>0.0933</v>
      </c>
    </row>
    <row r="1441" ht="15.75" customHeight="1">
      <c r="A1441" s="98">
        <v>44633.0</v>
      </c>
      <c r="B1441" s="98">
        <v>44664.0</v>
      </c>
      <c r="C1441" s="97">
        <v>0.1268</v>
      </c>
    </row>
    <row r="1442" ht="15.75" customHeight="1">
      <c r="A1442" s="98">
        <v>44634.0</v>
      </c>
      <c r="B1442" s="98">
        <v>44665.0</v>
      </c>
      <c r="C1442" s="97">
        <v>0.1505</v>
      </c>
    </row>
    <row r="1443" ht="15.75" customHeight="1">
      <c r="A1443" s="98">
        <v>44635.0</v>
      </c>
      <c r="B1443" s="98">
        <v>44666.0</v>
      </c>
      <c r="C1443" s="97">
        <v>0.1551</v>
      </c>
    </row>
    <row r="1444" ht="15.75" customHeight="1">
      <c r="A1444" s="98">
        <v>44636.0</v>
      </c>
      <c r="B1444" s="98">
        <v>44667.0</v>
      </c>
      <c r="C1444" s="97">
        <v>0.1254</v>
      </c>
    </row>
    <row r="1445" ht="15.75" customHeight="1">
      <c r="A1445" s="98">
        <v>44637.0</v>
      </c>
      <c r="B1445" s="98">
        <v>44668.0</v>
      </c>
      <c r="C1445" s="97">
        <v>0.1058</v>
      </c>
    </row>
    <row r="1446" ht="15.75" customHeight="1">
      <c r="A1446" s="98">
        <v>44638.0</v>
      </c>
      <c r="B1446" s="98">
        <v>44669.0</v>
      </c>
      <c r="C1446" s="97">
        <v>0.0744</v>
      </c>
    </row>
    <row r="1447" ht="15.75" customHeight="1">
      <c r="A1447" s="98">
        <v>44639.0</v>
      </c>
      <c r="B1447" s="98">
        <v>44670.0</v>
      </c>
      <c r="C1447" s="97">
        <v>0.0758</v>
      </c>
    </row>
    <row r="1448" ht="15.75" customHeight="1">
      <c r="A1448" s="98">
        <v>44640.0</v>
      </c>
      <c r="B1448" s="98">
        <v>44671.0</v>
      </c>
      <c r="C1448" s="97">
        <v>0.109</v>
      </c>
    </row>
    <row r="1449" ht="15.75" customHeight="1">
      <c r="A1449" s="99">
        <v>44641.0</v>
      </c>
      <c r="B1449" s="99">
        <v>44672.0</v>
      </c>
      <c r="C1449" s="100">
        <v>0.1322</v>
      </c>
    </row>
    <row r="1450" ht="15.75" customHeight="1">
      <c r="A1450" s="98">
        <v>44642.0</v>
      </c>
      <c r="B1450" s="98">
        <v>44673.0</v>
      </c>
      <c r="C1450" s="97">
        <v>0.1016</v>
      </c>
    </row>
    <row r="1451" ht="15.75" customHeight="1">
      <c r="A1451" s="98">
        <v>44643.0</v>
      </c>
      <c r="B1451" s="98">
        <v>44674.0</v>
      </c>
      <c r="C1451" s="97">
        <v>0.1041</v>
      </c>
    </row>
    <row r="1452" ht="15.75" customHeight="1">
      <c r="A1452" s="98">
        <v>44644.0</v>
      </c>
      <c r="B1452" s="98">
        <v>44675.0</v>
      </c>
      <c r="C1452" s="97">
        <v>0.0835</v>
      </c>
    </row>
    <row r="1453" ht="15.75" customHeight="1">
      <c r="A1453" s="98">
        <v>44645.0</v>
      </c>
      <c r="B1453" s="98">
        <v>44676.0</v>
      </c>
      <c r="C1453" s="97">
        <v>0.0509</v>
      </c>
    </row>
    <row r="1454" ht="15.75" customHeight="1">
      <c r="A1454" s="98">
        <v>44646.0</v>
      </c>
      <c r="B1454" s="98">
        <v>44677.0</v>
      </c>
      <c r="C1454" s="97">
        <v>0.0521</v>
      </c>
    </row>
    <row r="1455" ht="15.75" customHeight="1">
      <c r="A1455" s="98">
        <v>44647.0</v>
      </c>
      <c r="B1455" s="98">
        <v>44678.0</v>
      </c>
      <c r="C1455" s="97">
        <v>0.0852</v>
      </c>
    </row>
    <row r="1456" ht="15.75" customHeight="1">
      <c r="A1456" s="98">
        <v>44648.0</v>
      </c>
      <c r="B1456" s="98">
        <v>44679.0</v>
      </c>
      <c r="C1456" s="97">
        <v>0.1084</v>
      </c>
    </row>
    <row r="1457" ht="15.75" customHeight="1">
      <c r="A1457" s="98">
        <v>44649.0</v>
      </c>
      <c r="B1457" s="98">
        <v>44680.0</v>
      </c>
      <c r="C1457" s="97">
        <v>0.1094</v>
      </c>
    </row>
    <row r="1458" ht="15.75" customHeight="1">
      <c r="A1458" s="98">
        <v>44650.0</v>
      </c>
      <c r="B1458" s="98">
        <v>44681.0</v>
      </c>
      <c r="C1458" s="97">
        <v>0.1108</v>
      </c>
    </row>
    <row r="1459" ht="15.75" customHeight="1">
      <c r="A1459" s="98">
        <v>44651.0</v>
      </c>
      <c r="B1459" s="98">
        <v>44682.0</v>
      </c>
      <c r="C1459" s="97">
        <v>0.0799</v>
      </c>
    </row>
    <row r="1460" ht="15.75" customHeight="1">
      <c r="A1460" s="98">
        <v>44652.0</v>
      </c>
      <c r="B1460" s="98">
        <v>44682.0</v>
      </c>
      <c r="C1460" s="97">
        <v>0.0555</v>
      </c>
    </row>
    <row r="1461" ht="15.75" customHeight="1">
      <c r="A1461" s="98">
        <v>44653.0</v>
      </c>
      <c r="B1461" s="98">
        <v>44683.0</v>
      </c>
      <c r="C1461" s="97">
        <v>0.0242</v>
      </c>
    </row>
    <row r="1462" ht="15.75" customHeight="1">
      <c r="A1462" s="98">
        <v>44654.0</v>
      </c>
      <c r="B1462" s="98">
        <v>44684.0</v>
      </c>
      <c r="C1462" s="97">
        <v>0.0574</v>
      </c>
    </row>
    <row r="1463" ht="15.75" customHeight="1">
      <c r="A1463" s="98">
        <v>44655.0</v>
      </c>
      <c r="B1463" s="98">
        <v>44685.0</v>
      </c>
      <c r="C1463" s="97">
        <v>0.0805</v>
      </c>
    </row>
    <row r="1464" ht="15.75" customHeight="1">
      <c r="A1464" s="98">
        <v>44656.0</v>
      </c>
      <c r="B1464" s="98">
        <v>44686.0</v>
      </c>
      <c r="C1464" s="97">
        <v>0.0801</v>
      </c>
    </row>
    <row r="1465" ht="15.75" customHeight="1">
      <c r="A1465" s="98">
        <v>44657.0</v>
      </c>
      <c r="B1465" s="98">
        <v>44687.0</v>
      </c>
      <c r="C1465" s="97">
        <v>0.0818</v>
      </c>
    </row>
    <row r="1466" ht="15.75" customHeight="1">
      <c r="A1466" s="98">
        <v>44658.0</v>
      </c>
      <c r="B1466" s="98">
        <v>44688.0</v>
      </c>
      <c r="C1466" s="97">
        <v>0.0838</v>
      </c>
    </row>
    <row r="1467" ht="15.75" customHeight="1">
      <c r="A1467" s="98">
        <v>44659.0</v>
      </c>
      <c r="B1467" s="98">
        <v>44689.0</v>
      </c>
      <c r="C1467" s="97">
        <v>0.0611</v>
      </c>
    </row>
    <row r="1468" ht="15.75" customHeight="1">
      <c r="A1468" s="98">
        <v>44660.0</v>
      </c>
      <c r="B1468" s="98">
        <v>44690.0</v>
      </c>
      <c r="C1468" s="97">
        <v>0.0323</v>
      </c>
    </row>
    <row r="1469" ht="15.75" customHeight="1">
      <c r="A1469" s="98">
        <v>44661.0</v>
      </c>
      <c r="B1469" s="98">
        <v>44691.0</v>
      </c>
      <c r="C1469" s="97">
        <v>0.0658</v>
      </c>
    </row>
    <row r="1470" ht="15.75" customHeight="1">
      <c r="A1470" s="98">
        <v>44662.0</v>
      </c>
      <c r="B1470" s="98">
        <v>44692.0</v>
      </c>
      <c r="C1470" s="97">
        <v>0.0894</v>
      </c>
    </row>
    <row r="1471" ht="15.75" customHeight="1">
      <c r="A1471" s="98">
        <v>44663.0</v>
      </c>
      <c r="B1471" s="98">
        <v>44693.0</v>
      </c>
      <c r="C1471" s="97">
        <v>0.0919</v>
      </c>
    </row>
    <row r="1472" ht="15.75" customHeight="1">
      <c r="A1472" s="98">
        <v>44664.0</v>
      </c>
      <c r="B1472" s="98">
        <v>44694.0</v>
      </c>
      <c r="C1472" s="97">
        <v>0.0932</v>
      </c>
    </row>
    <row r="1473" ht="15.75" customHeight="1">
      <c r="A1473" s="98">
        <v>44665.0</v>
      </c>
      <c r="B1473" s="98">
        <v>44695.0</v>
      </c>
      <c r="C1473" s="97">
        <v>0.0928</v>
      </c>
    </row>
    <row r="1474" ht="15.75" customHeight="1">
      <c r="A1474" s="98">
        <v>44666.0</v>
      </c>
      <c r="B1474" s="98">
        <v>44696.0</v>
      </c>
      <c r="C1474" s="97">
        <v>0.0595</v>
      </c>
    </row>
    <row r="1475" ht="15.75" customHeight="1">
      <c r="A1475" s="98">
        <v>44667.0</v>
      </c>
      <c r="B1475" s="98">
        <v>44697.0</v>
      </c>
      <c r="C1475" s="97">
        <v>0.0595</v>
      </c>
    </row>
    <row r="1476" ht="15.75" customHeight="1">
      <c r="A1476" s="98">
        <v>44668.0</v>
      </c>
      <c r="B1476" s="98">
        <v>44698.0</v>
      </c>
      <c r="C1476" s="97">
        <v>0.0933</v>
      </c>
    </row>
    <row r="1477" ht="15.75" customHeight="1">
      <c r="A1477" s="98">
        <v>44669.0</v>
      </c>
      <c r="B1477" s="98">
        <v>44699.0</v>
      </c>
      <c r="C1477" s="97">
        <v>0.1271</v>
      </c>
    </row>
    <row r="1478" ht="15.75" customHeight="1">
      <c r="A1478" s="98">
        <v>44670.0</v>
      </c>
      <c r="B1478" s="98">
        <v>44700.0</v>
      </c>
      <c r="C1478" s="97">
        <v>0.128</v>
      </c>
    </row>
    <row r="1479" ht="15.75" customHeight="1">
      <c r="A1479" s="98">
        <v>44671.0</v>
      </c>
      <c r="B1479" s="98">
        <v>44701.0</v>
      </c>
      <c r="C1479" s="97">
        <v>0.1301</v>
      </c>
    </row>
    <row r="1480" ht="15.75" customHeight="1">
      <c r="A1480" s="98">
        <v>44672.0</v>
      </c>
      <c r="B1480" s="98">
        <v>44702.0</v>
      </c>
      <c r="C1480" s="97">
        <v>0.1302</v>
      </c>
    </row>
    <row r="1481" ht="15.75" customHeight="1">
      <c r="A1481" s="98">
        <v>44673.0</v>
      </c>
      <c r="B1481" s="98">
        <v>44703.0</v>
      </c>
      <c r="C1481" s="97">
        <v>0.1302</v>
      </c>
    </row>
    <row r="1482" ht="15.75" customHeight="1">
      <c r="A1482" s="98">
        <v>44674.0</v>
      </c>
      <c r="B1482" s="98">
        <v>44704.0</v>
      </c>
      <c r="C1482" s="97">
        <v>0.0968</v>
      </c>
    </row>
    <row r="1483" ht="15.75" customHeight="1">
      <c r="A1483" s="98">
        <v>44675.0</v>
      </c>
      <c r="B1483" s="98">
        <v>44705.0</v>
      </c>
      <c r="C1483" s="97">
        <v>0.1209</v>
      </c>
    </row>
    <row r="1484" ht="15.75" customHeight="1">
      <c r="A1484" s="98">
        <v>44676.0</v>
      </c>
      <c r="B1484" s="98">
        <v>44706.0</v>
      </c>
      <c r="C1484" s="97">
        <v>0.1549</v>
      </c>
    </row>
    <row r="1485" ht="15.75" customHeight="1">
      <c r="A1485" s="98">
        <v>44677.0</v>
      </c>
      <c r="B1485" s="98">
        <v>44707.0</v>
      </c>
      <c r="C1485" s="97">
        <v>0.1538</v>
      </c>
    </row>
    <row r="1486" ht="15.75" customHeight="1">
      <c r="A1486" s="98">
        <v>44678.0</v>
      </c>
      <c r="B1486" s="98">
        <v>44708.0</v>
      </c>
      <c r="C1486" s="97">
        <v>0.1568</v>
      </c>
    </row>
    <row r="1487" ht="15.75" customHeight="1">
      <c r="A1487" s="98">
        <v>44679.0</v>
      </c>
      <c r="B1487" s="98">
        <v>44709.0</v>
      </c>
      <c r="C1487" s="97">
        <v>0.1609</v>
      </c>
    </row>
    <row r="1488" ht="15.75" customHeight="1">
      <c r="A1488" s="98">
        <v>44680.0</v>
      </c>
      <c r="B1488" s="98">
        <v>44710.0</v>
      </c>
      <c r="C1488" s="97">
        <v>0.1278</v>
      </c>
    </row>
    <row r="1489" ht="15.75" customHeight="1">
      <c r="A1489" s="98">
        <v>44681.0</v>
      </c>
      <c r="B1489" s="98">
        <v>44711.0</v>
      </c>
      <c r="C1489" s="97">
        <v>0.1072</v>
      </c>
    </row>
    <row r="1490" ht="15.75" customHeight="1">
      <c r="A1490" s="98">
        <v>44682.0</v>
      </c>
      <c r="B1490" s="98">
        <v>44712.0</v>
      </c>
      <c r="C1490" s="97">
        <v>0.1317</v>
      </c>
    </row>
    <row r="1491" ht="15.75" customHeight="1">
      <c r="A1491" s="98">
        <v>44682.0</v>
      </c>
      <c r="B1491" s="98">
        <v>44713.0</v>
      </c>
      <c r="C1491" s="97">
        <v>0.1663</v>
      </c>
    </row>
    <row r="1492" ht="15.75" customHeight="1">
      <c r="A1492" s="98">
        <v>44683.0</v>
      </c>
      <c r="B1492" s="98">
        <v>44714.0</v>
      </c>
      <c r="C1492" s="97">
        <v>0.1909</v>
      </c>
    </row>
    <row r="1493" ht="15.75" customHeight="1">
      <c r="A1493" s="98">
        <v>44684.0</v>
      </c>
      <c r="B1493" s="98">
        <v>44715.0</v>
      </c>
      <c r="C1493" s="97">
        <v>0.1904</v>
      </c>
    </row>
    <row r="1494" ht="15.75" customHeight="1">
      <c r="A1494" s="98">
        <v>44685.0</v>
      </c>
      <c r="B1494" s="98">
        <v>44716.0</v>
      </c>
      <c r="C1494" s="97">
        <v>0.1937</v>
      </c>
    </row>
    <row r="1495" ht="15.75" customHeight="1">
      <c r="A1495" s="98">
        <v>44686.0</v>
      </c>
      <c r="B1495" s="98">
        <v>44717.0</v>
      </c>
      <c r="C1495" s="97">
        <v>0.1638</v>
      </c>
    </row>
    <row r="1496" ht="15.75" customHeight="1">
      <c r="A1496" s="98">
        <v>44687.0</v>
      </c>
      <c r="B1496" s="98">
        <v>44718.0</v>
      </c>
      <c r="C1496" s="97">
        <v>0.1401</v>
      </c>
    </row>
    <row r="1497" ht="15.75" customHeight="1">
      <c r="A1497" s="98">
        <v>44688.0</v>
      </c>
      <c r="B1497" s="98">
        <v>44719.0</v>
      </c>
      <c r="C1497" s="97">
        <v>0.1404</v>
      </c>
    </row>
    <row r="1498" ht="15.75" customHeight="1">
      <c r="A1498" s="98">
        <v>44689.0</v>
      </c>
      <c r="B1498" s="98">
        <v>44720.0</v>
      </c>
      <c r="C1498" s="97">
        <v>0.1652</v>
      </c>
    </row>
    <row r="1499" ht="15.75" customHeight="1">
      <c r="A1499" s="98">
        <v>44690.0</v>
      </c>
      <c r="B1499" s="98">
        <v>44721.0</v>
      </c>
      <c r="C1499" s="97">
        <v>0.2001</v>
      </c>
    </row>
    <row r="1500" ht="15.75" customHeight="1">
      <c r="A1500" s="98">
        <v>44691.0</v>
      </c>
      <c r="B1500" s="98">
        <v>44722.0</v>
      </c>
      <c r="C1500" s="97">
        <v>0.2003</v>
      </c>
    </row>
    <row r="1501" ht="15.75" customHeight="1">
      <c r="A1501" s="98">
        <v>44692.0</v>
      </c>
      <c r="B1501" s="98">
        <v>44723.0</v>
      </c>
      <c r="C1501" s="97">
        <v>0.2023</v>
      </c>
    </row>
    <row r="1502" ht="15.75" customHeight="1">
      <c r="A1502" s="98">
        <v>44693.0</v>
      </c>
      <c r="B1502" s="98">
        <v>44724.0</v>
      </c>
      <c r="C1502" s="97">
        <v>0.1664</v>
      </c>
    </row>
    <row r="1503" ht="15.75" customHeight="1">
      <c r="A1503" s="98">
        <v>44694.0</v>
      </c>
      <c r="B1503" s="98">
        <v>44725.0</v>
      </c>
      <c r="C1503" s="97">
        <v>0.1407</v>
      </c>
    </row>
    <row r="1504" ht="15.75" customHeight="1">
      <c r="A1504" s="98">
        <v>44695.0</v>
      </c>
      <c r="B1504" s="98">
        <v>44726.0</v>
      </c>
      <c r="C1504" s="97">
        <v>0.1418</v>
      </c>
    </row>
    <row r="1505" ht="15.75" customHeight="1">
      <c r="A1505" s="98">
        <v>44696.0</v>
      </c>
      <c r="B1505" s="98">
        <v>44727.0</v>
      </c>
      <c r="C1505" s="97">
        <v>0.1666</v>
      </c>
    </row>
    <row r="1506" ht="15.75" customHeight="1">
      <c r="A1506" s="98">
        <v>44697.0</v>
      </c>
      <c r="B1506" s="98">
        <v>44728.0</v>
      </c>
      <c r="C1506" s="97">
        <v>0.2015</v>
      </c>
    </row>
    <row r="1507" ht="15.75" customHeight="1">
      <c r="A1507" s="98">
        <v>44698.0</v>
      </c>
      <c r="B1507" s="98">
        <v>44729.0</v>
      </c>
      <c r="C1507" s="97">
        <v>0.1684</v>
      </c>
    </row>
    <row r="1508" ht="15.75" customHeight="1">
      <c r="A1508" s="98">
        <v>44699.0</v>
      </c>
      <c r="B1508" s="98">
        <v>44730.0</v>
      </c>
      <c r="C1508" s="97">
        <v>0.1689</v>
      </c>
    </row>
    <row r="1509" ht="15.75" customHeight="1">
      <c r="A1509" s="98">
        <v>44700.0</v>
      </c>
      <c r="B1509" s="98">
        <v>44731.0</v>
      </c>
      <c r="C1509" s="97">
        <v>0.1434</v>
      </c>
    </row>
    <row r="1510" ht="15.75" customHeight="1">
      <c r="A1510" s="98">
        <v>44701.0</v>
      </c>
      <c r="B1510" s="98">
        <v>44732.0</v>
      </c>
      <c r="C1510" s="97">
        <v>0.1079</v>
      </c>
    </row>
    <row r="1511" ht="15.75" customHeight="1">
      <c r="A1511" s="98">
        <v>44702.0</v>
      </c>
      <c r="B1511" s="98">
        <v>44733.0</v>
      </c>
      <c r="C1511" s="97">
        <v>0.1062</v>
      </c>
    </row>
    <row r="1512" ht="15.75" customHeight="1">
      <c r="A1512" s="98">
        <v>44703.0</v>
      </c>
      <c r="B1512" s="98">
        <v>44734.0</v>
      </c>
      <c r="C1512" s="97">
        <v>0.1411</v>
      </c>
    </row>
    <row r="1513" ht="15.75" customHeight="1">
      <c r="A1513" s="98">
        <v>44704.0</v>
      </c>
      <c r="B1513" s="98">
        <v>44735.0</v>
      </c>
      <c r="C1513" s="97">
        <v>0.1659</v>
      </c>
    </row>
    <row r="1514" ht="15.75" customHeight="1">
      <c r="A1514" s="98">
        <v>44705.0</v>
      </c>
      <c r="B1514" s="98">
        <v>44736.0</v>
      </c>
      <c r="C1514" s="97">
        <v>0.1715</v>
      </c>
    </row>
    <row r="1515" ht="15.75" customHeight="1">
      <c r="A1515" s="98">
        <v>44706.0</v>
      </c>
      <c r="B1515" s="98">
        <v>44737.0</v>
      </c>
      <c r="C1515" s="97">
        <v>0.171</v>
      </c>
    </row>
    <row r="1516" ht="15.75" customHeight="1">
      <c r="A1516" s="98">
        <v>44707.0</v>
      </c>
      <c r="B1516" s="98">
        <v>44738.0</v>
      </c>
      <c r="C1516" s="97">
        <v>0.1455</v>
      </c>
    </row>
    <row r="1517" ht="15.75" customHeight="1">
      <c r="A1517" s="98">
        <v>44708.0</v>
      </c>
      <c r="B1517" s="98">
        <v>44739.0</v>
      </c>
      <c r="C1517" s="97">
        <v>0.1106</v>
      </c>
    </row>
    <row r="1518" ht="15.75" customHeight="1">
      <c r="A1518" s="98">
        <v>44709.0</v>
      </c>
      <c r="B1518" s="98">
        <v>44740.0</v>
      </c>
      <c r="C1518" s="97">
        <v>0.1112</v>
      </c>
    </row>
    <row r="1519" ht="15.75" customHeight="1">
      <c r="A1519" s="98">
        <v>44710.0</v>
      </c>
      <c r="B1519" s="98">
        <v>44741.0</v>
      </c>
      <c r="C1519" s="97">
        <v>0.1463</v>
      </c>
    </row>
    <row r="1520" ht="15.75" customHeight="1">
      <c r="A1520" s="98">
        <v>44711.0</v>
      </c>
      <c r="B1520" s="98">
        <v>44742.0</v>
      </c>
      <c r="C1520" s="97">
        <v>0.1715</v>
      </c>
    </row>
    <row r="1521" ht="15.75" customHeight="1">
      <c r="A1521" s="98">
        <v>44712.0</v>
      </c>
      <c r="B1521" s="98">
        <v>44743.0</v>
      </c>
      <c r="C1521" s="97">
        <v>0.1725</v>
      </c>
    </row>
    <row r="1522" ht="15.75" customHeight="1">
      <c r="A1522" s="98">
        <v>44713.0</v>
      </c>
      <c r="B1522" s="98">
        <v>44743.0</v>
      </c>
      <c r="C1522" s="97">
        <v>0.1484</v>
      </c>
    </row>
    <row r="1523" ht="15.75" customHeight="1">
      <c r="A1523" s="98">
        <v>44714.0</v>
      </c>
      <c r="B1523" s="98">
        <v>44744.0</v>
      </c>
      <c r="C1523" s="97">
        <v>0.1511</v>
      </c>
    </row>
    <row r="1524" ht="15.75" customHeight="1">
      <c r="A1524" s="98">
        <v>44715.0</v>
      </c>
      <c r="B1524" s="98">
        <v>44745.0</v>
      </c>
      <c r="C1524" s="97">
        <v>0.1156</v>
      </c>
    </row>
    <row r="1525" ht="15.75" customHeight="1">
      <c r="A1525" s="98">
        <v>44716.0</v>
      </c>
      <c r="B1525" s="98">
        <v>44746.0</v>
      </c>
      <c r="C1525" s="97">
        <v>0.0824</v>
      </c>
    </row>
    <row r="1526" ht="15.75" customHeight="1">
      <c r="A1526" s="98">
        <v>44717.0</v>
      </c>
      <c r="B1526" s="98">
        <v>44747.0</v>
      </c>
      <c r="C1526" s="97">
        <v>0.1189</v>
      </c>
    </row>
    <row r="1527" ht="15.75" customHeight="1">
      <c r="A1527" s="98">
        <v>44718.0</v>
      </c>
      <c r="B1527" s="98">
        <v>44748.0</v>
      </c>
      <c r="C1527" s="97">
        <v>0.1455</v>
      </c>
    </row>
    <row r="1528" ht="15.75" customHeight="1">
      <c r="A1528" s="98">
        <v>44719.0</v>
      </c>
      <c r="B1528" s="98">
        <v>44749.0</v>
      </c>
      <c r="C1528" s="97">
        <v>0.1484</v>
      </c>
    </row>
    <row r="1529" ht="15.75" customHeight="1">
      <c r="A1529" s="98">
        <v>44720.0</v>
      </c>
      <c r="B1529" s="98">
        <v>44750.0</v>
      </c>
      <c r="C1529" s="97">
        <v>0.1501</v>
      </c>
    </row>
    <row r="1530" ht="15.75" customHeight="1">
      <c r="A1530" s="98">
        <v>44721.0</v>
      </c>
      <c r="B1530" s="98">
        <v>44751.0</v>
      </c>
      <c r="C1530" s="97">
        <v>0.1512</v>
      </c>
    </row>
    <row r="1531" ht="15.75" customHeight="1">
      <c r="A1531" s="98">
        <v>44722.0</v>
      </c>
      <c r="B1531" s="98">
        <v>44752.0</v>
      </c>
      <c r="C1531" s="97">
        <v>0.1254</v>
      </c>
    </row>
    <row r="1532" ht="15.75" customHeight="1">
      <c r="A1532" s="98">
        <v>44723.0</v>
      </c>
      <c r="B1532" s="98">
        <v>44753.0</v>
      </c>
      <c r="C1532" s="97">
        <v>0.0945</v>
      </c>
    </row>
    <row r="1533" ht="15.75" customHeight="1">
      <c r="A1533" s="98">
        <v>44724.0</v>
      </c>
      <c r="B1533" s="98">
        <v>44754.0</v>
      </c>
      <c r="C1533" s="97">
        <v>0.1212</v>
      </c>
    </row>
    <row r="1534" ht="15.75" customHeight="1">
      <c r="A1534" s="98">
        <v>44725.0</v>
      </c>
      <c r="B1534" s="98">
        <v>44755.0</v>
      </c>
      <c r="C1534" s="97">
        <v>0.158</v>
      </c>
    </row>
    <row r="1535" ht="15.75" customHeight="1">
      <c r="A1535" s="98">
        <v>44726.0</v>
      </c>
      <c r="B1535" s="98">
        <v>44756.0</v>
      </c>
      <c r="C1535" s="97">
        <v>0.1594</v>
      </c>
    </row>
    <row r="1536" ht="15.75" customHeight="1">
      <c r="A1536" s="98">
        <v>44727.0</v>
      </c>
      <c r="B1536" s="98">
        <v>44757.0</v>
      </c>
      <c r="C1536" s="97">
        <v>0.1644</v>
      </c>
    </row>
    <row r="1537" ht="15.75" customHeight="1">
      <c r="A1537" s="98">
        <v>44728.0</v>
      </c>
      <c r="B1537" s="98">
        <v>44758.0</v>
      </c>
      <c r="C1537" s="97">
        <v>0.1635</v>
      </c>
    </row>
    <row r="1538" ht="15.75" customHeight="1">
      <c r="A1538" s="98">
        <v>44729.0</v>
      </c>
      <c r="B1538" s="98">
        <v>44759.0</v>
      </c>
      <c r="C1538" s="97">
        <v>0.1635</v>
      </c>
    </row>
    <row r="1539" ht="15.75" customHeight="1">
      <c r="A1539" s="98">
        <v>44730.0</v>
      </c>
      <c r="B1539" s="98">
        <v>44760.0</v>
      </c>
      <c r="C1539" s="97">
        <v>0.1273</v>
      </c>
    </row>
    <row r="1540" ht="15.75" customHeight="1">
      <c r="A1540" s="98">
        <v>44731.0</v>
      </c>
      <c r="B1540" s="98">
        <v>44761.0</v>
      </c>
      <c r="C1540" s="97">
        <v>0.164</v>
      </c>
    </row>
    <row r="1541" ht="15.75" customHeight="1">
      <c r="A1541" s="98">
        <v>44732.0</v>
      </c>
      <c r="B1541" s="98">
        <v>44762.0</v>
      </c>
      <c r="C1541" s="97">
        <v>0.1907</v>
      </c>
    </row>
    <row r="1542" ht="15.75" customHeight="1">
      <c r="A1542" s="98">
        <v>44733.0</v>
      </c>
      <c r="B1542" s="98">
        <v>44763.0</v>
      </c>
      <c r="C1542" s="97">
        <v>0.1923</v>
      </c>
    </row>
    <row r="1543" ht="15.75" customHeight="1">
      <c r="A1543" s="98">
        <v>44734.0</v>
      </c>
      <c r="B1543" s="98">
        <v>44764.0</v>
      </c>
      <c r="C1543" s="97">
        <v>0.1914</v>
      </c>
    </row>
    <row r="1544" ht="15.75" customHeight="1">
      <c r="A1544" s="98">
        <v>44735.0</v>
      </c>
      <c r="B1544" s="98">
        <v>44765.0</v>
      </c>
      <c r="C1544" s="97">
        <v>0.1919</v>
      </c>
    </row>
    <row r="1545" ht="15.75" customHeight="1">
      <c r="A1545" s="98">
        <v>44736.0</v>
      </c>
      <c r="B1545" s="98">
        <v>44766.0</v>
      </c>
      <c r="C1545" s="97">
        <v>0.1668</v>
      </c>
    </row>
    <row r="1546" ht="15.75" customHeight="1">
      <c r="A1546" s="98">
        <v>44737.0</v>
      </c>
      <c r="B1546" s="98">
        <v>44767.0</v>
      </c>
      <c r="C1546" s="97">
        <v>0.1325</v>
      </c>
    </row>
    <row r="1547" ht="15.75" customHeight="1">
      <c r="A1547" s="98">
        <v>44738.0</v>
      </c>
      <c r="B1547" s="98">
        <v>44768.0</v>
      </c>
      <c r="C1547" s="97">
        <v>0.1693</v>
      </c>
    </row>
    <row r="1548" ht="15.75" customHeight="1">
      <c r="A1548" s="98">
        <v>44739.0</v>
      </c>
      <c r="B1548" s="98">
        <v>44769.0</v>
      </c>
      <c r="C1548" s="97">
        <v>0.1962</v>
      </c>
    </row>
    <row r="1549" ht="15.75" customHeight="1">
      <c r="A1549" s="98">
        <v>44740.0</v>
      </c>
      <c r="B1549" s="98">
        <v>44770.0</v>
      </c>
      <c r="C1549" s="97">
        <v>0.1962</v>
      </c>
    </row>
    <row r="1550" ht="15.75" customHeight="1">
      <c r="A1550" s="98">
        <v>44741.0</v>
      </c>
      <c r="B1550" s="98">
        <v>44771.0</v>
      </c>
      <c r="C1550" s="97">
        <v>0.1988</v>
      </c>
    </row>
    <row r="1551" ht="15.75" customHeight="1">
      <c r="A1551" s="98">
        <v>44742.0</v>
      </c>
      <c r="B1551" s="98">
        <v>44772.0</v>
      </c>
      <c r="C1551" s="97">
        <v>0.2007</v>
      </c>
    </row>
    <row r="1552" ht="15.75" customHeight="1">
      <c r="A1552" s="98">
        <v>44743.0</v>
      </c>
      <c r="B1552" s="98">
        <v>44773.0</v>
      </c>
      <c r="C1552" s="97">
        <v>0.1631</v>
      </c>
    </row>
    <row r="1553" ht="15.75" customHeight="1">
      <c r="A1553" s="98">
        <v>44743.0</v>
      </c>
      <c r="B1553" s="98">
        <v>44774.0</v>
      </c>
      <c r="C1553" s="97">
        <v>0.1631</v>
      </c>
    </row>
    <row r="1554" ht="15.75" customHeight="1">
      <c r="A1554" s="98">
        <v>44744.0</v>
      </c>
      <c r="B1554" s="98">
        <v>44775.0</v>
      </c>
      <c r="C1554" s="97">
        <v>0.1635</v>
      </c>
    </row>
    <row r="1555" ht="15.75" customHeight="1">
      <c r="A1555" s="98">
        <v>44745.0</v>
      </c>
      <c r="B1555" s="98">
        <v>44776.0</v>
      </c>
      <c r="C1555" s="97">
        <v>0.2003</v>
      </c>
    </row>
    <row r="1556" ht="15.75" customHeight="1">
      <c r="A1556" s="98">
        <v>44746.0</v>
      </c>
      <c r="B1556" s="98">
        <v>44777.0</v>
      </c>
      <c r="C1556" s="97">
        <v>0.2273</v>
      </c>
    </row>
    <row r="1557" ht="15.75" customHeight="1">
      <c r="A1557" s="98">
        <v>44747.0</v>
      </c>
      <c r="B1557" s="98">
        <v>44778.0</v>
      </c>
      <c r="C1557" s="97">
        <v>0.227</v>
      </c>
    </row>
    <row r="1558" ht="15.75" customHeight="1">
      <c r="A1558" s="98">
        <v>44748.0</v>
      </c>
      <c r="B1558" s="98">
        <v>44779.0</v>
      </c>
      <c r="C1558" s="97">
        <v>0.2267</v>
      </c>
    </row>
    <row r="1559" ht="15.75" customHeight="1">
      <c r="A1559" s="98">
        <v>44749.0</v>
      </c>
      <c r="B1559" s="98">
        <v>44780.0</v>
      </c>
      <c r="C1559" s="97">
        <v>0.1998</v>
      </c>
    </row>
    <row r="1560" ht="15.75" customHeight="1">
      <c r="A1560" s="98">
        <v>44750.0</v>
      </c>
      <c r="B1560" s="98">
        <v>44781.0</v>
      </c>
      <c r="C1560" s="97">
        <v>0.1634</v>
      </c>
    </row>
    <row r="1561" ht="15.75" customHeight="1">
      <c r="A1561" s="98">
        <v>44751.0</v>
      </c>
      <c r="B1561" s="98">
        <v>44782.0</v>
      </c>
      <c r="C1561" s="97">
        <v>0.1651</v>
      </c>
    </row>
    <row r="1562" ht="15.75" customHeight="1">
      <c r="A1562" s="98">
        <v>44752.0</v>
      </c>
      <c r="B1562" s="98">
        <v>44783.0</v>
      </c>
      <c r="C1562" s="97">
        <v>0.2021</v>
      </c>
    </row>
    <row r="1563" ht="15.75" customHeight="1">
      <c r="A1563" s="98">
        <v>44753.0</v>
      </c>
      <c r="B1563" s="98">
        <v>44784.0</v>
      </c>
      <c r="C1563" s="97">
        <v>0.2292</v>
      </c>
    </row>
    <row r="1564" ht="15.75" customHeight="1">
      <c r="A1564" s="98">
        <v>44754.0</v>
      </c>
      <c r="B1564" s="98">
        <v>44785.0</v>
      </c>
      <c r="C1564" s="97">
        <v>0.2296</v>
      </c>
    </row>
    <row r="1565" ht="15.75" customHeight="1">
      <c r="A1565" s="98">
        <v>44755.0</v>
      </c>
      <c r="B1565" s="98">
        <v>44786.0</v>
      </c>
      <c r="C1565" s="97">
        <v>0.2312</v>
      </c>
    </row>
    <row r="1566" ht="15.75" customHeight="1">
      <c r="A1566" s="98">
        <v>44756.0</v>
      </c>
      <c r="B1566" s="98">
        <v>44787.0</v>
      </c>
      <c r="C1566" s="97">
        <v>0.2048</v>
      </c>
    </row>
    <row r="1567" ht="15.75" customHeight="1">
      <c r="A1567" s="98">
        <v>44757.0</v>
      </c>
      <c r="B1567" s="98">
        <v>44788.0</v>
      </c>
      <c r="C1567" s="97">
        <v>0.1688</v>
      </c>
    </row>
    <row r="1568" ht="15.75" customHeight="1">
      <c r="A1568" s="98">
        <v>44758.0</v>
      </c>
      <c r="B1568" s="98">
        <v>44789.0</v>
      </c>
      <c r="C1568" s="97">
        <v>0.1701</v>
      </c>
    </row>
    <row r="1569" ht="15.75" customHeight="1">
      <c r="A1569" s="98">
        <v>44759.0</v>
      </c>
      <c r="B1569" s="98">
        <v>44790.0</v>
      </c>
      <c r="C1569" s="97">
        <v>0.2073</v>
      </c>
    </row>
    <row r="1570" ht="15.75" customHeight="1">
      <c r="A1570" s="98">
        <v>44760.0</v>
      </c>
      <c r="B1570" s="98">
        <v>44791.0</v>
      </c>
      <c r="C1570" s="97">
        <v>0.2346</v>
      </c>
    </row>
    <row r="1571" ht="15.75" customHeight="1">
      <c r="A1571" s="98">
        <v>44761.0</v>
      </c>
      <c r="B1571" s="98">
        <v>44792.0</v>
      </c>
      <c r="C1571" s="97">
        <v>0.2361</v>
      </c>
    </row>
    <row r="1572" ht="15.75" customHeight="1">
      <c r="A1572" s="98">
        <v>44762.0</v>
      </c>
      <c r="B1572" s="98">
        <v>44793.0</v>
      </c>
      <c r="C1572" s="97">
        <v>0.236</v>
      </c>
    </row>
    <row r="1573" ht="15.75" customHeight="1">
      <c r="A1573" s="98">
        <v>44763.0</v>
      </c>
      <c r="B1573" s="98">
        <v>44794.0</v>
      </c>
      <c r="C1573" s="97">
        <v>0.209</v>
      </c>
    </row>
    <row r="1574" ht="15.75" customHeight="1">
      <c r="A1574" s="98">
        <v>44764.0</v>
      </c>
      <c r="B1574" s="98">
        <v>44795.0</v>
      </c>
      <c r="C1574" s="97">
        <v>0.1715</v>
      </c>
    </row>
    <row r="1575" ht="15.75" customHeight="1">
      <c r="A1575" s="98">
        <v>44765.0</v>
      </c>
      <c r="B1575" s="98">
        <v>44796.0</v>
      </c>
      <c r="C1575" s="97">
        <v>0.1721</v>
      </c>
    </row>
    <row r="1576" ht="15.75" customHeight="1">
      <c r="A1576" s="98">
        <v>44766.0</v>
      </c>
      <c r="B1576" s="98">
        <v>44797.0</v>
      </c>
      <c r="C1576" s="97">
        <v>0.2095</v>
      </c>
    </row>
    <row r="1577" ht="15.75" customHeight="1">
      <c r="A1577" s="98">
        <v>44767.0</v>
      </c>
      <c r="B1577" s="98">
        <v>44798.0</v>
      </c>
      <c r="C1577" s="97">
        <v>0.2369</v>
      </c>
    </row>
    <row r="1578" ht="15.75" customHeight="1">
      <c r="A1578" s="98">
        <v>44768.0</v>
      </c>
      <c r="B1578" s="98">
        <v>44799.0</v>
      </c>
      <c r="C1578" s="97">
        <v>0.2373</v>
      </c>
    </row>
    <row r="1579" ht="15.75" customHeight="1">
      <c r="A1579" s="98">
        <v>44769.0</v>
      </c>
      <c r="B1579" s="98">
        <v>44800.0</v>
      </c>
      <c r="C1579" s="97">
        <v>0.2374</v>
      </c>
    </row>
    <row r="1580" ht="15.75" customHeight="1">
      <c r="A1580" s="98">
        <v>44770.0</v>
      </c>
      <c r="B1580" s="98">
        <v>44801.0</v>
      </c>
      <c r="C1580" s="97">
        <v>0.2121</v>
      </c>
    </row>
    <row r="1581" ht="15.75" customHeight="1">
      <c r="A1581" s="98">
        <v>44771.0</v>
      </c>
      <c r="B1581" s="98">
        <v>44802.0</v>
      </c>
      <c r="C1581" s="97">
        <v>0.1751</v>
      </c>
    </row>
    <row r="1582" ht="15.75" customHeight="1">
      <c r="A1582" s="98">
        <v>44772.0</v>
      </c>
      <c r="B1582" s="98">
        <v>44803.0</v>
      </c>
      <c r="C1582" s="97">
        <v>0.1758</v>
      </c>
    </row>
    <row r="1583" ht="15.75" customHeight="1">
      <c r="A1583" s="98">
        <v>44773.0</v>
      </c>
      <c r="B1583" s="98">
        <v>44804.0</v>
      </c>
      <c r="C1583" s="97">
        <v>0.2133</v>
      </c>
    </row>
    <row r="1584" ht="15.75" customHeight="1">
      <c r="A1584" s="98">
        <v>44774.0</v>
      </c>
      <c r="B1584" s="98">
        <v>44805.0</v>
      </c>
      <c r="C1584" s="97">
        <v>0.2409</v>
      </c>
    </row>
    <row r="1585" ht="15.75" customHeight="1">
      <c r="A1585" s="98">
        <v>44775.0</v>
      </c>
      <c r="B1585" s="98">
        <v>44806.0</v>
      </c>
      <c r="C1585" s="97">
        <v>0.2408</v>
      </c>
    </row>
    <row r="1586" ht="15.75" customHeight="1">
      <c r="A1586" s="98">
        <v>44776.0</v>
      </c>
      <c r="B1586" s="98">
        <v>44807.0</v>
      </c>
      <c r="C1586" s="97">
        <v>0.242</v>
      </c>
    </row>
    <row r="1587" ht="15.75" customHeight="1">
      <c r="A1587" s="98">
        <v>44777.0</v>
      </c>
      <c r="B1587" s="98">
        <v>44808.0</v>
      </c>
      <c r="C1587" s="97">
        <v>0.2073</v>
      </c>
    </row>
    <row r="1588" ht="15.75" customHeight="1">
      <c r="A1588" s="98">
        <v>44778.0</v>
      </c>
      <c r="B1588" s="98">
        <v>44809.0</v>
      </c>
      <c r="C1588" s="97">
        <v>0.1795</v>
      </c>
    </row>
    <row r="1589" ht="15.75" customHeight="1">
      <c r="A1589" s="98">
        <v>44779.0</v>
      </c>
      <c r="B1589" s="98">
        <v>44810.0</v>
      </c>
      <c r="C1589" s="97">
        <v>0.1801</v>
      </c>
    </row>
    <row r="1590" ht="15.75" customHeight="1">
      <c r="A1590" s="98">
        <v>44780.0</v>
      </c>
      <c r="B1590" s="98">
        <v>44811.0</v>
      </c>
      <c r="C1590" s="97">
        <v>0.2078</v>
      </c>
    </row>
    <row r="1591" ht="15.75" customHeight="1">
      <c r="A1591" s="98">
        <v>44781.0</v>
      </c>
      <c r="B1591" s="98">
        <v>44812.0</v>
      </c>
      <c r="C1591" s="97">
        <v>0.2078</v>
      </c>
    </row>
    <row r="1592" ht="15.75" customHeight="1">
      <c r="A1592" s="98">
        <v>44782.0</v>
      </c>
      <c r="B1592" s="98">
        <v>44813.0</v>
      </c>
      <c r="C1592" s="97">
        <v>0.2065</v>
      </c>
    </row>
    <row r="1593" ht="15.75" customHeight="1">
      <c r="A1593" s="98">
        <v>44783.0</v>
      </c>
      <c r="B1593" s="98">
        <v>44814.0</v>
      </c>
      <c r="C1593" s="97">
        <v>0.2065</v>
      </c>
    </row>
    <row r="1594" ht="15.75" customHeight="1">
      <c r="A1594" s="98">
        <v>44784.0</v>
      </c>
      <c r="B1594" s="98">
        <v>44815.0</v>
      </c>
      <c r="C1594" s="97">
        <v>0.1789</v>
      </c>
    </row>
    <row r="1595" ht="15.75" customHeight="1">
      <c r="A1595" s="98">
        <v>44785.0</v>
      </c>
      <c r="B1595" s="98">
        <v>44816.0</v>
      </c>
      <c r="C1595" s="97">
        <v>0.1513</v>
      </c>
    </row>
    <row r="1596" ht="15.75" customHeight="1">
      <c r="A1596" s="98">
        <v>44786.0</v>
      </c>
      <c r="B1596" s="98">
        <v>44817.0</v>
      </c>
      <c r="C1596" s="97">
        <v>0.1518</v>
      </c>
    </row>
    <row r="1597" ht="15.75" customHeight="1">
      <c r="A1597" s="98">
        <v>44787.0</v>
      </c>
      <c r="B1597" s="98">
        <v>44818.0</v>
      </c>
      <c r="C1597" s="97">
        <v>0.1794</v>
      </c>
    </row>
    <row r="1598" ht="15.75" customHeight="1">
      <c r="A1598" s="98">
        <v>44788.0</v>
      </c>
      <c r="B1598" s="98">
        <v>44819.0</v>
      </c>
      <c r="C1598" s="97">
        <v>0.2072</v>
      </c>
    </row>
    <row r="1599" ht="15.75" customHeight="1">
      <c r="A1599" s="98">
        <v>44789.0</v>
      </c>
      <c r="B1599" s="98">
        <v>44820.0</v>
      </c>
      <c r="C1599" s="97">
        <v>0.2074</v>
      </c>
    </row>
    <row r="1600" ht="15.75" customHeight="1">
      <c r="A1600" s="98">
        <v>44790.0</v>
      </c>
      <c r="B1600" s="98">
        <v>44821.0</v>
      </c>
      <c r="C1600" s="97">
        <v>0.2076</v>
      </c>
    </row>
    <row r="1601" ht="15.75" customHeight="1">
      <c r="A1601" s="98">
        <v>44791.0</v>
      </c>
      <c r="B1601" s="98">
        <v>44822.0</v>
      </c>
      <c r="C1601" s="97">
        <v>0.1784</v>
      </c>
    </row>
    <row r="1602" ht="15.75" customHeight="1">
      <c r="A1602" s="98">
        <v>44792.0</v>
      </c>
      <c r="B1602" s="98">
        <v>44823.0</v>
      </c>
      <c r="C1602" s="97">
        <v>0.1516</v>
      </c>
    </row>
    <row r="1603" ht="15.75" customHeight="1">
      <c r="A1603" s="98">
        <v>44793.0</v>
      </c>
      <c r="B1603" s="98">
        <v>44824.0</v>
      </c>
      <c r="C1603" s="97">
        <v>0.1516</v>
      </c>
    </row>
    <row r="1604" ht="15.75" customHeight="1">
      <c r="A1604" s="98">
        <v>44794.0</v>
      </c>
      <c r="B1604" s="98">
        <v>44825.0</v>
      </c>
      <c r="C1604" s="97">
        <v>0.1792</v>
      </c>
    </row>
    <row r="1605" ht="15.75" customHeight="1">
      <c r="A1605" s="98">
        <v>44795.0</v>
      </c>
      <c r="B1605" s="98">
        <v>44826.0</v>
      </c>
      <c r="C1605" s="97">
        <v>0.2069</v>
      </c>
    </row>
    <row r="1606" ht="15.75" customHeight="1">
      <c r="A1606" s="98">
        <v>44796.0</v>
      </c>
      <c r="B1606" s="98">
        <v>44827.0</v>
      </c>
      <c r="C1606" s="97">
        <v>0.2077</v>
      </c>
    </row>
    <row r="1607" ht="15.75" customHeight="1">
      <c r="A1607" s="98">
        <v>44797.0</v>
      </c>
      <c r="B1607" s="98">
        <v>44828.0</v>
      </c>
      <c r="C1607" s="97">
        <v>0.2077</v>
      </c>
    </row>
    <row r="1608" ht="15.75" customHeight="1">
      <c r="A1608" s="98">
        <v>44798.0</v>
      </c>
      <c r="B1608" s="98">
        <v>44829.0</v>
      </c>
      <c r="C1608" s="97">
        <v>0.18</v>
      </c>
    </row>
    <row r="1609" ht="15.75" customHeight="1">
      <c r="A1609" s="98">
        <v>44799.0</v>
      </c>
      <c r="B1609" s="98">
        <v>44830.0</v>
      </c>
      <c r="C1609" s="97">
        <v>0.1519</v>
      </c>
    </row>
    <row r="1610" ht="15.75" customHeight="1">
      <c r="A1610" s="98">
        <v>44800.0</v>
      </c>
      <c r="B1610" s="98">
        <v>44831.0</v>
      </c>
      <c r="C1610" s="97">
        <v>0.1423</v>
      </c>
    </row>
    <row r="1611" ht="15.75" customHeight="1">
      <c r="A1611" s="98">
        <v>44801.0</v>
      </c>
      <c r="B1611" s="98">
        <v>44832.0</v>
      </c>
      <c r="C1611" s="97">
        <v>0.1799</v>
      </c>
    </row>
    <row r="1612" ht="15.75" customHeight="1">
      <c r="A1612" s="98">
        <v>44802.0</v>
      </c>
      <c r="B1612" s="98">
        <v>44833.0</v>
      </c>
      <c r="C1612" s="97">
        <v>0.2077</v>
      </c>
    </row>
    <row r="1613" ht="15.75" customHeight="1">
      <c r="A1613" s="98">
        <v>44803.0</v>
      </c>
      <c r="B1613" s="98">
        <v>44834.0</v>
      </c>
      <c r="C1613" s="97">
        <v>0.2082</v>
      </c>
    </row>
    <row r="1614" ht="15.75" customHeight="1">
      <c r="A1614" s="98">
        <v>44804.0</v>
      </c>
      <c r="B1614" s="98">
        <v>44835.0</v>
      </c>
      <c r="C1614" s="97">
        <v>0.2082</v>
      </c>
    </row>
    <row r="1615" ht="15.75" customHeight="1">
      <c r="A1615" s="98">
        <v>44805.0</v>
      </c>
      <c r="B1615" s="98">
        <v>44835.0</v>
      </c>
      <c r="C1615" s="97">
        <v>0.1805</v>
      </c>
    </row>
    <row r="1616" ht="15.75" customHeight="1">
      <c r="A1616" s="98">
        <v>44806.0</v>
      </c>
      <c r="B1616" s="98">
        <v>44836.0</v>
      </c>
      <c r="C1616" s="97">
        <v>0.1425</v>
      </c>
    </row>
    <row r="1617" ht="15.75" customHeight="1">
      <c r="A1617" s="98">
        <v>44807.0</v>
      </c>
      <c r="B1617" s="98">
        <v>44837.0</v>
      </c>
      <c r="C1617" s="97">
        <v>0.1146</v>
      </c>
    </row>
    <row r="1618" ht="15.75" customHeight="1">
      <c r="A1618" s="98">
        <v>44808.0</v>
      </c>
      <c r="B1618" s="98">
        <v>44838.0</v>
      </c>
      <c r="C1618" s="97">
        <v>0.1423</v>
      </c>
    </row>
    <row r="1619" ht="15.75" customHeight="1">
      <c r="A1619" s="98">
        <v>44809.0</v>
      </c>
      <c r="B1619" s="98">
        <v>44839.0</v>
      </c>
      <c r="C1619" s="97">
        <v>0.18</v>
      </c>
    </row>
    <row r="1620" ht="15.75" customHeight="1">
      <c r="A1620" s="98">
        <v>44810.0</v>
      </c>
      <c r="B1620" s="98">
        <v>44840.0</v>
      </c>
      <c r="C1620" s="97">
        <v>0.18</v>
      </c>
    </row>
    <row r="1621" ht="15.75" customHeight="1">
      <c r="A1621" s="98">
        <v>44811.0</v>
      </c>
      <c r="B1621" s="98">
        <v>44841.0</v>
      </c>
      <c r="C1621" s="97">
        <v>0.1808</v>
      </c>
    </row>
    <row r="1622" ht="15.75" customHeight="1">
      <c r="A1622" s="98">
        <v>44812.0</v>
      </c>
      <c r="B1622" s="98">
        <v>44842.0</v>
      </c>
      <c r="C1622" s="97">
        <v>0.2087</v>
      </c>
    </row>
    <row r="1623" ht="15.75" customHeight="1">
      <c r="A1623" s="98">
        <v>44813.0</v>
      </c>
      <c r="B1623" s="98">
        <v>44843.0</v>
      </c>
      <c r="C1623" s="97">
        <v>0.1809</v>
      </c>
    </row>
    <row r="1624" ht="15.75" customHeight="1">
      <c r="A1624" s="98">
        <v>44814.0</v>
      </c>
      <c r="B1624" s="98">
        <v>44844.0</v>
      </c>
      <c r="C1624" s="97">
        <v>0.1433</v>
      </c>
    </row>
    <row r="1625" ht="15.75" customHeight="1">
      <c r="A1625" s="98">
        <v>44815.0</v>
      </c>
      <c r="B1625" s="98">
        <v>44845.0</v>
      </c>
      <c r="C1625" s="97">
        <v>0.181</v>
      </c>
    </row>
    <row r="1626" ht="15.75" customHeight="1">
      <c r="A1626" s="98">
        <v>44816.0</v>
      </c>
      <c r="B1626" s="98">
        <v>44846.0</v>
      </c>
      <c r="C1626" s="97">
        <v>0.2087</v>
      </c>
    </row>
    <row r="1627" ht="15.75" customHeight="1">
      <c r="A1627" s="98">
        <v>44817.0</v>
      </c>
      <c r="B1627" s="98">
        <v>44847.0</v>
      </c>
      <c r="C1627" s="97">
        <v>0.181</v>
      </c>
    </row>
    <row r="1628" ht="15.75" customHeight="1">
      <c r="A1628" s="98">
        <v>44818.0</v>
      </c>
      <c r="B1628" s="98">
        <v>44848.0</v>
      </c>
      <c r="C1628" s="97">
        <v>0.1821</v>
      </c>
    </row>
    <row r="1629" ht="15.75" customHeight="1">
      <c r="A1629" s="98">
        <v>44819.0</v>
      </c>
      <c r="B1629" s="98">
        <v>44849.0</v>
      </c>
      <c r="C1629" s="97">
        <v>0.1826</v>
      </c>
    </row>
    <row r="1630" ht="15.75" customHeight="1">
      <c r="A1630" s="98">
        <v>44820.0</v>
      </c>
      <c r="B1630" s="98">
        <v>44850.0</v>
      </c>
      <c r="C1630" s="97">
        <v>0.1463</v>
      </c>
    </row>
    <row r="1631" ht="15.75" customHeight="1">
      <c r="A1631" s="98">
        <v>44821.0</v>
      </c>
      <c r="B1631" s="98">
        <v>44851.0</v>
      </c>
      <c r="C1631" s="97">
        <v>0.1192</v>
      </c>
    </row>
    <row r="1632" ht="15.75" customHeight="1">
      <c r="A1632" s="98">
        <v>44822.0</v>
      </c>
      <c r="B1632" s="98">
        <v>44852.0</v>
      </c>
      <c r="C1632" s="97">
        <v>0.147</v>
      </c>
    </row>
    <row r="1633" ht="15.75" customHeight="1">
      <c r="A1633" s="98">
        <v>44823.0</v>
      </c>
      <c r="B1633" s="98">
        <v>44853.0</v>
      </c>
      <c r="C1633" s="97">
        <v>0.185</v>
      </c>
    </row>
    <row r="1634" ht="15.75" customHeight="1">
      <c r="A1634" s="98">
        <v>44824.0</v>
      </c>
      <c r="B1634" s="98">
        <v>44854.0</v>
      </c>
      <c r="C1634" s="97">
        <v>0.1841</v>
      </c>
    </row>
    <row r="1635" ht="15.75" customHeight="1">
      <c r="A1635" s="98">
        <v>44825.0</v>
      </c>
      <c r="B1635" s="98">
        <v>44855.0</v>
      </c>
      <c r="C1635" s="97">
        <v>0.1836</v>
      </c>
    </row>
    <row r="1636" ht="15.75" customHeight="1">
      <c r="A1636" s="98">
        <v>44826.0</v>
      </c>
      <c r="B1636" s="98">
        <v>44856.0</v>
      </c>
      <c r="C1636" s="97">
        <v>0.1815</v>
      </c>
    </row>
    <row r="1637" ht="15.75" customHeight="1">
      <c r="A1637" s="98">
        <v>44827.0</v>
      </c>
      <c r="B1637" s="98">
        <v>44857.0</v>
      </c>
      <c r="C1637" s="97">
        <v>0.1504</v>
      </c>
    </row>
    <row r="1638" ht="15.75" customHeight="1">
      <c r="A1638" s="98">
        <v>44828.0</v>
      </c>
      <c r="B1638" s="98">
        <v>44858.0</v>
      </c>
      <c r="C1638" s="97">
        <v>0.1136</v>
      </c>
    </row>
    <row r="1639" ht="15.75" customHeight="1">
      <c r="A1639" s="98">
        <v>44829.0</v>
      </c>
      <c r="B1639" s="98">
        <v>44859.0</v>
      </c>
      <c r="C1639" s="97">
        <v>0.1512</v>
      </c>
    </row>
    <row r="1640" ht="15.75" customHeight="1">
      <c r="A1640" s="98">
        <v>44830.0</v>
      </c>
      <c r="B1640" s="98">
        <v>44860.0</v>
      </c>
      <c r="C1640" s="97">
        <v>0.1788</v>
      </c>
    </row>
    <row r="1641" ht="15.75" customHeight="1">
      <c r="A1641" s="98">
        <v>44831.0</v>
      </c>
      <c r="B1641" s="98">
        <v>44861.0</v>
      </c>
      <c r="C1641" s="97">
        <v>0.177</v>
      </c>
    </row>
    <row r="1642" ht="15.75" customHeight="1">
      <c r="A1642" s="98">
        <v>44832.0</v>
      </c>
      <c r="B1642" s="98">
        <v>44862.0</v>
      </c>
      <c r="C1642" s="97">
        <v>0.1768</v>
      </c>
    </row>
    <row r="1643" ht="15.75" customHeight="1">
      <c r="A1643" s="98">
        <v>44833.0</v>
      </c>
      <c r="B1643" s="98">
        <v>44863.0</v>
      </c>
      <c r="C1643" s="97">
        <v>0.1772</v>
      </c>
    </row>
    <row r="1644" ht="15.75" customHeight="1">
      <c r="A1644" s="98">
        <v>44834.0</v>
      </c>
      <c r="B1644" s="98">
        <v>44864.0</v>
      </c>
      <c r="C1644" s="97">
        <v>0.1497</v>
      </c>
    </row>
    <row r="1645" ht="15.75" customHeight="1">
      <c r="A1645" s="98">
        <v>44835.0</v>
      </c>
      <c r="B1645" s="98">
        <v>44865.0</v>
      </c>
      <c r="C1645" s="97">
        <v>0.1119</v>
      </c>
    </row>
    <row r="1646" ht="15.75" customHeight="1">
      <c r="A1646" s="98">
        <v>44835.0</v>
      </c>
      <c r="B1646" s="98">
        <v>44866.0</v>
      </c>
      <c r="C1646" s="97">
        <v>0.1494</v>
      </c>
    </row>
    <row r="1647" ht="15.75" customHeight="1">
      <c r="A1647" s="98">
        <v>44836.0</v>
      </c>
      <c r="B1647" s="98">
        <v>44867.0</v>
      </c>
      <c r="C1647" s="97">
        <v>0.1769</v>
      </c>
    </row>
    <row r="1648" ht="15.75" customHeight="1">
      <c r="A1648" s="98">
        <v>44837.0</v>
      </c>
      <c r="B1648" s="98">
        <v>44868.0</v>
      </c>
      <c r="C1648" s="97">
        <v>0.1769</v>
      </c>
    </row>
    <row r="1649" ht="15.75" customHeight="1">
      <c r="A1649" s="98">
        <v>44838.0</v>
      </c>
      <c r="B1649" s="98">
        <v>44869.0</v>
      </c>
      <c r="C1649" s="97">
        <v>0.178</v>
      </c>
    </row>
    <row r="1650" ht="15.75" customHeight="1">
      <c r="A1650" s="98">
        <v>44839.0</v>
      </c>
      <c r="B1650" s="98">
        <v>44870.0</v>
      </c>
      <c r="C1650" s="97">
        <v>0.1787</v>
      </c>
    </row>
    <row r="1651" ht="15.75" customHeight="1">
      <c r="A1651" s="98">
        <v>44840.0</v>
      </c>
      <c r="B1651" s="98">
        <v>44871.0</v>
      </c>
      <c r="C1651" s="97">
        <v>0.1512</v>
      </c>
    </row>
    <row r="1652" ht="15.75" customHeight="1">
      <c r="A1652" s="98">
        <v>44841.0</v>
      </c>
      <c r="B1652" s="98">
        <v>44872.0</v>
      </c>
      <c r="C1652" s="97">
        <v>0.113</v>
      </c>
    </row>
    <row r="1653" ht="15.75" customHeight="1">
      <c r="A1653" s="98">
        <v>44842.0</v>
      </c>
      <c r="B1653" s="98">
        <v>44873.0</v>
      </c>
      <c r="C1653" s="97">
        <v>0.1131</v>
      </c>
    </row>
    <row r="1654" ht="15.75" customHeight="1">
      <c r="A1654" s="98">
        <v>44843.0</v>
      </c>
      <c r="B1654" s="98">
        <v>44874.0</v>
      </c>
      <c r="C1654" s="97">
        <v>0.1506</v>
      </c>
    </row>
    <row r="1655" ht="15.75" customHeight="1">
      <c r="A1655" s="98">
        <v>44844.0</v>
      </c>
      <c r="B1655" s="98">
        <v>44875.0</v>
      </c>
      <c r="C1655" s="97">
        <v>0.1781</v>
      </c>
    </row>
    <row r="1656" ht="15.75" customHeight="1">
      <c r="A1656" s="98">
        <v>44845.0</v>
      </c>
      <c r="B1656" s="98">
        <v>44876.0</v>
      </c>
      <c r="C1656" s="97">
        <v>0.1802</v>
      </c>
    </row>
    <row r="1657" ht="15.75" customHeight="1">
      <c r="A1657" s="98">
        <v>44846.0</v>
      </c>
      <c r="B1657" s="98">
        <v>44877.0</v>
      </c>
      <c r="C1657" s="97">
        <v>0.1789</v>
      </c>
    </row>
    <row r="1658" ht="15.75" customHeight="1">
      <c r="A1658" s="98">
        <v>44847.0</v>
      </c>
      <c r="B1658" s="98">
        <v>44878.0</v>
      </c>
      <c r="C1658" s="97">
        <v>0.1789</v>
      </c>
    </row>
    <row r="1659" ht="15.75" customHeight="1">
      <c r="A1659" s="98">
        <v>44848.0</v>
      </c>
      <c r="B1659" s="98">
        <v>44879.0</v>
      </c>
      <c r="C1659" s="97">
        <v>0.1508</v>
      </c>
    </row>
    <row r="1660" ht="15.75" customHeight="1">
      <c r="A1660" s="98">
        <v>44849.0</v>
      </c>
      <c r="B1660" s="98">
        <v>44880.0</v>
      </c>
      <c r="C1660" s="97">
        <v>0.1507</v>
      </c>
    </row>
    <row r="1661" ht="15.75" customHeight="1">
      <c r="A1661" s="98">
        <v>44850.0</v>
      </c>
      <c r="B1661" s="98">
        <v>44881.0</v>
      </c>
      <c r="C1661" s="97">
        <v>0.1507</v>
      </c>
    </row>
    <row r="1662" ht="15.75" customHeight="1">
      <c r="A1662" s="98">
        <v>44851.0</v>
      </c>
      <c r="B1662" s="98">
        <v>44882.0</v>
      </c>
      <c r="C1662" s="97">
        <v>0.1782</v>
      </c>
    </row>
    <row r="1663" ht="15.75" customHeight="1">
      <c r="A1663" s="98">
        <v>44852.0</v>
      </c>
      <c r="B1663" s="98">
        <v>44883.0</v>
      </c>
      <c r="C1663" s="97">
        <v>0.178</v>
      </c>
    </row>
    <row r="1664" ht="15.75" customHeight="1">
      <c r="A1664" s="98">
        <v>44853.0</v>
      </c>
      <c r="B1664" s="98">
        <v>44884.0</v>
      </c>
      <c r="C1664" s="97">
        <v>0.1785</v>
      </c>
    </row>
    <row r="1665" ht="15.75" customHeight="1">
      <c r="A1665" s="98">
        <v>44854.0</v>
      </c>
      <c r="B1665" s="98">
        <v>44885.0</v>
      </c>
      <c r="C1665" s="97">
        <v>0.1505</v>
      </c>
    </row>
    <row r="1666" ht="15.75" customHeight="1">
      <c r="A1666" s="98">
        <v>44855.0</v>
      </c>
      <c r="B1666" s="98">
        <v>44886.0</v>
      </c>
      <c r="C1666" s="97">
        <v>0.1137</v>
      </c>
    </row>
    <row r="1667" ht="15.75" customHeight="1">
      <c r="A1667" s="98">
        <v>44856.0</v>
      </c>
      <c r="B1667" s="98">
        <v>44887.0</v>
      </c>
      <c r="C1667" s="97">
        <v>0.1141</v>
      </c>
    </row>
    <row r="1668" ht="15.75" customHeight="1">
      <c r="A1668" s="98">
        <v>44857.0</v>
      </c>
      <c r="B1668" s="98">
        <v>44888.0</v>
      </c>
      <c r="C1668" s="97">
        <v>0.1516</v>
      </c>
    </row>
    <row r="1669" ht="15.75" customHeight="1">
      <c r="A1669" s="98">
        <v>44858.0</v>
      </c>
      <c r="B1669" s="98">
        <v>44889.0</v>
      </c>
      <c r="C1669" s="97">
        <v>0.1792</v>
      </c>
    </row>
    <row r="1670" ht="15.75" customHeight="1">
      <c r="A1670" s="98">
        <v>44859.0</v>
      </c>
      <c r="B1670" s="98">
        <v>44890.0</v>
      </c>
      <c r="C1670" s="97">
        <v>0.1785</v>
      </c>
    </row>
    <row r="1671" ht="15.75" customHeight="1">
      <c r="A1671" s="98">
        <v>44860.0</v>
      </c>
      <c r="B1671" s="98">
        <v>44891.0</v>
      </c>
      <c r="C1671" s="97">
        <v>0.1782</v>
      </c>
    </row>
    <row r="1672" ht="15.75" customHeight="1">
      <c r="A1672" s="98">
        <v>44861.0</v>
      </c>
      <c r="B1672" s="98">
        <v>44892.0</v>
      </c>
      <c r="C1672" s="97">
        <v>0.1508</v>
      </c>
    </row>
    <row r="1673" ht="15.75" customHeight="1">
      <c r="A1673" s="98">
        <v>44862.0</v>
      </c>
      <c r="B1673" s="98">
        <v>44893.0</v>
      </c>
      <c r="C1673" s="97">
        <v>0.113</v>
      </c>
    </row>
    <row r="1674" ht="15.75" customHeight="1">
      <c r="A1674" s="98">
        <v>44863.0</v>
      </c>
      <c r="B1674" s="98">
        <v>44894.0</v>
      </c>
      <c r="C1674" s="97">
        <v>0.1131</v>
      </c>
    </row>
    <row r="1675" ht="15.75" customHeight="1">
      <c r="A1675" s="98">
        <v>44864.0</v>
      </c>
      <c r="B1675" s="98">
        <v>44895.0</v>
      </c>
      <c r="C1675" s="97">
        <v>0.1507</v>
      </c>
    </row>
    <row r="1676" ht="15.75" customHeight="1">
      <c r="A1676" s="98">
        <v>44865.0</v>
      </c>
      <c r="B1676" s="98">
        <v>44896.0</v>
      </c>
      <c r="C1676" s="97">
        <v>0.1782</v>
      </c>
    </row>
    <row r="1677" ht="15.75" customHeight="1">
      <c r="A1677" s="98">
        <v>44866.0</v>
      </c>
      <c r="B1677" s="98">
        <v>44896.0</v>
      </c>
      <c r="C1677" s="97">
        <v>0.1507</v>
      </c>
    </row>
    <row r="1678" ht="15.75" customHeight="1">
      <c r="A1678" s="98">
        <v>44867.0</v>
      </c>
      <c r="B1678" s="98">
        <v>44897.0</v>
      </c>
      <c r="C1678" s="97">
        <v>0.1507</v>
      </c>
    </row>
    <row r="1679" ht="15.75" customHeight="1">
      <c r="A1679" s="98">
        <v>44868.0</v>
      </c>
      <c r="B1679" s="98">
        <v>44898.0</v>
      </c>
      <c r="C1679" s="97">
        <v>0.1783</v>
      </c>
    </row>
    <row r="1680" ht="15.75" customHeight="1">
      <c r="A1680" s="98">
        <v>44869.0</v>
      </c>
      <c r="B1680" s="98">
        <v>44899.0</v>
      </c>
      <c r="C1680" s="97">
        <v>0.1511</v>
      </c>
    </row>
    <row r="1681" ht="15.75" customHeight="1">
      <c r="A1681" s="98">
        <v>44870.0</v>
      </c>
      <c r="B1681" s="98">
        <v>44900.0</v>
      </c>
      <c r="C1681" s="97">
        <v>0.1133</v>
      </c>
    </row>
    <row r="1682" ht="15.75" customHeight="1">
      <c r="A1682" s="98">
        <v>44871.0</v>
      </c>
      <c r="B1682" s="98">
        <v>44901.0</v>
      </c>
      <c r="C1682" s="97">
        <v>0.1508</v>
      </c>
    </row>
    <row r="1683" ht="15.75" customHeight="1">
      <c r="A1683" s="98">
        <v>44872.0</v>
      </c>
      <c r="B1683" s="98">
        <v>44902.0</v>
      </c>
      <c r="C1683" s="97">
        <v>0.1784</v>
      </c>
    </row>
    <row r="1684" ht="15.75" customHeight="1">
      <c r="A1684" s="98">
        <v>44873.0</v>
      </c>
      <c r="B1684" s="98">
        <v>44903.0</v>
      </c>
      <c r="C1684" s="97">
        <v>0.179</v>
      </c>
    </row>
    <row r="1685" ht="15.75" customHeight="1">
      <c r="A1685" s="98">
        <v>44874.0</v>
      </c>
      <c r="B1685" s="98">
        <v>44904.0</v>
      </c>
      <c r="C1685" s="97">
        <v>0.1792</v>
      </c>
    </row>
    <row r="1686" ht="15.75" customHeight="1">
      <c r="A1686" s="98">
        <v>44875.0</v>
      </c>
      <c r="B1686" s="98">
        <v>44905.0</v>
      </c>
      <c r="C1686" s="97">
        <v>0.1787</v>
      </c>
    </row>
    <row r="1687" ht="15.75" customHeight="1">
      <c r="A1687" s="98">
        <v>44876.0</v>
      </c>
      <c r="B1687" s="98">
        <v>44906.0</v>
      </c>
      <c r="C1687" s="97">
        <v>0.1441</v>
      </c>
    </row>
    <row r="1688" ht="15.75" customHeight="1">
      <c r="A1688" s="98">
        <v>44877.0</v>
      </c>
      <c r="B1688" s="98">
        <v>44907.0</v>
      </c>
      <c r="C1688" s="97">
        <v>0.1164</v>
      </c>
    </row>
    <row r="1689" ht="15.75" customHeight="1">
      <c r="A1689" s="98">
        <v>44878.0</v>
      </c>
      <c r="B1689" s="98">
        <v>44908.0</v>
      </c>
      <c r="C1689" s="97">
        <v>0.1441</v>
      </c>
    </row>
    <row r="1690" ht="15.75" customHeight="1">
      <c r="A1690" s="98">
        <v>44879.0</v>
      </c>
      <c r="B1690" s="98">
        <v>44909.0</v>
      </c>
      <c r="C1690" s="97">
        <v>0.1819</v>
      </c>
    </row>
    <row r="1691" ht="15.75" customHeight="1">
      <c r="A1691" s="98">
        <v>44880.0</v>
      </c>
      <c r="B1691" s="98">
        <v>44910.0</v>
      </c>
      <c r="C1691" s="97">
        <v>0.1818</v>
      </c>
    </row>
    <row r="1692" ht="15.75" customHeight="1">
      <c r="A1692" s="98">
        <v>44881.0</v>
      </c>
      <c r="B1692" s="98">
        <v>44911.0</v>
      </c>
      <c r="C1692" s="97">
        <v>0.2095</v>
      </c>
    </row>
    <row r="1693" ht="15.75" customHeight="1">
      <c r="A1693" s="98">
        <v>44882.0</v>
      </c>
      <c r="B1693" s="98">
        <v>44912.0</v>
      </c>
      <c r="C1693" s="97">
        <v>0.2112</v>
      </c>
    </row>
    <row r="1694" ht="15.75" customHeight="1">
      <c r="A1694" s="98">
        <v>44883.0</v>
      </c>
      <c r="B1694" s="98">
        <v>44913.0</v>
      </c>
      <c r="C1694" s="97">
        <v>0.1825</v>
      </c>
    </row>
    <row r="1695" ht="15.75" customHeight="1">
      <c r="A1695" s="98">
        <v>44884.0</v>
      </c>
      <c r="B1695" s="98">
        <v>44914.0</v>
      </c>
      <c r="C1695" s="97">
        <v>0.1438</v>
      </c>
    </row>
    <row r="1696" ht="15.75" customHeight="1">
      <c r="A1696" s="98">
        <v>44885.0</v>
      </c>
      <c r="B1696" s="98">
        <v>44915.0</v>
      </c>
      <c r="C1696" s="97">
        <v>0.1816</v>
      </c>
    </row>
    <row r="1697" ht="15.75" customHeight="1">
      <c r="A1697" s="98">
        <v>44886.0</v>
      </c>
      <c r="B1697" s="98">
        <v>44916.0</v>
      </c>
      <c r="C1697" s="97">
        <v>0.2093</v>
      </c>
    </row>
    <row r="1698" ht="15.75" customHeight="1">
      <c r="A1698" s="98">
        <v>44887.0</v>
      </c>
      <c r="B1698" s="98">
        <v>44917.0</v>
      </c>
      <c r="C1698" s="97">
        <v>0.2093</v>
      </c>
    </row>
    <row r="1699" ht="15.75" customHeight="1">
      <c r="A1699" s="98">
        <v>44888.0</v>
      </c>
      <c r="B1699" s="98">
        <v>44918.0</v>
      </c>
      <c r="C1699" s="97">
        <v>0.2093</v>
      </c>
    </row>
    <row r="1700" ht="15.75" customHeight="1">
      <c r="A1700" s="98">
        <v>44889.0</v>
      </c>
      <c r="B1700" s="98">
        <v>44919.0</v>
      </c>
      <c r="C1700" s="97">
        <v>0.2092</v>
      </c>
    </row>
    <row r="1701" ht="15.75" customHeight="1">
      <c r="A1701" s="98">
        <v>44890.0</v>
      </c>
      <c r="B1701" s="98">
        <v>44920.0</v>
      </c>
      <c r="C1701" s="97">
        <v>0.1812</v>
      </c>
    </row>
    <row r="1702" ht="15.75" customHeight="1">
      <c r="A1702" s="98">
        <v>44891.0</v>
      </c>
      <c r="B1702" s="98">
        <v>44921.0</v>
      </c>
      <c r="C1702" s="97">
        <v>0.144</v>
      </c>
    </row>
    <row r="1703" ht="15.75" customHeight="1">
      <c r="A1703" s="98">
        <v>44892.0</v>
      </c>
      <c r="B1703" s="98">
        <v>44922.0</v>
      </c>
      <c r="C1703" s="97">
        <v>0.1818</v>
      </c>
    </row>
    <row r="1704" ht="15.75" customHeight="1">
      <c r="A1704" s="98">
        <v>44893.0</v>
      </c>
      <c r="B1704" s="98">
        <v>44923.0</v>
      </c>
      <c r="C1704" s="97">
        <v>0.2095</v>
      </c>
    </row>
    <row r="1705" ht="15.75" customHeight="1">
      <c r="A1705" s="98">
        <v>44894.0</v>
      </c>
      <c r="B1705" s="98">
        <v>44924.0</v>
      </c>
      <c r="C1705" s="97">
        <v>0.2094</v>
      </c>
    </row>
    <row r="1706" ht="15.75" customHeight="1">
      <c r="A1706" s="98">
        <v>44895.0</v>
      </c>
      <c r="B1706" s="98">
        <v>44925.0</v>
      </c>
      <c r="C1706" s="97">
        <v>0.2088</v>
      </c>
    </row>
    <row r="1707" ht="15.75" customHeight="1">
      <c r="A1707" s="98">
        <v>44896.0</v>
      </c>
      <c r="B1707" s="98">
        <v>44926.0</v>
      </c>
      <c r="C1707" s="97">
        <v>0.2072</v>
      </c>
    </row>
    <row r="1708" ht="15.75" customHeight="1">
      <c r="A1708" s="98">
        <v>44896.0</v>
      </c>
      <c r="B1708" s="98">
        <v>44927.0</v>
      </c>
      <c r="C1708" s="97">
        <v>0.2072</v>
      </c>
    </row>
    <row r="1709" ht="15.75" customHeight="1">
      <c r="A1709" s="98">
        <v>44897.0</v>
      </c>
      <c r="B1709" s="98">
        <v>44928.0</v>
      </c>
      <c r="C1709" s="97">
        <v>0.1797</v>
      </c>
    </row>
    <row r="1710" ht="15.75" customHeight="1">
      <c r="A1710" s="98">
        <v>44898.0</v>
      </c>
      <c r="B1710" s="98">
        <v>44929.0</v>
      </c>
      <c r="C1710" s="97">
        <v>0.1791</v>
      </c>
    </row>
    <row r="1711" ht="15.75" customHeight="1">
      <c r="A1711" s="98">
        <v>44899.0</v>
      </c>
      <c r="B1711" s="98">
        <v>44930.0</v>
      </c>
      <c r="C1711" s="97">
        <v>0.2066</v>
      </c>
    </row>
    <row r="1712" ht="15.75" customHeight="1">
      <c r="A1712" s="98">
        <v>44900.0</v>
      </c>
      <c r="B1712" s="98">
        <v>44931.0</v>
      </c>
      <c r="C1712" s="97">
        <v>0.244</v>
      </c>
    </row>
    <row r="1713" ht="15.75" customHeight="1">
      <c r="A1713" s="98">
        <v>44901.0</v>
      </c>
      <c r="B1713" s="98">
        <v>44932.0</v>
      </c>
      <c r="C1713" s="97">
        <v>0.2438</v>
      </c>
    </row>
    <row r="1714" ht="15.75" customHeight="1">
      <c r="A1714" s="98">
        <v>44902.0</v>
      </c>
      <c r="B1714" s="98">
        <v>44933.0</v>
      </c>
      <c r="C1714" s="97">
        <v>0.2443</v>
      </c>
    </row>
    <row r="1715" ht="15.75" customHeight="1">
      <c r="A1715" s="98">
        <v>44903.0</v>
      </c>
      <c r="B1715" s="98">
        <v>44934.0</v>
      </c>
      <c r="C1715" s="97">
        <v>0.2114</v>
      </c>
    </row>
    <row r="1716" ht="15.75" customHeight="1">
      <c r="A1716" s="98">
        <v>44904.0</v>
      </c>
      <c r="B1716" s="98">
        <v>44935.0</v>
      </c>
      <c r="C1716" s="97">
        <v>0.1769</v>
      </c>
    </row>
    <row r="1717" ht="15.75" customHeight="1">
      <c r="A1717" s="98">
        <v>44905.0</v>
      </c>
      <c r="B1717" s="98">
        <v>44936.0</v>
      </c>
      <c r="C1717" s="97">
        <v>0.178</v>
      </c>
    </row>
    <row r="1718" ht="15.75" customHeight="1">
      <c r="A1718" s="98">
        <v>44906.0</v>
      </c>
      <c r="B1718" s="98">
        <v>44937.0</v>
      </c>
      <c r="C1718" s="97">
        <v>0.2055</v>
      </c>
    </row>
    <row r="1719" ht="15.75" customHeight="1">
      <c r="A1719" s="98">
        <v>44907.0</v>
      </c>
      <c r="B1719" s="98">
        <v>44938.0</v>
      </c>
      <c r="C1719" s="97">
        <v>0.2428</v>
      </c>
    </row>
    <row r="1720" ht="15.75" customHeight="1">
      <c r="A1720" s="98">
        <v>44908.0</v>
      </c>
      <c r="B1720" s="98">
        <v>44939.0</v>
      </c>
      <c r="C1720" s="97">
        <v>0.2425</v>
      </c>
    </row>
    <row r="1721" ht="15.75" customHeight="1">
      <c r="A1721" s="98">
        <v>44909.0</v>
      </c>
      <c r="B1721" s="98">
        <v>44940.0</v>
      </c>
      <c r="C1721" s="97">
        <v>0.2415</v>
      </c>
    </row>
    <row r="1722" ht="15.75" customHeight="1">
      <c r="A1722" s="98">
        <v>44910.0</v>
      </c>
      <c r="B1722" s="98">
        <v>44941.0</v>
      </c>
      <c r="C1722" s="97">
        <v>0.2146</v>
      </c>
    </row>
    <row r="1723" ht="15.75" customHeight="1">
      <c r="A1723" s="98">
        <v>44911.0</v>
      </c>
      <c r="B1723" s="98">
        <v>44942.0</v>
      </c>
      <c r="C1723" s="97">
        <v>0.1763</v>
      </c>
    </row>
    <row r="1724" ht="15.75" customHeight="1">
      <c r="A1724" s="98">
        <v>44912.0</v>
      </c>
      <c r="B1724" s="98">
        <v>44943.0</v>
      </c>
      <c r="C1724" s="97">
        <v>0.1792</v>
      </c>
    </row>
    <row r="1725" ht="15.75" customHeight="1">
      <c r="A1725" s="98">
        <v>44913.0</v>
      </c>
      <c r="B1725" s="98">
        <v>44944.0</v>
      </c>
      <c r="C1725" s="97">
        <v>0.2069</v>
      </c>
    </row>
    <row r="1726" ht="15.75" customHeight="1">
      <c r="A1726" s="98">
        <v>44914.0</v>
      </c>
      <c r="B1726" s="98">
        <v>44945.0</v>
      </c>
      <c r="C1726" s="97">
        <v>0.2443</v>
      </c>
    </row>
    <row r="1727" ht="15.75" customHeight="1">
      <c r="A1727" s="98">
        <v>44915.0</v>
      </c>
      <c r="B1727" s="98">
        <v>44946.0</v>
      </c>
      <c r="C1727" s="97">
        <v>0.2415</v>
      </c>
    </row>
    <row r="1728" ht="15.75" customHeight="1">
      <c r="A1728" s="98">
        <v>44916.0</v>
      </c>
      <c r="B1728" s="98">
        <v>44947.0</v>
      </c>
      <c r="C1728" s="97">
        <v>0.241</v>
      </c>
    </row>
    <row r="1729" ht="15.75" customHeight="1">
      <c r="A1729" s="98">
        <v>44917.0</v>
      </c>
      <c r="B1729" s="98">
        <v>44948.0</v>
      </c>
      <c r="C1729" s="97">
        <v>0.2138</v>
      </c>
    </row>
    <row r="1730" ht="15.75" customHeight="1">
      <c r="A1730" s="98">
        <v>44918.0</v>
      </c>
      <c r="B1730" s="98">
        <v>44949.0</v>
      </c>
      <c r="C1730" s="97">
        <v>0.1761</v>
      </c>
    </row>
    <row r="1731" ht="15.75" customHeight="1">
      <c r="A1731" s="98">
        <v>44919.0</v>
      </c>
      <c r="B1731" s="98">
        <v>44950.0</v>
      </c>
      <c r="C1731" s="97">
        <v>0.1773</v>
      </c>
    </row>
    <row r="1732" ht="15.75" customHeight="1">
      <c r="A1732" s="98">
        <v>44920.0</v>
      </c>
      <c r="B1732" s="98">
        <v>44951.0</v>
      </c>
      <c r="C1732" s="97">
        <v>0.2145</v>
      </c>
    </row>
    <row r="1733" ht="15.75" customHeight="1">
      <c r="A1733" s="98">
        <v>44921.0</v>
      </c>
      <c r="B1733" s="98">
        <v>44952.0</v>
      </c>
      <c r="C1733" s="97">
        <v>0.2418</v>
      </c>
    </row>
    <row r="1734" ht="15.75" customHeight="1">
      <c r="A1734" s="98">
        <v>44922.0</v>
      </c>
      <c r="B1734" s="98">
        <v>44953.0</v>
      </c>
      <c r="C1734" s="97">
        <v>0.2406</v>
      </c>
    </row>
    <row r="1735" ht="15.75" customHeight="1">
      <c r="A1735" s="98">
        <v>44923.0</v>
      </c>
      <c r="B1735" s="98">
        <v>44954.0</v>
      </c>
      <c r="C1735" s="97">
        <v>0.2394</v>
      </c>
    </row>
    <row r="1736" ht="15.75" customHeight="1">
      <c r="A1736" s="98">
        <v>44924.0</v>
      </c>
      <c r="B1736" s="98">
        <v>44955.0</v>
      </c>
      <c r="C1736" s="97">
        <v>0.2123</v>
      </c>
    </row>
    <row r="1737" ht="15.75" customHeight="1">
      <c r="A1737" s="98">
        <v>44925.0</v>
      </c>
      <c r="B1737" s="98">
        <v>44956.0</v>
      </c>
      <c r="C1737" s="97">
        <v>0.175</v>
      </c>
    </row>
    <row r="1738" ht="15.75" customHeight="1">
      <c r="A1738" s="98">
        <v>44926.0</v>
      </c>
      <c r="B1738" s="98">
        <v>44957.0</v>
      </c>
      <c r="C1738" s="97">
        <v>0.1709</v>
      </c>
    </row>
    <row r="1739" ht="15.75" customHeight="1">
      <c r="A1739" s="98">
        <v>44927.0</v>
      </c>
      <c r="B1739" s="98">
        <v>44958.0</v>
      </c>
      <c r="C1739" s="97">
        <v>0.2081</v>
      </c>
    </row>
    <row r="1740" ht="15.75" customHeight="1">
      <c r="A1740" s="98">
        <v>44928.0</v>
      </c>
      <c r="B1740" s="98">
        <v>44959.0</v>
      </c>
      <c r="C1740" s="97">
        <v>0.2353</v>
      </c>
    </row>
    <row r="1741" ht="15.75" customHeight="1">
      <c r="A1741" s="98">
        <v>44929.0</v>
      </c>
      <c r="B1741" s="98">
        <v>44960.0</v>
      </c>
      <c r="C1741" s="97">
        <v>0.2409</v>
      </c>
    </row>
    <row r="1742" ht="15.75" customHeight="1">
      <c r="A1742" s="98">
        <v>44930.0</v>
      </c>
      <c r="B1742" s="98">
        <v>44961.0</v>
      </c>
      <c r="C1742" s="97">
        <v>0.2362</v>
      </c>
    </row>
    <row r="1743" ht="15.75" customHeight="1">
      <c r="A1743" s="98">
        <v>44931.0</v>
      </c>
      <c r="B1743" s="98">
        <v>44962.0</v>
      </c>
      <c r="C1743" s="97">
        <v>0.2085</v>
      </c>
    </row>
    <row r="1744" ht="15.75" customHeight="1">
      <c r="A1744" s="98">
        <v>44932.0</v>
      </c>
      <c r="B1744" s="98">
        <v>44963.0</v>
      </c>
      <c r="C1744" s="97">
        <v>0.1715</v>
      </c>
    </row>
    <row r="1745" ht="15.75" customHeight="1">
      <c r="A1745" s="98">
        <v>44933.0</v>
      </c>
      <c r="B1745" s="98">
        <v>44964.0</v>
      </c>
      <c r="C1745" s="97">
        <v>0.1767</v>
      </c>
    </row>
    <row r="1746" ht="15.75" customHeight="1">
      <c r="A1746" s="98">
        <v>44934.0</v>
      </c>
      <c r="B1746" s="98">
        <v>44965.0</v>
      </c>
      <c r="C1746" s="97">
        <v>0.2141</v>
      </c>
    </row>
    <row r="1747" ht="15.75" customHeight="1">
      <c r="A1747" s="98">
        <v>44935.0</v>
      </c>
      <c r="B1747" s="98">
        <v>44966.0</v>
      </c>
      <c r="C1747" s="97">
        <v>0.2416</v>
      </c>
    </row>
    <row r="1748" ht="15.75" customHeight="1">
      <c r="A1748" s="98">
        <v>44936.0</v>
      </c>
      <c r="B1748" s="98">
        <v>44967.0</v>
      </c>
      <c r="C1748" s="97">
        <v>0.237</v>
      </c>
    </row>
    <row r="1749" ht="15.75" customHeight="1">
      <c r="A1749" s="98">
        <v>44937.0</v>
      </c>
      <c r="B1749" s="98">
        <v>44968.0</v>
      </c>
      <c r="C1749" s="97">
        <v>0.2412</v>
      </c>
    </row>
    <row r="1750" ht="15.75" customHeight="1">
      <c r="A1750" s="98">
        <v>44938.0</v>
      </c>
      <c r="B1750" s="98">
        <v>44969.0</v>
      </c>
      <c r="C1750" s="97">
        <v>0.2146</v>
      </c>
    </row>
    <row r="1751" ht="15.75" customHeight="1">
      <c r="A1751" s="98">
        <v>44939.0</v>
      </c>
      <c r="B1751" s="98">
        <v>44970.0</v>
      </c>
      <c r="C1751" s="97">
        <v>0.1783</v>
      </c>
    </row>
    <row r="1752" ht="15.75" customHeight="1">
      <c r="A1752" s="98">
        <v>44940.0</v>
      </c>
      <c r="B1752" s="98">
        <v>44971.0</v>
      </c>
      <c r="C1752" s="97">
        <v>0.1786</v>
      </c>
    </row>
    <row r="1753" ht="15.75" customHeight="1">
      <c r="A1753" s="98">
        <v>44941.0</v>
      </c>
      <c r="B1753" s="98">
        <v>44972.0</v>
      </c>
      <c r="C1753" s="97">
        <v>0.2063</v>
      </c>
    </row>
    <row r="1754" ht="15.75" customHeight="1">
      <c r="A1754" s="98">
        <v>44942.0</v>
      </c>
      <c r="B1754" s="98">
        <v>44973.0</v>
      </c>
      <c r="C1754" s="97">
        <v>0.2438</v>
      </c>
    </row>
    <row r="1755" ht="15.75" customHeight="1">
      <c r="A1755" s="98">
        <v>44943.0</v>
      </c>
      <c r="B1755" s="98">
        <v>44974.0</v>
      </c>
      <c r="C1755" s="97">
        <v>0.2414</v>
      </c>
    </row>
    <row r="1756" ht="15.75" customHeight="1">
      <c r="A1756" s="98">
        <v>44944.0</v>
      </c>
      <c r="B1756" s="98">
        <v>44975.0</v>
      </c>
      <c r="C1756" s="97">
        <v>0.2426</v>
      </c>
    </row>
    <row r="1757" ht="15.75" customHeight="1">
      <c r="A1757" s="98">
        <v>44945.0</v>
      </c>
      <c r="B1757" s="98">
        <v>44976.0</v>
      </c>
      <c r="C1757" s="97">
        <v>0.2143</v>
      </c>
    </row>
    <row r="1758" ht="15.75" customHeight="1">
      <c r="A1758" s="98">
        <v>44946.0</v>
      </c>
      <c r="B1758" s="98">
        <v>44977.0</v>
      </c>
      <c r="C1758" s="97">
        <v>0.1763</v>
      </c>
    </row>
    <row r="1759" ht="15.75" customHeight="1">
      <c r="A1759" s="98">
        <v>44947.0</v>
      </c>
      <c r="B1759" s="98">
        <v>44978.0</v>
      </c>
      <c r="C1759" s="97">
        <v>0.1488</v>
      </c>
    </row>
    <row r="1760" ht="15.75" customHeight="1">
      <c r="A1760" s="98">
        <v>44948.0</v>
      </c>
      <c r="B1760" s="98">
        <v>44979.0</v>
      </c>
      <c r="C1760" s="97">
        <v>0.1488</v>
      </c>
    </row>
    <row r="1761" ht="15.75" customHeight="1">
      <c r="A1761" s="98">
        <v>44949.0</v>
      </c>
      <c r="B1761" s="98">
        <v>44980.0</v>
      </c>
      <c r="C1761" s="97">
        <v>0.1763</v>
      </c>
    </row>
    <row r="1762" ht="15.75" customHeight="1">
      <c r="A1762" s="98">
        <v>44950.0</v>
      </c>
      <c r="B1762" s="98">
        <v>44981.0</v>
      </c>
      <c r="C1762" s="97">
        <v>0.1765</v>
      </c>
    </row>
    <row r="1763" ht="15.75" customHeight="1">
      <c r="A1763" s="98">
        <v>44951.0</v>
      </c>
      <c r="B1763" s="98">
        <v>44982.0</v>
      </c>
      <c r="C1763" s="97">
        <v>0.1749</v>
      </c>
    </row>
    <row r="1764" ht="15.75" customHeight="1">
      <c r="A1764" s="98">
        <v>44952.0</v>
      </c>
      <c r="B1764" s="98">
        <v>44983.0</v>
      </c>
      <c r="C1764" s="97">
        <v>0.1453</v>
      </c>
    </row>
    <row r="1765" ht="15.75" customHeight="1">
      <c r="A1765" s="98">
        <v>44953.0</v>
      </c>
      <c r="B1765" s="98">
        <v>44984.0</v>
      </c>
      <c r="C1765" s="97">
        <v>0.1079</v>
      </c>
    </row>
    <row r="1766" ht="15.75" customHeight="1">
      <c r="A1766" s="98">
        <v>44954.0</v>
      </c>
      <c r="B1766" s="98">
        <v>44985.0</v>
      </c>
      <c r="C1766" s="97">
        <v>0.1112</v>
      </c>
    </row>
    <row r="1767" ht="15.75" customHeight="1">
      <c r="A1767" s="98">
        <v>44955.0</v>
      </c>
      <c r="B1767" s="98">
        <v>44986.0</v>
      </c>
      <c r="C1767" s="97">
        <v>0.1487</v>
      </c>
    </row>
    <row r="1768" ht="15.75" customHeight="1">
      <c r="A1768" s="98">
        <v>44956.0</v>
      </c>
      <c r="B1768" s="98">
        <v>44986.0</v>
      </c>
      <c r="C1768" s="97">
        <v>0.1487</v>
      </c>
    </row>
    <row r="1769" ht="15.75" customHeight="1">
      <c r="A1769" s="98">
        <v>44957.0</v>
      </c>
      <c r="B1769" s="98">
        <v>44986.0</v>
      </c>
      <c r="C1769" s="97">
        <v>0.1101</v>
      </c>
    </row>
    <row r="1770" ht="15.75" customHeight="1">
      <c r="A1770" s="98">
        <v>44958.0</v>
      </c>
      <c r="B1770" s="98">
        <v>44986.0</v>
      </c>
      <c r="C1770" s="97">
        <v>0.083</v>
      </c>
    </row>
    <row r="1771" ht="15.75" customHeight="1">
      <c r="A1771" s="98">
        <v>44959.0</v>
      </c>
      <c r="B1771" s="98">
        <v>44987.0</v>
      </c>
      <c r="C1771" s="97">
        <v>0.0844</v>
      </c>
    </row>
    <row r="1772" ht="15.75" customHeight="1">
      <c r="A1772" s="98">
        <v>44960.0</v>
      </c>
      <c r="B1772" s="98">
        <v>44988.0</v>
      </c>
      <c r="C1772" s="97">
        <v>0.0828</v>
      </c>
    </row>
    <row r="1773" ht="15.75" customHeight="1">
      <c r="A1773" s="98">
        <v>44961.0</v>
      </c>
      <c r="B1773" s="98">
        <v>44989.0</v>
      </c>
      <c r="C1773" s="97">
        <v>0.0831</v>
      </c>
    </row>
    <row r="1774" ht="15.75" customHeight="1">
      <c r="A1774" s="98">
        <v>44962.0</v>
      </c>
      <c r="B1774" s="98">
        <v>44990.0</v>
      </c>
      <c r="C1774" s="97">
        <v>0.0831</v>
      </c>
    </row>
    <row r="1775" ht="15.75" customHeight="1">
      <c r="A1775" s="98">
        <v>44963.0</v>
      </c>
      <c r="B1775" s="98">
        <v>44991.0</v>
      </c>
      <c r="C1775" s="97">
        <v>0.0831</v>
      </c>
    </row>
    <row r="1776" ht="15.75" customHeight="1">
      <c r="A1776" s="98">
        <v>44964.0</v>
      </c>
      <c r="B1776" s="98">
        <v>44992.0</v>
      </c>
      <c r="C1776" s="97">
        <v>0.083</v>
      </c>
    </row>
    <row r="1777" ht="15.75" customHeight="1">
      <c r="A1777" s="98">
        <v>44965.0</v>
      </c>
      <c r="B1777" s="98">
        <v>44993.0</v>
      </c>
      <c r="C1777" s="97">
        <v>0.0827</v>
      </c>
    </row>
    <row r="1778" ht="15.75" customHeight="1">
      <c r="A1778" s="98">
        <v>44966.0</v>
      </c>
      <c r="B1778" s="98">
        <v>44994.0</v>
      </c>
      <c r="C1778" s="97">
        <v>0.0824</v>
      </c>
    </row>
    <row r="1779" ht="15.75" customHeight="1">
      <c r="A1779" s="98">
        <v>44967.0</v>
      </c>
      <c r="B1779" s="98">
        <v>44995.0</v>
      </c>
      <c r="C1779" s="97">
        <v>0.0825</v>
      </c>
    </row>
    <row r="1780" ht="15.75" customHeight="1">
      <c r="A1780" s="98">
        <v>44968.0</v>
      </c>
      <c r="B1780" s="98">
        <v>44996.0</v>
      </c>
      <c r="C1780" s="97">
        <v>0.0833</v>
      </c>
    </row>
    <row r="1781" ht="15.75" customHeight="1">
      <c r="A1781" s="98">
        <v>44969.0</v>
      </c>
      <c r="B1781" s="98">
        <v>44997.0</v>
      </c>
      <c r="C1781" s="97">
        <v>0.0833</v>
      </c>
    </row>
    <row r="1782" ht="15.75" customHeight="1">
      <c r="A1782" s="98">
        <v>44970.0</v>
      </c>
      <c r="B1782" s="98">
        <v>44998.0</v>
      </c>
      <c r="C1782" s="97">
        <v>0.0833</v>
      </c>
    </row>
    <row r="1783" ht="15.75" customHeight="1">
      <c r="A1783" s="98">
        <v>44971.0</v>
      </c>
      <c r="B1783" s="98">
        <v>44999.0</v>
      </c>
      <c r="C1783" s="97">
        <v>0.0826</v>
      </c>
    </row>
    <row r="1784" ht="15.75" customHeight="1">
      <c r="A1784" s="98">
        <v>44972.0</v>
      </c>
      <c r="B1784" s="98">
        <v>45000.0</v>
      </c>
      <c r="C1784" s="97">
        <v>0.0819</v>
      </c>
    </row>
    <row r="1785" ht="15.75" customHeight="1">
      <c r="A1785" s="98">
        <v>44973.0</v>
      </c>
      <c r="B1785" s="98">
        <v>45001.0</v>
      </c>
      <c r="C1785" s="97">
        <v>0.0821</v>
      </c>
    </row>
    <row r="1786" ht="15.75" customHeight="1">
      <c r="A1786" s="98">
        <v>44974.0</v>
      </c>
      <c r="B1786" s="98">
        <v>45002.0</v>
      </c>
      <c r="C1786" s="97">
        <v>0.0821</v>
      </c>
    </row>
    <row r="1787" ht="15.75" customHeight="1">
      <c r="A1787" s="98">
        <v>44975.0</v>
      </c>
      <c r="B1787" s="98">
        <v>45003.0</v>
      </c>
      <c r="C1787" s="97">
        <v>0.0821</v>
      </c>
    </row>
    <row r="1788" ht="15.75" customHeight="1">
      <c r="A1788" s="98">
        <v>44976.0</v>
      </c>
      <c r="B1788" s="98">
        <v>45004.0</v>
      </c>
      <c r="C1788" s="97">
        <v>0.0821</v>
      </c>
    </row>
    <row r="1789" ht="15.75" customHeight="1">
      <c r="A1789" s="98">
        <v>44977.0</v>
      </c>
      <c r="B1789" s="98">
        <v>45005.0</v>
      </c>
      <c r="C1789" s="97">
        <v>0.0821</v>
      </c>
    </row>
    <row r="1790" ht="15.75" customHeight="1">
      <c r="A1790" s="98">
        <v>44978.0</v>
      </c>
      <c r="B1790" s="98">
        <v>45006.0</v>
      </c>
      <c r="C1790" s="97">
        <v>0.1094</v>
      </c>
    </row>
    <row r="1791" ht="15.75" customHeight="1">
      <c r="A1791" s="98">
        <v>44979.0</v>
      </c>
      <c r="B1791" s="98">
        <v>45007.0</v>
      </c>
      <c r="C1791" s="97">
        <v>0.1467</v>
      </c>
    </row>
    <row r="1792" ht="15.75" customHeight="1">
      <c r="A1792" s="98">
        <v>44980.0</v>
      </c>
      <c r="B1792" s="98">
        <v>45008.0</v>
      </c>
      <c r="C1792" s="97">
        <v>0.1474</v>
      </c>
    </row>
    <row r="1793" ht="15.75" customHeight="1">
      <c r="A1793" s="98">
        <v>44981.0</v>
      </c>
      <c r="B1793" s="98">
        <v>45009.0</v>
      </c>
      <c r="C1793" s="97">
        <v>0.147</v>
      </c>
    </row>
    <row r="1794" ht="15.75" customHeight="1">
      <c r="A1794" s="98">
        <v>44982.0</v>
      </c>
      <c r="B1794" s="98">
        <v>45010.0</v>
      </c>
      <c r="C1794" s="97">
        <v>0.1467</v>
      </c>
    </row>
    <row r="1795" ht="15.75" customHeight="1">
      <c r="A1795" s="98">
        <v>44983.0</v>
      </c>
      <c r="B1795" s="98">
        <v>45011.0</v>
      </c>
      <c r="C1795" s="97">
        <v>0.1467</v>
      </c>
    </row>
    <row r="1796" ht="15.75" customHeight="1">
      <c r="A1796" s="98">
        <v>44984.0</v>
      </c>
      <c r="B1796" s="98">
        <v>45012.0</v>
      </c>
      <c r="C1796" s="97">
        <v>0.1467</v>
      </c>
    </row>
    <row r="1797" ht="15.75" customHeight="1">
      <c r="A1797" s="98">
        <v>44985.0</v>
      </c>
      <c r="B1797" s="98">
        <v>45013.0</v>
      </c>
      <c r="C1797" s="97">
        <v>0.1468</v>
      </c>
    </row>
    <row r="1798" ht="15.75" customHeight="1">
      <c r="A1798" s="98">
        <v>44986.0</v>
      </c>
      <c r="B1798" s="98">
        <v>45014.0</v>
      </c>
      <c r="C1798" s="97">
        <v>0.1469</v>
      </c>
    </row>
    <row r="1799" ht="15.75" customHeight="1">
      <c r="A1799" s="98">
        <v>44986.0</v>
      </c>
      <c r="B1799" s="98">
        <v>45015.0</v>
      </c>
      <c r="C1799" s="97">
        <v>0.1744</v>
      </c>
    </row>
    <row r="1800" ht="15.75" customHeight="1">
      <c r="A1800" s="98">
        <v>44986.0</v>
      </c>
      <c r="B1800" s="98">
        <v>45016.0</v>
      </c>
      <c r="C1800" s="97">
        <v>0.2117</v>
      </c>
    </row>
    <row r="1801" ht="15.75" customHeight="1">
      <c r="A1801" s="98">
        <v>44986.0</v>
      </c>
      <c r="B1801" s="98">
        <v>45017.0</v>
      </c>
      <c r="C1801" s="97">
        <v>0.2392</v>
      </c>
    </row>
    <row r="1802" ht="15.75" customHeight="1">
      <c r="A1802" s="98">
        <v>44987.0</v>
      </c>
      <c r="B1802" s="98">
        <v>45018.0</v>
      </c>
      <c r="C1802" s="97">
        <v>0.2118</v>
      </c>
    </row>
    <row r="1803" ht="15.75" customHeight="1">
      <c r="A1803" s="98">
        <v>44988.0</v>
      </c>
      <c r="B1803" s="98">
        <v>45019.0</v>
      </c>
      <c r="C1803" s="97">
        <v>0.1743</v>
      </c>
    </row>
    <row r="1804" ht="15.75" customHeight="1">
      <c r="A1804" s="98">
        <v>44989.0</v>
      </c>
      <c r="B1804" s="98">
        <v>45020.0</v>
      </c>
      <c r="C1804" s="97">
        <v>0.1742</v>
      </c>
    </row>
    <row r="1805" ht="15.75" customHeight="1">
      <c r="A1805" s="98">
        <v>44990.0</v>
      </c>
      <c r="B1805" s="98">
        <v>45021.0</v>
      </c>
      <c r="C1805" s="97">
        <v>0.2114</v>
      </c>
    </row>
    <row r="1806" ht="15.75" customHeight="1">
      <c r="A1806" s="98">
        <v>44991.0</v>
      </c>
      <c r="B1806" s="98">
        <v>45022.0</v>
      </c>
      <c r="C1806" s="97">
        <v>0.2388</v>
      </c>
    </row>
    <row r="1807" ht="15.75" customHeight="1">
      <c r="A1807" s="98">
        <v>44992.0</v>
      </c>
      <c r="B1807" s="98">
        <v>45023.0</v>
      </c>
      <c r="C1807" s="97">
        <v>0.2381</v>
      </c>
    </row>
    <row r="1808" ht="15.75" customHeight="1">
      <c r="A1808" s="98">
        <v>44993.0</v>
      </c>
      <c r="B1808" s="98">
        <v>45024.0</v>
      </c>
      <c r="C1808" s="97">
        <v>0.2087</v>
      </c>
    </row>
    <row r="1809" ht="15.75" customHeight="1">
      <c r="A1809" s="98">
        <v>44994.0</v>
      </c>
      <c r="B1809" s="98">
        <v>45025.0</v>
      </c>
      <c r="C1809" s="97">
        <v>0.172</v>
      </c>
    </row>
    <row r="1810" ht="15.75" customHeight="1">
      <c r="A1810" s="98">
        <v>44995.0</v>
      </c>
      <c r="B1810" s="98">
        <v>45026.0</v>
      </c>
      <c r="C1810" s="97">
        <v>0.1474</v>
      </c>
    </row>
    <row r="1811" ht="15.75" customHeight="1">
      <c r="A1811" s="98">
        <v>44996.0</v>
      </c>
      <c r="B1811" s="98">
        <v>45027.0</v>
      </c>
      <c r="C1811" s="97">
        <v>0.1445</v>
      </c>
    </row>
    <row r="1812" ht="15.75" customHeight="1">
      <c r="A1812" s="98">
        <v>44997.0</v>
      </c>
      <c r="B1812" s="98">
        <v>45028.0</v>
      </c>
      <c r="C1812" s="97">
        <v>0.1718</v>
      </c>
    </row>
    <row r="1813" ht="15.75" customHeight="1">
      <c r="A1813" s="98">
        <v>44998.0</v>
      </c>
      <c r="B1813" s="98">
        <v>45029.0</v>
      </c>
      <c r="C1813" s="97">
        <v>0.2089</v>
      </c>
    </row>
    <row r="1814" ht="15.75" customHeight="1">
      <c r="A1814" s="98">
        <v>44999.0</v>
      </c>
      <c r="B1814" s="98">
        <v>45030.0</v>
      </c>
      <c r="C1814" s="97">
        <v>0.2064</v>
      </c>
    </row>
    <row r="1815" ht="15.75" customHeight="1">
      <c r="A1815" s="98">
        <v>45000.0</v>
      </c>
      <c r="B1815" s="98">
        <v>45031.0</v>
      </c>
      <c r="C1815" s="97">
        <v>0.2088</v>
      </c>
    </row>
    <row r="1816" ht="15.75" customHeight="1">
      <c r="A1816" s="98">
        <v>45001.0</v>
      </c>
      <c r="B1816" s="98">
        <v>45032.0</v>
      </c>
      <c r="C1816" s="97">
        <v>0.1715</v>
      </c>
    </row>
    <row r="1817" ht="15.75" customHeight="1">
      <c r="A1817" s="98">
        <v>45002.0</v>
      </c>
      <c r="B1817" s="98">
        <v>45033.0</v>
      </c>
      <c r="C1817" s="97">
        <v>0.1445</v>
      </c>
    </row>
    <row r="1818" ht="15.75" customHeight="1">
      <c r="A1818" s="98">
        <v>45003.0</v>
      </c>
      <c r="B1818" s="98">
        <v>45034.0</v>
      </c>
      <c r="C1818" s="97">
        <v>0.1438</v>
      </c>
    </row>
    <row r="1819" ht="15.75" customHeight="1">
      <c r="A1819" s="98">
        <v>45004.0</v>
      </c>
      <c r="B1819" s="98">
        <v>45035.0</v>
      </c>
      <c r="C1819" s="97">
        <v>0.171</v>
      </c>
    </row>
    <row r="1820" ht="15.75" customHeight="1">
      <c r="A1820" s="98">
        <v>45005.0</v>
      </c>
      <c r="B1820" s="98">
        <v>45036.0</v>
      </c>
      <c r="C1820" s="97">
        <v>0.2082</v>
      </c>
    </row>
    <row r="1821" ht="15.75" customHeight="1">
      <c r="A1821" s="98">
        <v>45006.0</v>
      </c>
      <c r="B1821" s="98">
        <v>45037.0</v>
      </c>
      <c r="C1821" s="97">
        <v>0.2089</v>
      </c>
    </row>
    <row r="1822" ht="15.75" customHeight="1">
      <c r="A1822" s="98">
        <v>45007.0</v>
      </c>
      <c r="B1822" s="98">
        <v>45038.0</v>
      </c>
      <c r="C1822" s="97">
        <v>0.1712</v>
      </c>
    </row>
    <row r="1823" ht="15.75" customHeight="1">
      <c r="A1823" s="98">
        <v>45008.0</v>
      </c>
      <c r="B1823" s="98">
        <v>45039.0</v>
      </c>
      <c r="C1823" s="97">
        <v>0.1454</v>
      </c>
    </row>
    <row r="1824" ht="15.75" customHeight="1">
      <c r="A1824" s="98">
        <v>45009.0</v>
      </c>
      <c r="B1824" s="98">
        <v>45040.0</v>
      </c>
      <c r="C1824" s="97">
        <v>0.1076</v>
      </c>
    </row>
    <row r="1825" ht="15.75" customHeight="1">
      <c r="A1825" s="98">
        <v>45010.0</v>
      </c>
      <c r="B1825" s="98">
        <v>45041.0</v>
      </c>
      <c r="C1825" s="97">
        <v>0.1078</v>
      </c>
    </row>
    <row r="1826" ht="15.75" customHeight="1">
      <c r="A1826" s="98">
        <v>45011.0</v>
      </c>
      <c r="B1826" s="98">
        <v>45042.0</v>
      </c>
      <c r="C1826" s="97">
        <v>0.1451</v>
      </c>
    </row>
    <row r="1827" ht="15.75" customHeight="1">
      <c r="A1827" s="98">
        <v>45012.0</v>
      </c>
      <c r="B1827" s="98">
        <v>45043.0</v>
      </c>
      <c r="C1827" s="97">
        <v>0.1724</v>
      </c>
    </row>
    <row r="1828" ht="15.75" customHeight="1">
      <c r="A1828" s="98">
        <v>45013.0</v>
      </c>
      <c r="B1828" s="98">
        <v>45044.0</v>
      </c>
      <c r="C1828" s="97">
        <v>0.1733</v>
      </c>
    </row>
    <row r="1829" ht="15.75" customHeight="1">
      <c r="A1829" s="98">
        <v>45014.0</v>
      </c>
      <c r="B1829" s="98">
        <v>45045.0</v>
      </c>
      <c r="C1829" s="97">
        <v>0.1743</v>
      </c>
    </row>
    <row r="1830" ht="15.75" customHeight="1">
      <c r="A1830" s="98">
        <v>45015.0</v>
      </c>
      <c r="B1830" s="98">
        <v>45046.0</v>
      </c>
      <c r="C1830" s="97">
        <v>0.1466</v>
      </c>
    </row>
    <row r="1831" ht="15.75" customHeight="1">
      <c r="A1831" s="98">
        <v>45016.0</v>
      </c>
      <c r="B1831" s="98">
        <v>45047.0</v>
      </c>
      <c r="C1831" s="97">
        <v>0.1093</v>
      </c>
    </row>
    <row r="1832" ht="15.75" customHeight="1">
      <c r="A1832" s="98">
        <v>45017.0</v>
      </c>
      <c r="B1832" s="98">
        <v>45047.0</v>
      </c>
      <c r="C1832" s="97">
        <v>0.0821</v>
      </c>
    </row>
    <row r="1833" ht="15.75" customHeight="1">
      <c r="A1833" s="98">
        <v>45018.0</v>
      </c>
      <c r="B1833" s="98">
        <v>45048.0</v>
      </c>
      <c r="C1833" s="97">
        <v>0.0821</v>
      </c>
    </row>
    <row r="1834" ht="15.75" customHeight="1">
      <c r="A1834" s="98">
        <v>45019.0</v>
      </c>
      <c r="B1834" s="98">
        <v>45049.0</v>
      </c>
      <c r="C1834" s="97">
        <v>0.1094</v>
      </c>
    </row>
    <row r="1835" ht="15.75" customHeight="1">
      <c r="A1835" s="98">
        <v>45020.0</v>
      </c>
      <c r="B1835" s="98">
        <v>45050.0</v>
      </c>
      <c r="C1835" s="97">
        <v>0.1097</v>
      </c>
    </row>
    <row r="1836" ht="15.75" customHeight="1">
      <c r="A1836" s="98">
        <v>45021.0</v>
      </c>
      <c r="B1836" s="98">
        <v>45051.0</v>
      </c>
      <c r="C1836" s="97">
        <v>0.1106</v>
      </c>
    </row>
    <row r="1837" ht="15.75" customHeight="1">
      <c r="A1837" s="98">
        <v>45022.0</v>
      </c>
      <c r="B1837" s="98">
        <v>45052.0</v>
      </c>
      <c r="C1837" s="97">
        <v>0.1107</v>
      </c>
    </row>
    <row r="1838" ht="15.75" customHeight="1">
      <c r="A1838" s="98">
        <v>45023.0</v>
      </c>
      <c r="B1838" s="98">
        <v>45053.0</v>
      </c>
      <c r="C1838" s="97">
        <v>0.0835</v>
      </c>
    </row>
    <row r="1839" ht="15.75" customHeight="1">
      <c r="A1839" s="98">
        <v>45024.0</v>
      </c>
      <c r="B1839" s="98">
        <v>45054.0</v>
      </c>
      <c r="C1839" s="97">
        <v>0.0835</v>
      </c>
    </row>
    <row r="1840" ht="15.75" customHeight="1">
      <c r="A1840" s="98">
        <v>45025.0</v>
      </c>
      <c r="B1840" s="98">
        <v>45055.0</v>
      </c>
      <c r="C1840" s="97">
        <v>0.1108</v>
      </c>
    </row>
    <row r="1841" ht="15.75" customHeight="1">
      <c r="A1841" s="98">
        <v>45026.0</v>
      </c>
      <c r="B1841" s="98">
        <v>45056.0</v>
      </c>
      <c r="C1841" s="97">
        <v>0.1482</v>
      </c>
    </row>
    <row r="1842" ht="15.75" customHeight="1">
      <c r="A1842" s="98">
        <v>45027.0</v>
      </c>
      <c r="B1842" s="98">
        <v>45057.0</v>
      </c>
      <c r="C1842" s="97">
        <v>0.1483</v>
      </c>
    </row>
    <row r="1843" ht="15.75" customHeight="1">
      <c r="A1843" s="98">
        <v>45028.0</v>
      </c>
      <c r="B1843" s="98">
        <v>45058.0</v>
      </c>
      <c r="C1843" s="97">
        <v>0.1483</v>
      </c>
    </row>
    <row r="1844" ht="15.75" customHeight="1">
      <c r="A1844" s="98">
        <v>45029.0</v>
      </c>
      <c r="B1844" s="98">
        <v>45059.0</v>
      </c>
      <c r="C1844" s="97">
        <v>0.1483</v>
      </c>
    </row>
    <row r="1845" ht="15.75" customHeight="1">
      <c r="A1845" s="98">
        <v>45030.0</v>
      </c>
      <c r="B1845" s="98">
        <v>45060.0</v>
      </c>
      <c r="C1845" s="97">
        <v>0.1111</v>
      </c>
    </row>
    <row r="1846" ht="15.75" customHeight="1">
      <c r="A1846" s="98">
        <v>45031.0</v>
      </c>
      <c r="B1846" s="98">
        <v>45061.0</v>
      </c>
      <c r="C1846" s="97">
        <v>0.084</v>
      </c>
    </row>
    <row r="1847" ht="15.75" customHeight="1">
      <c r="A1847" s="98">
        <v>45032.0</v>
      </c>
      <c r="B1847" s="98">
        <v>45062.0</v>
      </c>
      <c r="C1847" s="97">
        <v>0.1114</v>
      </c>
    </row>
    <row r="1848" ht="15.75" customHeight="1">
      <c r="A1848" s="98">
        <v>45033.0</v>
      </c>
      <c r="B1848" s="98">
        <v>45063.0</v>
      </c>
      <c r="C1848" s="97">
        <v>0.1488</v>
      </c>
    </row>
    <row r="1849" ht="15.75" customHeight="1">
      <c r="A1849" s="98">
        <v>45034.0</v>
      </c>
      <c r="B1849" s="98">
        <v>45064.0</v>
      </c>
      <c r="C1849" s="97">
        <v>0.1492</v>
      </c>
    </row>
    <row r="1850" ht="15.75" customHeight="1">
      <c r="A1850" s="98">
        <v>45035.0</v>
      </c>
      <c r="B1850" s="98">
        <v>45065.0</v>
      </c>
      <c r="C1850" s="97">
        <v>0.1492</v>
      </c>
    </row>
    <row r="1851" ht="15.75" customHeight="1">
      <c r="A1851" s="98">
        <v>45036.0</v>
      </c>
      <c r="B1851" s="98">
        <v>45066.0</v>
      </c>
      <c r="C1851" s="97">
        <v>0.1491</v>
      </c>
    </row>
    <row r="1852" ht="15.75" customHeight="1">
      <c r="A1852" s="98">
        <v>45037.0</v>
      </c>
      <c r="B1852" s="98">
        <v>45067.0</v>
      </c>
      <c r="C1852" s="97">
        <v>0.112</v>
      </c>
    </row>
    <row r="1853" ht="15.75" customHeight="1">
      <c r="A1853" s="98">
        <v>45038.0</v>
      </c>
      <c r="B1853" s="98">
        <v>45068.0</v>
      </c>
      <c r="C1853" s="97">
        <v>0.112</v>
      </c>
    </row>
    <row r="1854" ht="15.75" customHeight="1">
      <c r="A1854" s="98">
        <v>45039.0</v>
      </c>
      <c r="B1854" s="98">
        <v>45069.0</v>
      </c>
      <c r="C1854" s="97">
        <v>0.1494</v>
      </c>
    </row>
    <row r="1855" ht="15.75" customHeight="1">
      <c r="A1855" s="98">
        <v>45040.0</v>
      </c>
      <c r="B1855" s="98">
        <v>45070.0</v>
      </c>
      <c r="C1855" s="97">
        <v>0.1769</v>
      </c>
    </row>
    <row r="1856" ht="15.75" customHeight="1">
      <c r="A1856" s="98">
        <v>45041.0</v>
      </c>
      <c r="B1856" s="98">
        <v>45071.0</v>
      </c>
      <c r="C1856" s="97">
        <v>0.1758</v>
      </c>
    </row>
    <row r="1857" ht="15.75" customHeight="1">
      <c r="A1857" s="98">
        <v>45042.0</v>
      </c>
      <c r="B1857" s="98">
        <v>45072.0</v>
      </c>
      <c r="C1857" s="97">
        <v>0.1765</v>
      </c>
    </row>
    <row r="1858" ht="15.75" customHeight="1">
      <c r="A1858" s="98">
        <v>45043.0</v>
      </c>
      <c r="B1858" s="98">
        <v>45073.0</v>
      </c>
      <c r="C1858" s="97">
        <v>0.1768</v>
      </c>
    </row>
    <row r="1859" ht="15.75" customHeight="1">
      <c r="A1859" s="98">
        <v>45044.0</v>
      </c>
      <c r="B1859" s="98">
        <v>45074.0</v>
      </c>
      <c r="C1859" s="97">
        <v>0.1496</v>
      </c>
    </row>
    <row r="1860" ht="15.75" customHeight="1">
      <c r="A1860" s="98">
        <v>45045.0</v>
      </c>
      <c r="B1860" s="98">
        <v>45075.0</v>
      </c>
      <c r="C1860" s="97">
        <v>0.1122</v>
      </c>
    </row>
    <row r="1861" ht="15.75" customHeight="1">
      <c r="A1861" s="98">
        <v>45046.0</v>
      </c>
      <c r="B1861" s="98">
        <v>45076.0</v>
      </c>
      <c r="C1861" s="97">
        <v>0.1497</v>
      </c>
    </row>
    <row r="1862" ht="15.75" customHeight="1">
      <c r="A1862" s="98">
        <v>45047.0</v>
      </c>
      <c r="B1862" s="98">
        <v>45077.0</v>
      </c>
      <c r="C1862" s="97">
        <v>0.1772</v>
      </c>
    </row>
    <row r="1863" ht="15.75" customHeight="1">
      <c r="A1863" s="98">
        <v>45047.0</v>
      </c>
      <c r="B1863" s="98">
        <v>45078.0</v>
      </c>
      <c r="C1863" s="97">
        <v>0.2147</v>
      </c>
    </row>
    <row r="1864" ht="15.75" customHeight="1">
      <c r="A1864" s="98">
        <v>45048.0</v>
      </c>
      <c r="B1864" s="98">
        <v>45079.0</v>
      </c>
      <c r="C1864" s="97">
        <v>0.2423</v>
      </c>
    </row>
    <row r="1865" ht="15.75" customHeight="1">
      <c r="A1865" s="98">
        <v>45049.0</v>
      </c>
      <c r="B1865" s="98">
        <v>45080.0</v>
      </c>
      <c r="C1865" s="97">
        <v>0.243</v>
      </c>
    </row>
    <row r="1866" ht="15.75" customHeight="1">
      <c r="A1866" s="98">
        <v>45050.0</v>
      </c>
      <c r="B1866" s="98">
        <v>45081.0</v>
      </c>
      <c r="C1866" s="97">
        <v>0.2054</v>
      </c>
    </row>
    <row r="1867" ht="15.75" customHeight="1">
      <c r="A1867" s="98">
        <v>45051.0</v>
      </c>
      <c r="B1867" s="98">
        <v>45082.0</v>
      </c>
      <c r="C1867" s="97">
        <v>0.1779</v>
      </c>
    </row>
    <row r="1868" ht="15.75" customHeight="1">
      <c r="A1868" s="98">
        <v>45052.0</v>
      </c>
      <c r="B1868" s="98">
        <v>45083.0</v>
      </c>
      <c r="C1868" s="97">
        <v>0.1778</v>
      </c>
    </row>
    <row r="1869" ht="15.75" customHeight="1">
      <c r="A1869" s="98">
        <v>45053.0</v>
      </c>
      <c r="B1869" s="98">
        <v>45084.0</v>
      </c>
      <c r="C1869" s="97">
        <v>0.2055</v>
      </c>
    </row>
    <row r="1870" ht="15.75" customHeight="1">
      <c r="A1870" s="98">
        <v>45054.0</v>
      </c>
      <c r="B1870" s="98">
        <v>45085.0</v>
      </c>
      <c r="C1870" s="97">
        <v>0.243</v>
      </c>
    </row>
    <row r="1871" ht="15.75" customHeight="1">
      <c r="A1871" s="98">
        <v>45055.0</v>
      </c>
      <c r="B1871" s="98">
        <v>45086.0</v>
      </c>
      <c r="C1871" s="97">
        <v>0.2056</v>
      </c>
    </row>
    <row r="1872" ht="15.75" customHeight="1">
      <c r="A1872" s="98">
        <v>45056.0</v>
      </c>
      <c r="B1872" s="98">
        <v>45087.0</v>
      </c>
      <c r="C1872" s="97">
        <v>0.206</v>
      </c>
    </row>
    <row r="1873" ht="15.75" customHeight="1">
      <c r="A1873" s="98">
        <v>45057.0</v>
      </c>
      <c r="B1873" s="98">
        <v>45088.0</v>
      </c>
      <c r="C1873" s="97">
        <v>0.1785</v>
      </c>
    </row>
    <row r="1874" ht="15.75" customHeight="1">
      <c r="A1874" s="98">
        <v>45058.0</v>
      </c>
      <c r="B1874" s="98">
        <v>45089.0</v>
      </c>
      <c r="C1874" s="97">
        <v>0.1517</v>
      </c>
    </row>
    <row r="1875" ht="15.75" customHeight="1">
      <c r="A1875" s="98">
        <v>45059.0</v>
      </c>
      <c r="B1875" s="98">
        <v>45090.0</v>
      </c>
      <c r="C1875" s="97">
        <v>0.1514</v>
      </c>
    </row>
    <row r="1876" ht="15.75" customHeight="1">
      <c r="A1876" s="98">
        <v>45060.0</v>
      </c>
      <c r="B1876" s="98">
        <v>45091.0</v>
      </c>
      <c r="C1876" s="97">
        <v>0.179</v>
      </c>
    </row>
    <row r="1877" ht="15.75" customHeight="1">
      <c r="A1877" s="98">
        <v>45061.0</v>
      </c>
      <c r="B1877" s="98">
        <v>45092.0</v>
      </c>
      <c r="C1877" s="97">
        <v>0.2068</v>
      </c>
    </row>
    <row r="1878" ht="15.75" customHeight="1">
      <c r="A1878" s="98">
        <v>45062.0</v>
      </c>
      <c r="B1878" s="98">
        <v>45093.0</v>
      </c>
      <c r="C1878" s="97">
        <v>0.2069</v>
      </c>
    </row>
    <row r="1879" ht="15.75" customHeight="1">
      <c r="A1879" s="98">
        <v>45063.0</v>
      </c>
      <c r="B1879" s="98">
        <v>45094.0</v>
      </c>
      <c r="C1879" s="97">
        <v>0.2072</v>
      </c>
    </row>
    <row r="1880" ht="15.75" customHeight="1">
      <c r="A1880" s="98">
        <v>45064.0</v>
      </c>
      <c r="B1880" s="98">
        <v>45095.0</v>
      </c>
      <c r="C1880" s="97">
        <v>0.18</v>
      </c>
    </row>
    <row r="1881" ht="15.75" customHeight="1">
      <c r="A1881" s="98">
        <v>45065.0</v>
      </c>
      <c r="B1881" s="98">
        <v>45096.0</v>
      </c>
      <c r="C1881" s="97">
        <v>0.142</v>
      </c>
    </row>
    <row r="1882" ht="15.75" customHeight="1">
      <c r="A1882" s="98">
        <v>45066.0</v>
      </c>
      <c r="B1882" s="98">
        <v>45097.0</v>
      </c>
      <c r="C1882" s="97">
        <v>0.1515</v>
      </c>
    </row>
    <row r="1883" ht="15.75" customHeight="1">
      <c r="A1883" s="98">
        <v>45067.0</v>
      </c>
      <c r="B1883" s="98">
        <v>45098.0</v>
      </c>
      <c r="C1883" s="97">
        <v>0.1791</v>
      </c>
    </row>
    <row r="1884" ht="15.75" customHeight="1">
      <c r="A1884" s="98">
        <v>45068.0</v>
      </c>
      <c r="B1884" s="98">
        <v>45099.0</v>
      </c>
      <c r="C1884" s="97">
        <v>0.2068</v>
      </c>
    </row>
    <row r="1885" ht="15.75" customHeight="1">
      <c r="A1885" s="98">
        <v>45069.0</v>
      </c>
      <c r="B1885" s="98">
        <v>45100.0</v>
      </c>
      <c r="C1885" s="97">
        <v>0.2078</v>
      </c>
    </row>
    <row r="1886" ht="15.75" customHeight="1">
      <c r="A1886" s="98">
        <v>45070.0</v>
      </c>
      <c r="B1886" s="98">
        <v>45101.0</v>
      </c>
      <c r="C1886" s="97">
        <v>0.2081</v>
      </c>
    </row>
    <row r="1887" ht="15.75" customHeight="1">
      <c r="A1887" s="98">
        <v>45071.0</v>
      </c>
      <c r="B1887" s="98">
        <v>45102.0</v>
      </c>
      <c r="C1887" s="97">
        <v>0.1802</v>
      </c>
    </row>
    <row r="1888" ht="15.75" customHeight="1">
      <c r="A1888" s="98">
        <v>45072.0</v>
      </c>
      <c r="B1888" s="98">
        <v>45103.0</v>
      </c>
      <c r="C1888" s="97">
        <v>0.1516</v>
      </c>
    </row>
    <row r="1889" ht="15.75" customHeight="1">
      <c r="A1889" s="98">
        <v>45073.0</v>
      </c>
      <c r="B1889" s="98">
        <v>45104.0</v>
      </c>
      <c r="C1889" s="97">
        <v>0.1422</v>
      </c>
    </row>
    <row r="1890" ht="15.75" customHeight="1">
      <c r="A1890" s="98">
        <v>45074.0</v>
      </c>
      <c r="B1890" s="98">
        <v>45105.0</v>
      </c>
      <c r="C1890" s="97">
        <v>0.1799</v>
      </c>
    </row>
    <row r="1891" ht="15.75" customHeight="1">
      <c r="A1891" s="98">
        <v>45075.0</v>
      </c>
      <c r="B1891" s="98">
        <v>45106.0</v>
      </c>
      <c r="C1891" s="97">
        <v>0.2076</v>
      </c>
    </row>
    <row r="1892" ht="15.75" customHeight="1">
      <c r="A1892" s="98">
        <v>45076.0</v>
      </c>
      <c r="B1892" s="98">
        <v>45107.0</v>
      </c>
      <c r="C1892" s="97">
        <v>0.208</v>
      </c>
    </row>
    <row r="1893" ht="15.75" customHeight="1">
      <c r="A1893" s="98">
        <v>45077.0</v>
      </c>
      <c r="B1893" s="98">
        <v>45108.0</v>
      </c>
      <c r="C1893" s="97">
        <v>0.2075</v>
      </c>
    </row>
    <row r="1894" ht="15.75" customHeight="1">
      <c r="A1894" s="98">
        <v>45078.0</v>
      </c>
      <c r="B1894" s="98">
        <v>45108.0</v>
      </c>
      <c r="C1894" s="97">
        <v>0.1799</v>
      </c>
    </row>
    <row r="1895" ht="15.75" customHeight="1">
      <c r="A1895" s="98">
        <v>45079.0</v>
      </c>
      <c r="B1895" s="98">
        <v>45109.0</v>
      </c>
      <c r="C1895" s="97">
        <v>0.1427</v>
      </c>
    </row>
    <row r="1896" ht="15.75" customHeight="1">
      <c r="A1896" s="98">
        <v>45080.0</v>
      </c>
      <c r="B1896" s="98">
        <v>45110.0</v>
      </c>
      <c r="C1896" s="97">
        <v>0.1152</v>
      </c>
    </row>
    <row r="1897" ht="15.75" customHeight="1">
      <c r="A1897" s="98">
        <v>45081.0</v>
      </c>
      <c r="B1897" s="98">
        <v>45111.0</v>
      </c>
      <c r="C1897" s="97">
        <v>0.1518</v>
      </c>
    </row>
    <row r="1898" ht="15.75" customHeight="1">
      <c r="A1898" s="98">
        <v>45082.0</v>
      </c>
      <c r="B1898" s="98">
        <v>45112.0</v>
      </c>
      <c r="C1898" s="97">
        <v>0.1784</v>
      </c>
    </row>
    <row r="1899" ht="15.75" customHeight="1">
      <c r="A1899" s="98">
        <v>45083.0</v>
      </c>
      <c r="B1899" s="98">
        <v>45113.0</v>
      </c>
      <c r="C1899" s="97">
        <v>0.1775</v>
      </c>
    </row>
    <row r="1900" ht="15.75" customHeight="1">
      <c r="A1900" s="98">
        <v>45084.0</v>
      </c>
      <c r="B1900" s="98">
        <v>45114.0</v>
      </c>
      <c r="C1900" s="97">
        <v>0.1765</v>
      </c>
    </row>
    <row r="1901" ht="15.75" customHeight="1">
      <c r="A1901" s="98">
        <v>45085.0</v>
      </c>
      <c r="B1901" s="98">
        <v>45115.0</v>
      </c>
      <c r="C1901" s="97">
        <v>0.1742</v>
      </c>
    </row>
    <row r="1902" ht="15.75" customHeight="1">
      <c r="A1902" s="98">
        <v>45086.0</v>
      </c>
      <c r="B1902" s="98">
        <v>45116.0</v>
      </c>
      <c r="C1902" s="97">
        <v>0.1742</v>
      </c>
    </row>
    <row r="1903" ht="15.75" customHeight="1">
      <c r="A1903" s="98">
        <v>45087.0</v>
      </c>
      <c r="B1903" s="98">
        <v>45117.0</v>
      </c>
      <c r="C1903" s="97">
        <v>0.1468</v>
      </c>
    </row>
    <row r="1904" ht="15.75" customHeight="1">
      <c r="A1904" s="98">
        <v>45088.0</v>
      </c>
      <c r="B1904" s="98">
        <v>45118.0</v>
      </c>
      <c r="C1904" s="97">
        <v>0.1733</v>
      </c>
    </row>
    <row r="1905" ht="15.75" customHeight="1">
      <c r="A1905" s="98">
        <v>45089.0</v>
      </c>
      <c r="B1905" s="98">
        <v>45119.0</v>
      </c>
      <c r="C1905" s="97">
        <v>0.2097</v>
      </c>
    </row>
    <row r="1906" ht="15.75" customHeight="1">
      <c r="A1906" s="98">
        <v>45090.0</v>
      </c>
      <c r="B1906" s="98">
        <v>45120.0</v>
      </c>
      <c r="C1906" s="97">
        <v>0.2081</v>
      </c>
    </row>
    <row r="1907" ht="15.75" customHeight="1">
      <c r="A1907" s="98">
        <v>45091.0</v>
      </c>
      <c r="B1907" s="98">
        <v>45121.0</v>
      </c>
      <c r="C1907" s="97">
        <v>0.2057</v>
      </c>
    </row>
    <row r="1908" ht="15.75" customHeight="1">
      <c r="A1908" s="98">
        <v>45092.0</v>
      </c>
      <c r="B1908" s="98">
        <v>45122.0</v>
      </c>
      <c r="C1908" s="97">
        <v>0.205</v>
      </c>
    </row>
    <row r="1909" ht="15.75" customHeight="1">
      <c r="A1909" s="98">
        <v>45093.0</v>
      </c>
      <c r="B1909" s="98">
        <v>45123.0</v>
      </c>
      <c r="C1909" s="97">
        <v>0.1666</v>
      </c>
    </row>
    <row r="1910" ht="15.75" customHeight="1">
      <c r="A1910" s="98">
        <v>45094.0</v>
      </c>
      <c r="B1910" s="98">
        <v>45124.0</v>
      </c>
      <c r="C1910" s="97">
        <v>0.1403</v>
      </c>
    </row>
    <row r="1911" ht="15.75" customHeight="1">
      <c r="A1911" s="98">
        <v>45095.0</v>
      </c>
      <c r="B1911" s="98">
        <v>45125.0</v>
      </c>
      <c r="C1911" s="97">
        <v>0.1666</v>
      </c>
    </row>
    <row r="1912" ht="15.75" customHeight="1">
      <c r="A1912" s="98">
        <v>45096.0</v>
      </c>
      <c r="B1912" s="98">
        <v>45126.0</v>
      </c>
      <c r="C1912" s="97">
        <v>0.2028</v>
      </c>
    </row>
    <row r="1913" ht="15.75" customHeight="1">
      <c r="A1913" s="98">
        <v>45097.0</v>
      </c>
      <c r="B1913" s="98">
        <v>45127.0</v>
      </c>
      <c r="C1913" s="97">
        <v>0.2013</v>
      </c>
    </row>
    <row r="1914" ht="15.75" customHeight="1">
      <c r="A1914" s="98">
        <v>45098.0</v>
      </c>
      <c r="B1914" s="98">
        <v>45128.0</v>
      </c>
      <c r="C1914" s="97">
        <v>0.2003</v>
      </c>
    </row>
    <row r="1915" ht="15.75" customHeight="1">
      <c r="A1915" s="98">
        <v>45099.0</v>
      </c>
      <c r="B1915" s="98">
        <v>45129.0</v>
      </c>
      <c r="C1915" s="97">
        <v>0.1978</v>
      </c>
    </row>
    <row r="1916" ht="15.75" customHeight="1">
      <c r="A1916" s="98">
        <v>45100.0</v>
      </c>
      <c r="B1916" s="98">
        <v>45130.0</v>
      </c>
      <c r="C1916" s="97">
        <v>0.1718</v>
      </c>
    </row>
    <row r="1917" ht="15.75" customHeight="1">
      <c r="A1917" s="98">
        <v>45101.0</v>
      </c>
      <c r="B1917" s="98">
        <v>45131.0</v>
      </c>
      <c r="C1917" s="97">
        <v>0.1337</v>
      </c>
    </row>
    <row r="1918" ht="15.75" customHeight="1">
      <c r="A1918" s="98">
        <v>45102.0</v>
      </c>
      <c r="B1918" s="98">
        <v>45132.0</v>
      </c>
      <c r="C1918" s="97">
        <v>0.17</v>
      </c>
    </row>
    <row r="1919" ht="15.75" customHeight="1">
      <c r="A1919" s="98">
        <v>45103.0</v>
      </c>
      <c r="B1919" s="98">
        <v>45133.0</v>
      </c>
      <c r="C1919" s="97">
        <v>0.1964</v>
      </c>
    </row>
    <row r="1920" ht="15.75" customHeight="1">
      <c r="A1920" s="98">
        <v>45104.0</v>
      </c>
      <c r="B1920" s="98">
        <v>45134.0</v>
      </c>
      <c r="C1920" s="97">
        <v>0.1934</v>
      </c>
    </row>
    <row r="1921" ht="15.75" customHeight="1">
      <c r="A1921" s="98">
        <v>45105.0</v>
      </c>
      <c r="B1921" s="98">
        <v>45135.0</v>
      </c>
      <c r="C1921" s="97">
        <v>0.1921</v>
      </c>
    </row>
    <row r="1922" ht="15.75" customHeight="1">
      <c r="A1922" s="98">
        <v>45106.0</v>
      </c>
      <c r="B1922" s="98">
        <v>45136.0</v>
      </c>
      <c r="C1922" s="97">
        <v>0.1881</v>
      </c>
    </row>
    <row r="1923" ht="15.75" customHeight="1">
      <c r="A1923" s="98">
        <v>45107.0</v>
      </c>
      <c r="B1923" s="98">
        <v>45137.0</v>
      </c>
      <c r="C1923" s="97">
        <v>0.159</v>
      </c>
    </row>
    <row r="1924" ht="15.75" customHeight="1">
      <c r="A1924" s="98">
        <v>45108.0</v>
      </c>
      <c r="B1924" s="98">
        <v>45138.0</v>
      </c>
      <c r="C1924" s="97">
        <v>0.122</v>
      </c>
    </row>
    <row r="1925" ht="15.75" customHeight="1">
      <c r="A1925" s="98">
        <v>45108.0</v>
      </c>
      <c r="B1925" s="98">
        <v>45139.0</v>
      </c>
      <c r="C1925" s="97">
        <v>0.1581</v>
      </c>
    </row>
    <row r="1926" ht="15.75" customHeight="1">
      <c r="A1926" s="98">
        <v>45109.0</v>
      </c>
      <c r="B1926" s="98">
        <v>45140.0</v>
      </c>
      <c r="C1926" s="97">
        <v>0.1842</v>
      </c>
    </row>
    <row r="1927" ht="15.75" customHeight="1">
      <c r="A1927" s="98">
        <v>45110.0</v>
      </c>
      <c r="B1927" s="98">
        <v>45141.0</v>
      </c>
      <c r="C1927" s="97">
        <v>0.2202</v>
      </c>
    </row>
    <row r="1928" ht="15.75" customHeight="1">
      <c r="A1928" s="98">
        <v>45111.0</v>
      </c>
      <c r="B1928" s="98">
        <v>45142.0</v>
      </c>
      <c r="C1928" s="97">
        <v>0.215</v>
      </c>
    </row>
    <row r="1929" ht="15.75" customHeight="1">
      <c r="A1929" s="98">
        <v>45112.0</v>
      </c>
      <c r="B1929" s="98">
        <v>45143.0</v>
      </c>
      <c r="C1929" s="97">
        <v>0.2176</v>
      </c>
    </row>
    <row r="1930" ht="15.75" customHeight="1">
      <c r="A1930" s="98">
        <v>45113.0</v>
      </c>
      <c r="B1930" s="98">
        <v>45144.0</v>
      </c>
      <c r="C1930" s="97">
        <v>0.1923</v>
      </c>
    </row>
    <row r="1931" ht="15.75" customHeight="1">
      <c r="A1931" s="98">
        <v>45114.0</v>
      </c>
      <c r="B1931" s="98">
        <v>45145.0</v>
      </c>
      <c r="C1931" s="97">
        <v>0.1553</v>
      </c>
    </row>
    <row r="1932" ht="15.75" customHeight="1">
      <c r="A1932" s="98">
        <v>45115.0</v>
      </c>
      <c r="B1932" s="98">
        <v>45146.0</v>
      </c>
      <c r="C1932" s="97">
        <v>0.1551</v>
      </c>
    </row>
    <row r="1933" ht="15.75" customHeight="1">
      <c r="A1933" s="98">
        <v>45116.0</v>
      </c>
      <c r="B1933" s="98">
        <v>45147.0</v>
      </c>
      <c r="C1933" s="97">
        <v>0.191</v>
      </c>
    </row>
    <row r="1934" ht="15.75" customHeight="1">
      <c r="A1934" s="98">
        <v>45117.0</v>
      </c>
      <c r="B1934" s="98">
        <v>45148.0</v>
      </c>
      <c r="C1934" s="97">
        <v>0.217</v>
      </c>
    </row>
    <row r="1935" ht="15.75" customHeight="1">
      <c r="A1935" s="98">
        <v>45118.0</v>
      </c>
      <c r="B1935" s="98">
        <v>45149.0</v>
      </c>
      <c r="C1935" s="97">
        <v>0.2185</v>
      </c>
    </row>
    <row r="1936" ht="15.75" customHeight="1">
      <c r="A1936" s="98">
        <v>45119.0</v>
      </c>
      <c r="B1936" s="98">
        <v>45150.0</v>
      </c>
      <c r="C1936" s="97">
        <v>0.2175</v>
      </c>
    </row>
    <row r="1937" ht="15.75" customHeight="1">
      <c r="A1937" s="98">
        <v>45120.0</v>
      </c>
      <c r="B1937" s="98">
        <v>45151.0</v>
      </c>
      <c r="C1937" s="97">
        <v>0.19</v>
      </c>
    </row>
    <row r="1938" ht="15.75" customHeight="1">
      <c r="A1938" s="98">
        <v>45121.0</v>
      </c>
      <c r="B1938" s="98">
        <v>45152.0</v>
      </c>
      <c r="C1938" s="97">
        <v>0.1599</v>
      </c>
    </row>
    <row r="1939" ht="15.75" customHeight="1">
      <c r="A1939" s="98">
        <v>45122.0</v>
      </c>
      <c r="B1939" s="98">
        <v>45153.0</v>
      </c>
      <c r="C1939" s="97">
        <v>0.1611</v>
      </c>
    </row>
    <row r="1940" ht="15.75" customHeight="1">
      <c r="A1940" s="98">
        <v>45123.0</v>
      </c>
      <c r="B1940" s="98">
        <v>45154.0</v>
      </c>
      <c r="C1940" s="97">
        <v>0.1873</v>
      </c>
    </row>
    <row r="1941" ht="15.75" customHeight="1">
      <c r="A1941" s="98">
        <v>45124.0</v>
      </c>
      <c r="B1941" s="98">
        <v>45155.0</v>
      </c>
      <c r="C1941" s="97">
        <v>0.2236</v>
      </c>
    </row>
    <row r="1942" ht="15.75" customHeight="1">
      <c r="A1942" s="98">
        <v>45125.0</v>
      </c>
      <c r="B1942" s="98">
        <v>45156.0</v>
      </c>
      <c r="C1942" s="97">
        <v>0.2234</v>
      </c>
    </row>
    <row r="1943" ht="15.75" customHeight="1">
      <c r="A1943" s="98">
        <v>45126.0</v>
      </c>
      <c r="B1943" s="98">
        <v>45157.0</v>
      </c>
      <c r="C1943" s="97">
        <v>0.2236</v>
      </c>
    </row>
    <row r="1944" ht="15.75" customHeight="1">
      <c r="A1944" s="98">
        <v>45127.0</v>
      </c>
      <c r="B1944" s="98">
        <v>45158.0</v>
      </c>
      <c r="C1944" s="97">
        <v>0.1864</v>
      </c>
    </row>
    <row r="1945" ht="15.75" customHeight="1">
      <c r="A1945" s="98">
        <v>45128.0</v>
      </c>
      <c r="B1945" s="98">
        <v>45159.0</v>
      </c>
      <c r="C1945" s="97">
        <v>0.158</v>
      </c>
    </row>
    <row r="1946" ht="15.75" customHeight="1">
      <c r="A1946" s="98">
        <v>45129.0</v>
      </c>
      <c r="B1946" s="98">
        <v>45160.0</v>
      </c>
      <c r="C1946" s="97">
        <v>0.1578</v>
      </c>
    </row>
    <row r="1947" ht="15.75" customHeight="1">
      <c r="A1947" s="98">
        <v>45130.0</v>
      </c>
      <c r="B1947" s="98">
        <v>45161.0</v>
      </c>
      <c r="C1947" s="97">
        <v>0.1938</v>
      </c>
    </row>
    <row r="1948" ht="15.75" customHeight="1">
      <c r="A1948" s="98">
        <v>45131.0</v>
      </c>
      <c r="B1948" s="98">
        <v>45162.0</v>
      </c>
      <c r="C1948" s="97">
        <v>0.22</v>
      </c>
    </row>
    <row r="1949" ht="15.75" customHeight="1">
      <c r="A1949" s="98">
        <v>45132.0</v>
      </c>
      <c r="B1949" s="98">
        <v>45163.0</v>
      </c>
      <c r="C1949" s="97">
        <v>0.2176</v>
      </c>
    </row>
    <row r="1950" ht="15.75" customHeight="1">
      <c r="A1950" s="98">
        <v>45133.0</v>
      </c>
      <c r="B1950" s="98">
        <v>45164.0</v>
      </c>
      <c r="C1950" s="97">
        <v>0.2159</v>
      </c>
    </row>
    <row r="1951" ht="15.75" customHeight="1">
      <c r="A1951" s="98">
        <v>45134.0</v>
      </c>
      <c r="B1951" s="98">
        <v>45165.0</v>
      </c>
      <c r="C1951" s="97">
        <v>0.1896</v>
      </c>
    </row>
    <row r="1952" ht="15.75" customHeight="1">
      <c r="A1952" s="98">
        <v>45135.0</v>
      </c>
      <c r="B1952" s="98">
        <v>45166.0</v>
      </c>
      <c r="C1952" s="97">
        <v>0.1549</v>
      </c>
    </row>
    <row r="1953" ht="15.75" customHeight="1">
      <c r="A1953" s="98">
        <v>45136.0</v>
      </c>
      <c r="B1953" s="98">
        <v>45167.0</v>
      </c>
      <c r="C1953" s="97">
        <v>0.1529</v>
      </c>
    </row>
    <row r="1954" ht="15.75" customHeight="1">
      <c r="A1954" s="98">
        <v>45137.0</v>
      </c>
      <c r="B1954" s="98">
        <v>45168.0</v>
      </c>
      <c r="C1954" s="97">
        <v>0.1886</v>
      </c>
    </row>
    <row r="1955" ht="15.75" customHeight="1">
      <c r="A1955" s="98">
        <v>45138.0</v>
      </c>
      <c r="B1955" s="98">
        <v>45169.0</v>
      </c>
      <c r="C1955" s="97">
        <v>0.2144</v>
      </c>
    </row>
    <row r="1956" ht="15.75" customHeight="1">
      <c r="A1956" s="98">
        <v>45139.0</v>
      </c>
      <c r="B1956" s="98">
        <v>45170.0</v>
      </c>
      <c r="C1956" s="97">
        <v>0.216</v>
      </c>
    </row>
    <row r="1957" ht="15.75" customHeight="1">
      <c r="A1957" s="98">
        <v>45140.0</v>
      </c>
      <c r="B1957" s="98">
        <v>45171.0</v>
      </c>
      <c r="C1957" s="97">
        <v>0.2168</v>
      </c>
    </row>
    <row r="1958" ht="15.75" customHeight="1">
      <c r="A1958" s="98">
        <v>45141.0</v>
      </c>
      <c r="B1958" s="98">
        <v>45172.0</v>
      </c>
      <c r="C1958" s="97">
        <v>0.1795</v>
      </c>
    </row>
    <row r="1959" ht="15.75" customHeight="1">
      <c r="A1959" s="98">
        <v>45142.0</v>
      </c>
      <c r="B1959" s="98">
        <v>45173.0</v>
      </c>
      <c r="C1959" s="97">
        <v>0.1508</v>
      </c>
    </row>
    <row r="1960" ht="15.75" customHeight="1">
      <c r="A1960" s="98">
        <v>45143.0</v>
      </c>
      <c r="B1960" s="98">
        <v>45174.0</v>
      </c>
      <c r="C1960" s="97">
        <v>0.1451</v>
      </c>
    </row>
    <row r="1961" ht="15.75" customHeight="1">
      <c r="A1961" s="98">
        <v>45144.0</v>
      </c>
      <c r="B1961" s="98">
        <v>45175.0</v>
      </c>
      <c r="C1961" s="97">
        <v>0.1806</v>
      </c>
    </row>
    <row r="1962" ht="15.75" customHeight="1">
      <c r="A1962" s="98">
        <v>45145.0</v>
      </c>
      <c r="B1962" s="98">
        <v>45176.0</v>
      </c>
      <c r="C1962" s="97">
        <v>0.2062</v>
      </c>
    </row>
    <row r="1963" ht="15.75" customHeight="1">
      <c r="A1963" s="98">
        <v>45146.0</v>
      </c>
      <c r="B1963" s="98">
        <v>45177.0</v>
      </c>
      <c r="C1963" s="97">
        <v>0.1796</v>
      </c>
    </row>
    <row r="1964" ht="15.75" customHeight="1">
      <c r="A1964" s="98">
        <v>45147.0</v>
      </c>
      <c r="B1964" s="98">
        <v>45178.0</v>
      </c>
      <c r="C1964" s="97">
        <v>0.1796</v>
      </c>
    </row>
    <row r="1965" ht="15.75" customHeight="1">
      <c r="A1965" s="98">
        <v>45148.0</v>
      </c>
      <c r="B1965" s="98">
        <v>45179.0</v>
      </c>
      <c r="C1965" s="97">
        <v>0.1441</v>
      </c>
    </row>
    <row r="1966" ht="15.75" customHeight="1">
      <c r="A1966" s="98">
        <v>45149.0</v>
      </c>
      <c r="B1966" s="98">
        <v>45180.0</v>
      </c>
      <c r="C1966" s="97">
        <v>0.1182</v>
      </c>
    </row>
    <row r="1967" ht="15.75" customHeight="1">
      <c r="A1967" s="98">
        <v>45150.0</v>
      </c>
      <c r="B1967" s="98">
        <v>45181.0</v>
      </c>
      <c r="C1967" s="97">
        <v>0.1184</v>
      </c>
    </row>
    <row r="1968" ht="15.75" customHeight="1">
      <c r="A1968" s="98">
        <v>45151.0</v>
      </c>
      <c r="B1968" s="98">
        <v>45182.0</v>
      </c>
      <c r="C1968" s="97">
        <v>0.1437</v>
      </c>
    </row>
    <row r="1969" ht="15.75" customHeight="1">
      <c r="A1969" s="98">
        <v>45152.0</v>
      </c>
      <c r="B1969" s="98">
        <v>45183.0</v>
      </c>
      <c r="C1969" s="97">
        <v>0.1791</v>
      </c>
    </row>
    <row r="1970" ht="15.75" customHeight="1">
      <c r="A1970" s="98">
        <v>45153.0</v>
      </c>
      <c r="B1970" s="98">
        <v>45184.0</v>
      </c>
      <c r="C1970" s="97">
        <v>0.1789</v>
      </c>
    </row>
    <row r="1971" ht="15.75" customHeight="1">
      <c r="A1971" s="98">
        <v>45154.0</v>
      </c>
      <c r="B1971" s="98">
        <v>45185.0</v>
      </c>
      <c r="C1971" s="97">
        <v>0.1786</v>
      </c>
    </row>
    <row r="1972" ht="15.75" customHeight="1">
      <c r="A1972" s="98">
        <v>45155.0</v>
      </c>
      <c r="B1972" s="98">
        <v>45186.0</v>
      </c>
      <c r="C1972" s="97">
        <v>0.143</v>
      </c>
    </row>
    <row r="1973" ht="15.75" customHeight="1">
      <c r="A1973" s="98">
        <v>45156.0</v>
      </c>
      <c r="B1973" s="98">
        <v>45187.0</v>
      </c>
      <c r="C1973" s="97">
        <v>0.1176</v>
      </c>
    </row>
    <row r="1974" ht="15.75" customHeight="1">
      <c r="A1974" s="98">
        <v>45157.0</v>
      </c>
      <c r="B1974" s="98">
        <v>45188.0</v>
      </c>
      <c r="C1974" s="97">
        <v>0.1172</v>
      </c>
    </row>
    <row r="1975" ht="15.75" customHeight="1">
      <c r="A1975" s="98">
        <v>45158.0</v>
      </c>
      <c r="B1975" s="98">
        <v>45189.0</v>
      </c>
      <c r="C1975" s="97">
        <v>0.1425</v>
      </c>
    </row>
    <row r="1976" ht="15.75" customHeight="1">
      <c r="A1976" s="98">
        <v>45159.0</v>
      </c>
      <c r="B1976" s="98">
        <v>45190.0</v>
      </c>
      <c r="C1976" s="97">
        <v>0.1778</v>
      </c>
    </row>
    <row r="1977" ht="15.75" customHeight="1">
      <c r="A1977" s="98">
        <v>45160.0</v>
      </c>
      <c r="B1977" s="98">
        <v>45191.0</v>
      </c>
      <c r="C1977" s="97">
        <v>0.1776</v>
      </c>
    </row>
    <row r="1978" ht="15.75" customHeight="1">
      <c r="A1978" s="98">
        <v>45161.0</v>
      </c>
      <c r="B1978" s="98">
        <v>45192.0</v>
      </c>
      <c r="C1978" s="97">
        <v>0.1769</v>
      </c>
    </row>
    <row r="1979" ht="15.75" customHeight="1">
      <c r="A1979" s="98">
        <v>45162.0</v>
      </c>
      <c r="B1979" s="98">
        <v>45193.0</v>
      </c>
      <c r="C1979" s="97">
        <v>0.1514</v>
      </c>
    </row>
    <row r="1980" ht="15.75" customHeight="1">
      <c r="A1980" s="98">
        <v>45163.0</v>
      </c>
      <c r="B1980" s="98">
        <v>45194.0</v>
      </c>
      <c r="C1980" s="97">
        <v>0.1158</v>
      </c>
    </row>
    <row r="1981" ht="15.75" customHeight="1">
      <c r="A1981" s="98">
        <v>45164.0</v>
      </c>
      <c r="B1981" s="98">
        <v>45195.0</v>
      </c>
      <c r="C1981" s="97">
        <v>0.1154</v>
      </c>
    </row>
    <row r="1982" ht="15.75" customHeight="1">
      <c r="A1982" s="98">
        <v>45165.0</v>
      </c>
      <c r="B1982" s="98">
        <v>45196.0</v>
      </c>
      <c r="C1982" s="97">
        <v>0.1506</v>
      </c>
    </row>
    <row r="1983" ht="15.75" customHeight="1">
      <c r="A1983" s="98">
        <v>45166.0</v>
      </c>
      <c r="B1983" s="98">
        <v>45197.0</v>
      </c>
      <c r="C1983" s="97">
        <v>0.176</v>
      </c>
    </row>
    <row r="1984" ht="15.75" customHeight="1">
      <c r="A1984" s="98">
        <v>45167.0</v>
      </c>
      <c r="B1984" s="98">
        <v>45198.0</v>
      </c>
      <c r="C1984" s="97">
        <v>0.1754</v>
      </c>
    </row>
    <row r="1985" ht="15.75" customHeight="1">
      <c r="A1985" s="98">
        <v>45168.0</v>
      </c>
      <c r="B1985" s="98">
        <v>45199.0</v>
      </c>
      <c r="C1985" s="97">
        <v>0.1738</v>
      </c>
    </row>
    <row r="1986" ht="15.75" customHeight="1">
      <c r="A1986" s="98">
        <v>45169.0</v>
      </c>
      <c r="B1986" s="98">
        <v>45200.0</v>
      </c>
      <c r="C1986" s="97">
        <v>0.1484</v>
      </c>
    </row>
    <row r="1987" ht="15.75" customHeight="1">
      <c r="A1987" s="98">
        <v>45170.0</v>
      </c>
      <c r="B1987" s="98">
        <v>45200.0</v>
      </c>
      <c r="C1987" s="97">
        <v>0.113</v>
      </c>
    </row>
    <row r="1988" ht="15.75" customHeight="1">
      <c r="A1988" s="98">
        <v>45171.0</v>
      </c>
      <c r="B1988" s="98">
        <v>45201.0</v>
      </c>
      <c r="C1988" s="97">
        <v>0.0884</v>
      </c>
    </row>
    <row r="1989" ht="15.75" customHeight="1">
      <c r="A1989" s="98">
        <v>45172.0</v>
      </c>
      <c r="B1989" s="98">
        <v>45202.0</v>
      </c>
      <c r="C1989" s="97">
        <v>0.111</v>
      </c>
    </row>
    <row r="1990" ht="15.75" customHeight="1">
      <c r="A1990" s="98">
        <v>45173.0</v>
      </c>
      <c r="B1990" s="98">
        <v>45203.0</v>
      </c>
      <c r="C1990" s="97">
        <v>0.1436</v>
      </c>
    </row>
    <row r="1991" ht="15.75" customHeight="1">
      <c r="A1991" s="98">
        <v>45174.0</v>
      </c>
      <c r="B1991" s="98">
        <v>45204.0</v>
      </c>
      <c r="C1991" s="97">
        <v>0.1397</v>
      </c>
    </row>
    <row r="1992" ht="15.75" customHeight="1">
      <c r="A1992" s="98">
        <v>45175.0</v>
      </c>
      <c r="B1992" s="98">
        <v>45205.0</v>
      </c>
      <c r="C1992" s="97">
        <v>0.136</v>
      </c>
    </row>
    <row r="1993" ht="15.75" customHeight="1">
      <c r="A1993" s="98">
        <v>45176.0</v>
      </c>
      <c r="B1993" s="98">
        <v>45206.0</v>
      </c>
      <c r="C1993" s="97">
        <v>0.133</v>
      </c>
    </row>
    <row r="1994" ht="15.75" customHeight="1">
      <c r="A1994" s="98">
        <v>45177.0</v>
      </c>
      <c r="B1994" s="98">
        <v>45207.0</v>
      </c>
      <c r="C1994" s="97">
        <v>0.133</v>
      </c>
    </row>
    <row r="1995" ht="15.75" customHeight="1">
      <c r="A1995" s="98">
        <v>45178.0</v>
      </c>
      <c r="B1995" s="98">
        <v>45208.0</v>
      </c>
      <c r="C1995" s="97">
        <v>0.107</v>
      </c>
    </row>
    <row r="1996" ht="15.75" customHeight="1">
      <c r="A1996" s="98">
        <v>45179.0</v>
      </c>
      <c r="B1996" s="98">
        <v>45209.0</v>
      </c>
      <c r="C1996" s="97">
        <v>0.1296</v>
      </c>
    </row>
    <row r="1997" ht="15.75" customHeight="1">
      <c r="A1997" s="98">
        <v>45180.0</v>
      </c>
      <c r="B1997" s="98">
        <v>45210.0</v>
      </c>
      <c r="C1997" s="97">
        <v>0.1622</v>
      </c>
    </row>
    <row r="1998" ht="15.75" customHeight="1">
      <c r="A1998" s="98">
        <v>45181.0</v>
      </c>
      <c r="B1998" s="98">
        <v>45211.0</v>
      </c>
      <c r="C1998" s="97">
        <v>0.1603</v>
      </c>
    </row>
    <row r="1999" ht="15.75" customHeight="1">
      <c r="A1999" s="98">
        <v>45182.0</v>
      </c>
      <c r="B1999" s="98">
        <v>45212.0</v>
      </c>
      <c r="C1999" s="97">
        <v>0.1252</v>
      </c>
    </row>
    <row r="2000" ht="15.75" customHeight="1">
      <c r="A2000" s="98">
        <v>45183.0</v>
      </c>
      <c r="B2000" s="98">
        <v>45213.0</v>
      </c>
      <c r="C2000" s="97">
        <v>0.1302</v>
      </c>
    </row>
    <row r="2001" ht="15.75" customHeight="1">
      <c r="A2001" s="98">
        <v>45184.0</v>
      </c>
      <c r="B2001" s="98">
        <v>45214.0</v>
      </c>
      <c r="C2001" s="97">
        <v>0.0952</v>
      </c>
    </row>
    <row r="2002" ht="15.75" customHeight="1">
      <c r="A2002" s="98">
        <v>45185.0</v>
      </c>
      <c r="B2002" s="98">
        <v>45215.0</v>
      </c>
      <c r="C2002" s="97">
        <v>0.0591</v>
      </c>
    </row>
    <row r="2003" ht="15.75" customHeight="1">
      <c r="A2003" s="98">
        <v>45186.0</v>
      </c>
      <c r="B2003" s="98">
        <v>45216.0</v>
      </c>
      <c r="C2003" s="97">
        <v>0.0917</v>
      </c>
    </row>
    <row r="2004" ht="15.75" customHeight="1">
      <c r="A2004" s="98">
        <v>45187.0</v>
      </c>
      <c r="B2004" s="98">
        <v>45217.0</v>
      </c>
      <c r="C2004" s="97">
        <v>0.1242</v>
      </c>
    </row>
    <row r="2005" ht="15.75" customHeight="1">
      <c r="A2005" s="98">
        <v>45188.0</v>
      </c>
      <c r="B2005" s="98">
        <v>45218.0</v>
      </c>
      <c r="C2005" s="97">
        <v>0.1208</v>
      </c>
    </row>
    <row r="2006" ht="15.75" customHeight="1">
      <c r="A2006" s="98">
        <v>45189.0</v>
      </c>
      <c r="B2006" s="98">
        <v>45219.0</v>
      </c>
      <c r="C2006" s="97">
        <v>0.1171</v>
      </c>
    </row>
    <row r="2007" ht="15.75" customHeight="1">
      <c r="A2007" s="98">
        <v>45190.0</v>
      </c>
      <c r="B2007" s="98">
        <v>45220.0</v>
      </c>
      <c r="C2007" s="97">
        <v>0.115</v>
      </c>
    </row>
    <row r="2008" ht="15.75" customHeight="1">
      <c r="A2008" s="98">
        <v>45191.0</v>
      </c>
      <c r="B2008" s="98">
        <v>45221.0</v>
      </c>
      <c r="C2008" s="97">
        <v>0.081</v>
      </c>
    </row>
    <row r="2009" ht="15.75" customHeight="1">
      <c r="A2009" s="98">
        <v>45192.0</v>
      </c>
      <c r="B2009" s="98">
        <v>45222.0</v>
      </c>
      <c r="C2009" s="97">
        <v>0.0562</v>
      </c>
    </row>
    <row r="2010" ht="15.75" customHeight="1">
      <c r="A2010" s="98">
        <v>45193.0</v>
      </c>
      <c r="B2010" s="98">
        <v>45223.0</v>
      </c>
      <c r="C2010" s="97">
        <v>0.0788</v>
      </c>
    </row>
    <row r="2011" ht="15.75" customHeight="1">
      <c r="A2011" s="98">
        <v>45194.0</v>
      </c>
      <c r="B2011" s="98">
        <v>45224.0</v>
      </c>
      <c r="C2011" s="97">
        <v>0.1112</v>
      </c>
    </row>
    <row r="2012" ht="15.75" customHeight="1">
      <c r="A2012" s="98">
        <v>45195.0</v>
      </c>
      <c r="B2012" s="98">
        <v>45225.0</v>
      </c>
      <c r="C2012" s="97">
        <v>0.1102</v>
      </c>
    </row>
    <row r="2013" ht="15.75" customHeight="1">
      <c r="A2013" s="98">
        <v>45196.0</v>
      </c>
      <c r="B2013" s="98">
        <v>45226.0</v>
      </c>
      <c r="C2013" s="97">
        <v>0.1076</v>
      </c>
    </row>
    <row r="2014" ht="15.75" customHeight="1">
      <c r="A2014" s="98">
        <v>45197.0</v>
      </c>
      <c r="B2014" s="98">
        <v>45227.0</v>
      </c>
      <c r="C2014" s="97">
        <v>0.1042</v>
      </c>
    </row>
    <row r="2015" ht="15.75" customHeight="1">
      <c r="A2015" s="98">
        <v>45198.0</v>
      </c>
      <c r="B2015" s="98">
        <v>45228.0</v>
      </c>
      <c r="C2015" s="97">
        <v>0.0807</v>
      </c>
    </row>
    <row r="2016" ht="15.75" customHeight="1">
      <c r="A2016" s="98">
        <v>45199.0</v>
      </c>
      <c r="B2016" s="98">
        <v>45229.0</v>
      </c>
      <c r="C2016" s="97">
        <v>0.0504</v>
      </c>
    </row>
    <row r="2017" ht="15.75" customHeight="1">
      <c r="A2017" s="98">
        <v>45200.0</v>
      </c>
      <c r="B2017" s="98">
        <v>45230.0</v>
      </c>
      <c r="C2017" s="97">
        <v>0.083</v>
      </c>
    </row>
    <row r="2018" ht="15.75" customHeight="1">
      <c r="A2018" s="98">
        <v>45200.0</v>
      </c>
      <c r="B2018" s="98">
        <v>45231.0</v>
      </c>
      <c r="C2018" s="97">
        <v>0.1056</v>
      </c>
    </row>
    <row r="2019" ht="15.75" customHeight="1">
      <c r="A2019" s="98">
        <v>45201.0</v>
      </c>
      <c r="B2019" s="98">
        <v>45232.0</v>
      </c>
      <c r="C2019" s="97">
        <v>0.1381</v>
      </c>
    </row>
    <row r="2020" ht="15.75" customHeight="1">
      <c r="A2020" s="98">
        <v>45202.0</v>
      </c>
      <c r="B2020" s="98">
        <v>45233.0</v>
      </c>
      <c r="C2020" s="97">
        <v>0.1059</v>
      </c>
    </row>
    <row r="2021" ht="15.75" customHeight="1">
      <c r="A2021" s="98">
        <v>45203.0</v>
      </c>
      <c r="B2021" s="98">
        <v>45234.0</v>
      </c>
      <c r="C2021" s="97">
        <v>0.1053</v>
      </c>
    </row>
    <row r="2022" ht="15.75" customHeight="1">
      <c r="A2022" s="98">
        <v>45204.0</v>
      </c>
      <c r="B2022" s="98">
        <v>45235.0</v>
      </c>
      <c r="C2022" s="97">
        <v>0.0841</v>
      </c>
    </row>
    <row r="2023" ht="15.75" customHeight="1">
      <c r="A2023" s="98">
        <v>45205.0</v>
      </c>
      <c r="B2023" s="98">
        <v>45236.0</v>
      </c>
      <c r="C2023" s="97">
        <v>0.0518</v>
      </c>
    </row>
    <row r="2024" ht="15.75" customHeight="1">
      <c r="A2024" s="98">
        <v>45206.0</v>
      </c>
      <c r="B2024" s="98">
        <v>45237.0</v>
      </c>
      <c r="C2024" s="97">
        <v>0.0528</v>
      </c>
    </row>
    <row r="2025" ht="15.75" customHeight="1">
      <c r="A2025" s="98">
        <v>45207.0</v>
      </c>
      <c r="B2025" s="98">
        <v>45238.0</v>
      </c>
      <c r="C2025" s="97">
        <v>0.0854</v>
      </c>
    </row>
    <row r="2026" ht="15.75" customHeight="1">
      <c r="A2026" s="98">
        <v>45208.0</v>
      </c>
      <c r="B2026" s="98">
        <v>45239.0</v>
      </c>
      <c r="C2026" s="97">
        <v>0.1082</v>
      </c>
    </row>
    <row r="2027" ht="15.75" customHeight="1">
      <c r="A2027" s="98">
        <v>45209.0</v>
      </c>
      <c r="B2027" s="98">
        <v>45240.0</v>
      </c>
      <c r="C2027" s="97">
        <v>0.1071</v>
      </c>
    </row>
    <row r="2028" ht="15.75" customHeight="1">
      <c r="A2028" s="98">
        <v>45210.0</v>
      </c>
      <c r="B2028" s="98">
        <v>45241.0</v>
      </c>
      <c r="C2028" s="97">
        <v>0.1081</v>
      </c>
    </row>
    <row r="2029" ht="15.75" customHeight="1">
      <c r="A2029" s="98">
        <v>45211.0</v>
      </c>
      <c r="B2029" s="98">
        <v>45242.0</v>
      </c>
      <c r="C2029" s="97">
        <v>0.0854</v>
      </c>
    </row>
    <row r="2030" ht="15.75" customHeight="1">
      <c r="A2030" s="98">
        <v>45212.0</v>
      </c>
      <c r="B2030" s="98">
        <v>45243.0</v>
      </c>
      <c r="C2030" s="97">
        <v>0.0854</v>
      </c>
    </row>
    <row r="2031" ht="15.75" customHeight="1">
      <c r="A2031" s="98">
        <v>45213.0</v>
      </c>
      <c r="B2031" s="98">
        <v>45244.0</v>
      </c>
      <c r="C2031" s="97">
        <v>0.0839</v>
      </c>
    </row>
    <row r="2032" ht="15.75" customHeight="1">
      <c r="A2032" s="98">
        <v>45214.0</v>
      </c>
      <c r="B2032" s="98">
        <v>45245.0</v>
      </c>
      <c r="C2032" s="97">
        <v>0.1065</v>
      </c>
    </row>
    <row r="2033" ht="15.75" customHeight="1">
      <c r="A2033" s="98">
        <v>45215.0</v>
      </c>
      <c r="B2033" s="98">
        <v>45246.0</v>
      </c>
      <c r="C2033" s="97">
        <v>0.1065</v>
      </c>
    </row>
    <row r="2034" ht="15.75" customHeight="1">
      <c r="A2034" s="98">
        <v>45216.0</v>
      </c>
      <c r="B2034" s="98">
        <v>45247.0</v>
      </c>
      <c r="C2034" s="97">
        <v>0.1069</v>
      </c>
    </row>
    <row r="2035" ht="15.75" customHeight="1">
      <c r="A2035" s="98">
        <v>45217.0</v>
      </c>
      <c r="B2035" s="98">
        <v>45248.0</v>
      </c>
      <c r="C2035" s="97">
        <v>0.1065</v>
      </c>
    </row>
    <row r="2036" ht="15.75" customHeight="1">
      <c r="A2036" s="98">
        <v>45218.0</v>
      </c>
      <c r="B2036" s="98">
        <v>45249.0</v>
      </c>
      <c r="C2036" s="97">
        <v>0.0841</v>
      </c>
    </row>
    <row r="2037" ht="15.75" customHeight="1">
      <c r="A2037" s="98">
        <v>45219.0</v>
      </c>
      <c r="B2037" s="98">
        <v>45250.0</v>
      </c>
      <c r="C2037" s="97">
        <v>0.05</v>
      </c>
    </row>
    <row r="2038" ht="15.75" customHeight="1">
      <c r="A2038" s="98">
        <v>45220.0</v>
      </c>
      <c r="B2038" s="98">
        <v>45251.0</v>
      </c>
      <c r="C2038" s="97">
        <v>0.0497</v>
      </c>
    </row>
    <row r="2039" ht="15.75" customHeight="1">
      <c r="A2039" s="98">
        <v>45221.0</v>
      </c>
      <c r="B2039" s="98">
        <v>45252.0</v>
      </c>
      <c r="C2039" s="97">
        <v>0.0822</v>
      </c>
    </row>
    <row r="2040" ht="15.75" customHeight="1">
      <c r="A2040" s="98">
        <v>45222.0</v>
      </c>
      <c r="B2040" s="98">
        <v>45253.0</v>
      </c>
      <c r="C2040" s="97">
        <v>0.1048</v>
      </c>
    </row>
    <row r="2041" ht="15.75" customHeight="1">
      <c r="A2041" s="98">
        <v>45223.0</v>
      </c>
      <c r="B2041" s="98">
        <v>45254.0</v>
      </c>
      <c r="C2041" s="97">
        <v>0.1045</v>
      </c>
    </row>
    <row r="2042" ht="15.75" customHeight="1">
      <c r="A2042" s="98">
        <v>45224.0</v>
      </c>
      <c r="B2042" s="98">
        <v>45255.0</v>
      </c>
      <c r="C2042" s="97">
        <v>0.1041</v>
      </c>
    </row>
    <row r="2043" ht="15.75" customHeight="1">
      <c r="A2043" s="98">
        <v>45225.0</v>
      </c>
      <c r="B2043" s="98">
        <v>45256.0</v>
      </c>
      <c r="C2043" s="97">
        <v>0.0811</v>
      </c>
    </row>
    <row r="2044" ht="15.75" customHeight="1">
      <c r="A2044" s="98">
        <v>45226.0</v>
      </c>
      <c r="B2044" s="98">
        <v>45257.0</v>
      </c>
      <c r="C2044" s="97">
        <v>0.0476</v>
      </c>
    </row>
    <row r="2045" ht="15.75" customHeight="1">
      <c r="A2045" s="98">
        <v>45227.0</v>
      </c>
      <c r="B2045" s="98">
        <v>45258.0</v>
      </c>
      <c r="C2045" s="97">
        <v>0.0471</v>
      </c>
    </row>
    <row r="2046" ht="15.75" customHeight="1">
      <c r="A2046" s="98">
        <v>45228.0</v>
      </c>
      <c r="B2046" s="98">
        <v>45259.0</v>
      </c>
      <c r="C2046" s="97">
        <v>0.0795</v>
      </c>
    </row>
    <row r="2047" ht="15.75" customHeight="1">
      <c r="A2047" s="98">
        <v>45229.0</v>
      </c>
      <c r="B2047" s="98">
        <v>45260.0</v>
      </c>
      <c r="C2047" s="97">
        <v>0.1019</v>
      </c>
    </row>
    <row r="2048" ht="15.75" customHeight="1">
      <c r="A2048" s="98">
        <v>45230.0</v>
      </c>
      <c r="B2048" s="98">
        <v>45261.0</v>
      </c>
      <c r="C2048" s="97">
        <v>0.108</v>
      </c>
    </row>
    <row r="2049" ht="15.75" customHeight="1">
      <c r="A2049" s="98">
        <v>45231.0</v>
      </c>
      <c r="B2049" s="98">
        <v>45261.0</v>
      </c>
      <c r="C2049" s="97">
        <v>0.0775</v>
      </c>
    </row>
    <row r="2050" ht="15.75" customHeight="1">
      <c r="A2050" s="98">
        <v>45232.0</v>
      </c>
      <c r="B2050" s="98">
        <v>45262.0</v>
      </c>
      <c r="C2050" s="97">
        <v>0.0749</v>
      </c>
    </row>
    <row r="2051" ht="15.75" customHeight="1">
      <c r="A2051" s="98">
        <v>45233.0</v>
      </c>
      <c r="B2051" s="98">
        <v>45263.0</v>
      </c>
      <c r="C2051" s="97">
        <v>0.0749</v>
      </c>
    </row>
    <row r="2052" ht="15.75" customHeight="1">
      <c r="A2052" s="98">
        <v>45234.0</v>
      </c>
      <c r="B2052" s="98">
        <v>45264.0</v>
      </c>
      <c r="C2052" s="97">
        <v>0.0424</v>
      </c>
    </row>
    <row r="2053" ht="15.75" customHeight="1">
      <c r="A2053" s="98">
        <v>45235.0</v>
      </c>
      <c r="B2053" s="98">
        <v>45265.0</v>
      </c>
      <c r="C2053" s="97">
        <v>0.0745</v>
      </c>
    </row>
    <row r="2054" ht="15.75" customHeight="1">
      <c r="A2054" s="98">
        <v>45236.0</v>
      </c>
      <c r="B2054" s="98">
        <v>45266.0</v>
      </c>
      <c r="C2054" s="97">
        <v>0.1067</v>
      </c>
    </row>
    <row r="2055" ht="15.75" customHeight="1">
      <c r="A2055" s="98">
        <v>45237.0</v>
      </c>
      <c r="B2055" s="98">
        <v>45267.0</v>
      </c>
      <c r="C2055" s="97">
        <v>0.1066</v>
      </c>
    </row>
    <row r="2056" ht="15.75" customHeight="1">
      <c r="A2056" s="98">
        <v>45238.0</v>
      </c>
      <c r="B2056" s="98">
        <v>45268.0</v>
      </c>
      <c r="C2056" s="97">
        <v>0.1068</v>
      </c>
    </row>
    <row r="2057" ht="15.75" customHeight="1">
      <c r="A2057" s="98">
        <v>45239.0</v>
      </c>
      <c r="B2057" s="98">
        <v>45269.0</v>
      </c>
      <c r="C2057" s="97">
        <v>0.1067</v>
      </c>
    </row>
    <row r="2058" ht="15.75" customHeight="1">
      <c r="A2058" s="98">
        <v>45240.0</v>
      </c>
      <c r="B2058" s="98">
        <v>45270.0</v>
      </c>
      <c r="C2058" s="97">
        <v>0.0745</v>
      </c>
    </row>
    <row r="2059" ht="15.75" customHeight="1">
      <c r="A2059" s="98">
        <v>45241.0</v>
      </c>
      <c r="B2059" s="98">
        <v>45271.0</v>
      </c>
      <c r="C2059" s="97">
        <v>0.0422</v>
      </c>
    </row>
    <row r="2060" ht="15.75" customHeight="1">
      <c r="A2060" s="98">
        <v>45242.0</v>
      </c>
      <c r="B2060" s="98">
        <v>45272.0</v>
      </c>
      <c r="C2060" s="97">
        <v>0.0743</v>
      </c>
    </row>
    <row r="2061" ht="15.75" customHeight="1">
      <c r="A2061" s="98">
        <v>45243.0</v>
      </c>
      <c r="B2061" s="98">
        <v>45273.0</v>
      </c>
      <c r="C2061" s="97">
        <v>0.1066</v>
      </c>
    </row>
    <row r="2062" ht="15.75" customHeight="1">
      <c r="A2062" s="98">
        <v>45244.0</v>
      </c>
      <c r="B2062" s="98">
        <v>45274.0</v>
      </c>
      <c r="C2062" s="97">
        <v>0.1064</v>
      </c>
    </row>
    <row r="2063" ht="15.75" customHeight="1">
      <c r="A2063" s="98">
        <v>45245.0</v>
      </c>
      <c r="B2063" s="98">
        <v>45275.0</v>
      </c>
      <c r="C2063" s="97">
        <v>0.1062</v>
      </c>
    </row>
    <row r="2064" ht="15.75" customHeight="1">
      <c r="A2064" s="98">
        <v>45246.0</v>
      </c>
      <c r="B2064" s="98">
        <v>45276.0</v>
      </c>
      <c r="C2064" s="97">
        <v>0.1284</v>
      </c>
    </row>
    <row r="2065" ht="15.75" customHeight="1">
      <c r="A2065" s="98">
        <v>45247.0</v>
      </c>
      <c r="B2065" s="98">
        <v>45277.0</v>
      </c>
      <c r="C2065" s="97">
        <v>0.1056</v>
      </c>
    </row>
    <row r="2066" ht="15.75" customHeight="1">
      <c r="A2066" s="98">
        <v>45248.0</v>
      </c>
      <c r="B2066" s="98">
        <v>45278.0</v>
      </c>
      <c r="C2066" s="97">
        <v>0.0731</v>
      </c>
    </row>
    <row r="2067" ht="15.75" customHeight="1">
      <c r="A2067" s="98">
        <v>45249.0</v>
      </c>
      <c r="B2067" s="98">
        <v>45279.0</v>
      </c>
      <c r="C2067" s="97">
        <v>0.1052</v>
      </c>
    </row>
    <row r="2068" ht="15.75" customHeight="1">
      <c r="A2068" s="98">
        <v>45250.0</v>
      </c>
      <c r="B2068" s="98">
        <v>45280.0</v>
      </c>
      <c r="C2068" s="97">
        <v>0.1274</v>
      </c>
    </row>
    <row r="2069" ht="15.75" customHeight="1">
      <c r="A2069" s="98">
        <v>45251.0</v>
      </c>
      <c r="B2069" s="98">
        <v>45281.0</v>
      </c>
      <c r="C2069" s="97">
        <v>0.1277</v>
      </c>
    </row>
    <row r="2070" ht="15.75" customHeight="1">
      <c r="A2070" s="98">
        <v>45252.0</v>
      </c>
      <c r="B2070" s="98">
        <v>45282.0</v>
      </c>
      <c r="C2070" s="97">
        <v>0.128</v>
      </c>
    </row>
    <row r="2071" ht="15.75" customHeight="1">
      <c r="A2071" s="98">
        <v>45253.0</v>
      </c>
      <c r="B2071" s="98">
        <v>45283.0</v>
      </c>
      <c r="C2071" s="97">
        <v>0.1281</v>
      </c>
    </row>
    <row r="2072" ht="15.75" customHeight="1">
      <c r="A2072" s="98">
        <v>45254.0</v>
      </c>
      <c r="B2072" s="98">
        <v>45284.0</v>
      </c>
      <c r="C2072" s="97">
        <v>0.1057</v>
      </c>
    </row>
    <row r="2073" ht="15.75" customHeight="1">
      <c r="A2073" s="98">
        <v>45255.0</v>
      </c>
      <c r="B2073" s="98">
        <v>45285.0</v>
      </c>
      <c r="C2073" s="97">
        <v>0.0726</v>
      </c>
    </row>
    <row r="2074" ht="15.75" customHeight="1">
      <c r="A2074" s="98">
        <v>45256.0</v>
      </c>
      <c r="B2074" s="98">
        <v>45286.0</v>
      </c>
      <c r="C2074" s="97">
        <v>0.0726</v>
      </c>
    </row>
    <row r="2075" ht="15.75" customHeight="1">
      <c r="A2075" s="98">
        <v>45257.0</v>
      </c>
      <c r="B2075" s="98">
        <v>45287.0</v>
      </c>
      <c r="C2075" s="97">
        <v>0.1048</v>
      </c>
    </row>
    <row r="2076" ht="15.75" customHeight="1">
      <c r="A2076" s="98">
        <v>45258.0</v>
      </c>
      <c r="B2076" s="98">
        <v>45288.0</v>
      </c>
      <c r="C2076" s="97">
        <v>0.103</v>
      </c>
    </row>
    <row r="2077" ht="15.75" customHeight="1">
      <c r="A2077" s="98">
        <v>45259.0</v>
      </c>
      <c r="B2077" s="98">
        <v>45289.0</v>
      </c>
      <c r="C2077" s="97">
        <v>0.1031</v>
      </c>
    </row>
    <row r="2078" ht="15.75" customHeight="1">
      <c r="A2078" s="98">
        <v>45260.0</v>
      </c>
      <c r="B2078" s="98">
        <v>45290.0</v>
      </c>
      <c r="C2078" s="97">
        <v>0.1017</v>
      </c>
    </row>
    <row r="2079" ht="15.75" customHeight="1">
      <c r="A2079" s="98">
        <v>45261.0</v>
      </c>
      <c r="B2079" s="98">
        <v>45291.0</v>
      </c>
      <c r="C2079" s="97">
        <v>0.069</v>
      </c>
    </row>
    <row r="2080" ht="15.75" customHeight="1">
      <c r="A2080" s="98">
        <v>45261.0</v>
      </c>
      <c r="B2080" s="98">
        <v>45292.0</v>
      </c>
      <c r="C2080" s="97">
        <v>0.069</v>
      </c>
    </row>
    <row r="2081" ht="15.75" customHeight="1">
      <c r="A2081" s="98">
        <v>45262.0</v>
      </c>
      <c r="B2081" s="98">
        <v>45293.0</v>
      </c>
      <c r="C2081" s="97">
        <v>0.0455</v>
      </c>
    </row>
    <row r="2082" ht="15.75" customHeight="1">
      <c r="A2082" s="98">
        <v>45263.0</v>
      </c>
      <c r="B2082" s="98">
        <v>45294.0</v>
      </c>
      <c r="C2082" s="97">
        <v>0.0643</v>
      </c>
    </row>
    <row r="2083" ht="15.75" customHeight="1">
      <c r="A2083" s="98">
        <v>45264.0</v>
      </c>
      <c r="B2083" s="98">
        <v>45295.0</v>
      </c>
      <c r="C2083" s="97">
        <v>0.0932</v>
      </c>
    </row>
    <row r="2084" ht="15.75" customHeight="1">
      <c r="A2084" s="98">
        <v>45265.0</v>
      </c>
      <c r="B2084" s="98">
        <v>45296.0</v>
      </c>
      <c r="C2084" s="97">
        <v>0.091</v>
      </c>
    </row>
    <row r="2085" ht="15.75" customHeight="1">
      <c r="A2085" s="98">
        <v>45266.0</v>
      </c>
      <c r="B2085" s="98">
        <v>45297.0</v>
      </c>
      <c r="C2085" s="97">
        <v>0.0865</v>
      </c>
    </row>
    <row r="2086" ht="15.75" customHeight="1">
      <c r="A2086" s="98">
        <v>45267.0</v>
      </c>
      <c r="B2086" s="98">
        <v>45298.0</v>
      </c>
      <c r="C2086" s="97">
        <v>0.0627</v>
      </c>
    </row>
    <row r="2087" ht="15.75" customHeight="1">
      <c r="A2087" s="98">
        <v>45268.0</v>
      </c>
      <c r="B2087" s="98">
        <v>45299.0</v>
      </c>
      <c r="C2087" s="97">
        <v>0.0289</v>
      </c>
    </row>
    <row r="2088" ht="15.75" customHeight="1">
      <c r="A2088" s="98">
        <v>45269.0</v>
      </c>
      <c r="B2088" s="98">
        <v>45300.0</v>
      </c>
      <c r="C2088" s="97">
        <v>0.025</v>
      </c>
    </row>
    <row r="2089" ht="15.75" customHeight="1">
      <c r="A2089" s="98">
        <v>45270.0</v>
      </c>
      <c r="B2089" s="98">
        <v>45301.0</v>
      </c>
      <c r="C2089" s="97">
        <v>0.0539</v>
      </c>
    </row>
    <row r="2090" ht="15.75" customHeight="1">
      <c r="A2090" s="98">
        <v>45271.0</v>
      </c>
      <c r="B2090" s="98">
        <v>45302.0</v>
      </c>
      <c r="C2090" s="97">
        <v>0.0828</v>
      </c>
    </row>
    <row r="2091" ht="15.75" customHeight="1">
      <c r="A2091" s="98">
        <v>45272.0</v>
      </c>
      <c r="B2091" s="98">
        <v>45303.0</v>
      </c>
      <c r="C2091" s="97">
        <v>0.0789</v>
      </c>
    </row>
    <row r="2092" ht="15.75" customHeight="1">
      <c r="A2092" s="98">
        <v>45273.0</v>
      </c>
      <c r="B2092" s="98">
        <v>45304.0</v>
      </c>
      <c r="C2092" s="97">
        <v>0.0766</v>
      </c>
    </row>
    <row r="2093" ht="15.75" customHeight="1">
      <c r="A2093" s="98">
        <v>45274.0</v>
      </c>
      <c r="B2093" s="98">
        <v>45305.0</v>
      </c>
      <c r="C2093" s="97">
        <v>0.0441</v>
      </c>
    </row>
    <row r="2094" ht="15.75" customHeight="1">
      <c r="A2094" s="98">
        <v>45275.0</v>
      </c>
      <c r="B2094" s="98">
        <v>45306.0</v>
      </c>
      <c r="C2094" s="97">
        <v>0.0218</v>
      </c>
    </row>
    <row r="2095" ht="15.75" customHeight="1">
      <c r="A2095" s="98">
        <v>45276.0</v>
      </c>
      <c r="B2095" s="98">
        <v>45307.0</v>
      </c>
      <c r="C2095" s="97">
        <v>0.0174</v>
      </c>
    </row>
    <row r="2096" ht="15.75" customHeight="1">
      <c r="A2096" s="98">
        <v>45277.0</v>
      </c>
      <c r="B2096" s="98">
        <v>45308.0</v>
      </c>
      <c r="C2096" s="97">
        <v>0.0461</v>
      </c>
    </row>
    <row r="2097" ht="15.75" customHeight="1">
      <c r="A2097" s="98">
        <v>45278.0</v>
      </c>
      <c r="B2097" s="98">
        <v>45309.0</v>
      </c>
      <c r="C2097" s="97">
        <v>0.0746</v>
      </c>
    </row>
    <row r="2098" ht="15.75" customHeight="1">
      <c r="A2098" s="98">
        <v>45279.0</v>
      </c>
      <c r="B2098" s="98">
        <v>45310.0</v>
      </c>
      <c r="C2098" s="97">
        <v>0.0723</v>
      </c>
    </row>
    <row r="2099" ht="15.75" customHeight="1">
      <c r="A2099" s="98">
        <v>45280.0</v>
      </c>
      <c r="B2099" s="98">
        <v>45311.0</v>
      </c>
      <c r="C2099" s="97">
        <v>0.0668</v>
      </c>
    </row>
    <row r="2100" ht="15.75" customHeight="1">
      <c r="A2100" s="98">
        <v>45281.0</v>
      </c>
      <c r="B2100" s="98">
        <v>45312.0</v>
      </c>
      <c r="C2100" s="97">
        <v>0.0464</v>
      </c>
    </row>
    <row r="2101" ht="15.75" customHeight="1">
      <c r="A2101" s="98">
        <v>45282.0</v>
      </c>
      <c r="B2101" s="98">
        <v>45313.0</v>
      </c>
      <c r="C2101" s="97">
        <v>0.0161</v>
      </c>
    </row>
    <row r="2102" ht="15.75" customHeight="1">
      <c r="A2102" s="98">
        <v>45283.0</v>
      </c>
      <c r="B2102" s="98">
        <v>45314.0</v>
      </c>
      <c r="C2102" s="97">
        <v>0.0248</v>
      </c>
    </row>
    <row r="2103" ht="15.75" customHeight="1">
      <c r="A2103" s="98">
        <v>45284.0</v>
      </c>
      <c r="B2103" s="98">
        <v>45315.0</v>
      </c>
      <c r="C2103" s="97">
        <v>0.0441</v>
      </c>
    </row>
    <row r="2104" ht="15.75" customHeight="1">
      <c r="A2104" s="98">
        <v>45285.0</v>
      </c>
      <c r="B2104" s="98">
        <v>45316.0</v>
      </c>
      <c r="C2104" s="97">
        <v>0.0732</v>
      </c>
    </row>
    <row r="2105" ht="15.75" customHeight="1">
      <c r="A2105" s="98">
        <v>45286.0</v>
      </c>
      <c r="B2105" s="98">
        <v>45317.0</v>
      </c>
      <c r="C2105" s="97">
        <v>0.1025</v>
      </c>
    </row>
    <row r="2106" ht="15.75" customHeight="1">
      <c r="A2106" s="98">
        <v>45287.0</v>
      </c>
      <c r="B2106" s="98">
        <v>45318.0</v>
      </c>
      <c r="C2106" s="97">
        <v>0.0957</v>
      </c>
    </row>
    <row r="2107" ht="15.75" customHeight="1">
      <c r="A2107" s="98">
        <v>45288.0</v>
      </c>
      <c r="B2107" s="98">
        <v>45319.0</v>
      </c>
      <c r="C2107" s="97">
        <v>0.0629</v>
      </c>
    </row>
    <row r="2108" ht="15.75" customHeight="1">
      <c r="A2108" s="98">
        <v>45289.0</v>
      </c>
      <c r="B2108" s="98">
        <v>45320.0</v>
      </c>
      <c r="C2108" s="97">
        <v>0.0437</v>
      </c>
    </row>
    <row r="2109" ht="15.75" customHeight="1">
      <c r="A2109" s="98">
        <v>45290.0</v>
      </c>
      <c r="B2109" s="98">
        <v>45321.0</v>
      </c>
      <c r="C2109" s="97">
        <v>0.0398</v>
      </c>
    </row>
    <row r="2110" ht="15.75" customHeight="1">
      <c r="A2110" s="98">
        <v>45291.0</v>
      </c>
      <c r="B2110" s="98">
        <v>45322.0</v>
      </c>
      <c r="C2110" s="97">
        <v>0.0686</v>
      </c>
    </row>
    <row r="2111" ht="15.75" customHeight="1">
      <c r="A2111" s="98">
        <v>45292.0</v>
      </c>
      <c r="B2111" s="98">
        <v>45323.0</v>
      </c>
      <c r="C2111" s="97">
        <v>0.0875</v>
      </c>
    </row>
    <row r="2112" ht="15.75" customHeight="1">
      <c r="A2112" s="98">
        <v>45293.0</v>
      </c>
      <c r="B2112" s="98">
        <v>45324.0</v>
      </c>
      <c r="C2112" s="97">
        <v>0.1164</v>
      </c>
    </row>
    <row r="2113" ht="15.75" customHeight="1">
      <c r="A2113" s="98">
        <v>45294.0</v>
      </c>
      <c r="B2113" s="98">
        <v>45325.0</v>
      </c>
      <c r="C2113" s="97">
        <v>0.1165</v>
      </c>
    </row>
    <row r="2114" ht="15.75" customHeight="1">
      <c r="A2114" s="98">
        <v>45295.0</v>
      </c>
      <c r="B2114" s="98">
        <v>45326.0</v>
      </c>
      <c r="C2114" s="97">
        <v>0.0912</v>
      </c>
    </row>
    <row r="2115" ht="15.75" customHeight="1">
      <c r="A2115" s="98">
        <v>45296.0</v>
      </c>
      <c r="B2115" s="98">
        <v>45327.0</v>
      </c>
      <c r="C2115" s="97">
        <v>0.066</v>
      </c>
    </row>
    <row r="2116" ht="15.75" customHeight="1">
      <c r="A2116" s="98">
        <v>45297.0</v>
      </c>
      <c r="B2116" s="98">
        <v>45328.0</v>
      </c>
      <c r="C2116" s="97">
        <v>0.0678</v>
      </c>
    </row>
    <row r="2117" ht="15.75" customHeight="1">
      <c r="A2117" s="98">
        <v>45298.0</v>
      </c>
      <c r="B2117" s="98">
        <v>45329.0</v>
      </c>
      <c r="C2117" s="97">
        <v>0.0972</v>
      </c>
    </row>
    <row r="2118" ht="15.75" customHeight="1">
      <c r="A2118" s="98">
        <v>45299.0</v>
      </c>
      <c r="B2118" s="98">
        <v>45330.0</v>
      </c>
      <c r="C2118" s="97">
        <v>0.1265</v>
      </c>
    </row>
    <row r="2119" ht="15.75" customHeight="1">
      <c r="A2119" s="98">
        <v>45300.0</v>
      </c>
      <c r="B2119" s="98">
        <v>45331.0</v>
      </c>
      <c r="C2119" s="97">
        <v>0.1246</v>
      </c>
    </row>
    <row r="2120" ht="15.75" customHeight="1">
      <c r="A2120" s="98">
        <v>45301.0</v>
      </c>
      <c r="B2120" s="98">
        <v>45332.0</v>
      </c>
      <c r="C2120" s="97">
        <v>0.125</v>
      </c>
    </row>
    <row r="2121" ht="15.75" customHeight="1">
      <c r="A2121" s="98">
        <v>45302.0</v>
      </c>
      <c r="B2121" s="98">
        <v>45333.0</v>
      </c>
      <c r="C2121" s="97">
        <v>0.0934</v>
      </c>
    </row>
    <row r="2122" ht="15.75" customHeight="1">
      <c r="A2122" s="98">
        <v>45303.0</v>
      </c>
      <c r="B2122" s="98">
        <v>45334.0</v>
      </c>
      <c r="C2122" s="97">
        <v>0.0706</v>
      </c>
    </row>
    <row r="2123" ht="15.75" customHeight="1">
      <c r="A2123" s="98">
        <v>45304.0</v>
      </c>
      <c r="B2123" s="98">
        <v>45335.0</v>
      </c>
      <c r="C2123" s="97">
        <v>0.0427</v>
      </c>
    </row>
    <row r="2124" ht="15.75" customHeight="1">
      <c r="A2124" s="98">
        <v>45305.0</v>
      </c>
      <c r="B2124" s="98">
        <v>45336.0</v>
      </c>
      <c r="C2124" s="97">
        <v>0.0427</v>
      </c>
    </row>
    <row r="2125" ht="15.75" customHeight="1">
      <c r="A2125" s="98">
        <v>45306.0</v>
      </c>
      <c r="B2125" s="98">
        <v>45337.0</v>
      </c>
      <c r="C2125" s="97">
        <v>0.0717</v>
      </c>
    </row>
    <row r="2126" ht="15.75" customHeight="1">
      <c r="A2126" s="98">
        <v>45307.0</v>
      </c>
      <c r="B2126" s="98">
        <v>45338.0</v>
      </c>
      <c r="C2126" s="97">
        <v>0.0713</v>
      </c>
    </row>
    <row r="2127" ht="15.75" customHeight="1">
      <c r="A2127" s="98">
        <v>45308.0</v>
      </c>
      <c r="B2127" s="98">
        <v>45339.0</v>
      </c>
      <c r="C2127" s="97">
        <v>0.0689</v>
      </c>
    </row>
    <row r="2128" ht="15.75" customHeight="1">
      <c r="A2128" s="98">
        <v>45309.0</v>
      </c>
      <c r="B2128" s="98">
        <v>45340.0</v>
      </c>
      <c r="C2128" s="97">
        <v>0.0415</v>
      </c>
    </row>
    <row r="2129" ht="15.75" customHeight="1">
      <c r="A2129" s="98">
        <v>45310.0</v>
      </c>
      <c r="B2129" s="98">
        <v>45341.0</v>
      </c>
      <c r="C2129" s="97">
        <v>0.0099</v>
      </c>
    </row>
    <row r="2130" ht="15.75" customHeight="1">
      <c r="A2130" s="98">
        <v>45311.0</v>
      </c>
      <c r="B2130" s="98">
        <v>45342.0</v>
      </c>
      <c r="C2130" s="97">
        <v>0.0089</v>
      </c>
    </row>
    <row r="2131" ht="15.75" customHeight="1">
      <c r="A2131" s="98">
        <v>45312.0</v>
      </c>
      <c r="B2131" s="98">
        <v>45343.0</v>
      </c>
      <c r="C2131" s="97">
        <v>0.0377</v>
      </c>
    </row>
    <row r="2132" ht="15.75" customHeight="1">
      <c r="A2132" s="98">
        <v>45313.0</v>
      </c>
      <c r="B2132" s="98">
        <v>45344.0</v>
      </c>
      <c r="C2132" s="97">
        <v>0.0665</v>
      </c>
    </row>
    <row r="2133" ht="15.75" customHeight="1">
      <c r="A2133" s="98">
        <v>45314.0</v>
      </c>
      <c r="B2133" s="98">
        <v>45345.0</v>
      </c>
      <c r="C2133" s="97">
        <v>0.0656</v>
      </c>
    </row>
    <row r="2134" ht="15.75" customHeight="1">
      <c r="A2134" s="98">
        <v>45315.0</v>
      </c>
      <c r="B2134" s="98">
        <v>45346.0</v>
      </c>
      <c r="C2134" s="97">
        <v>0.0663</v>
      </c>
    </row>
    <row r="2135" ht="15.75" customHeight="1">
      <c r="A2135" s="98">
        <v>45316.0</v>
      </c>
      <c r="B2135" s="98">
        <v>45347.0</v>
      </c>
      <c r="C2135" s="97">
        <v>0.0376</v>
      </c>
    </row>
    <row r="2136" ht="15.75" customHeight="1">
      <c r="A2136" s="98">
        <v>45317.0</v>
      </c>
      <c r="B2136" s="98">
        <v>45348.0</v>
      </c>
      <c r="C2136" s="97">
        <v>0.0107</v>
      </c>
    </row>
    <row r="2137" ht="15.75" customHeight="1">
      <c r="A2137" s="98">
        <v>45318.0</v>
      </c>
      <c r="B2137" s="98">
        <v>45349.0</v>
      </c>
      <c r="C2137" s="97">
        <v>0.0121</v>
      </c>
    </row>
    <row r="2138" ht="15.75" customHeight="1">
      <c r="A2138" s="98">
        <v>45319.0</v>
      </c>
      <c r="B2138" s="98">
        <v>45350.0</v>
      </c>
      <c r="C2138" s="97">
        <v>0.041</v>
      </c>
    </row>
    <row r="2139" ht="15.75" customHeight="1">
      <c r="A2139" s="98">
        <v>45320.0</v>
      </c>
      <c r="B2139" s="98">
        <v>45351.0</v>
      </c>
      <c r="C2139" s="97">
        <v>0.07</v>
      </c>
    </row>
    <row r="2140" ht="15.75" customHeight="1">
      <c r="A2140" s="98">
        <v>45321.0</v>
      </c>
      <c r="B2140" s="98">
        <v>45352.0</v>
      </c>
      <c r="C2140" s="97">
        <v>0.0655</v>
      </c>
    </row>
    <row r="2141" ht="15.75" customHeight="1">
      <c r="A2141" s="98">
        <v>45322.0</v>
      </c>
      <c r="B2141" s="98">
        <v>45352.0</v>
      </c>
      <c r="C2141" s="97">
        <v>0.0388</v>
      </c>
    </row>
    <row r="2142" ht="15.75" customHeight="1">
      <c r="A2142" s="98">
        <v>45323.0</v>
      </c>
      <c r="B2142" s="98">
        <v>45352.0</v>
      </c>
      <c r="C2142" s="97">
        <v>0.0079</v>
      </c>
    </row>
    <row r="2143" ht="15.75" customHeight="1">
      <c r="A2143" s="98">
        <v>45324.0</v>
      </c>
      <c r="B2143" s="98">
        <v>45353.0</v>
      </c>
      <c r="C2143" s="97">
        <v>0.0083</v>
      </c>
    </row>
    <row r="2144" ht="15.75" customHeight="1">
      <c r="A2144" s="98">
        <v>45325.0</v>
      </c>
      <c r="B2144" s="98">
        <v>45354.0</v>
      </c>
      <c r="C2144" s="97">
        <v>0.0</v>
      </c>
    </row>
    <row r="2145" ht="15.75" customHeight="1">
      <c r="A2145" s="98">
        <v>45326.0</v>
      </c>
      <c r="B2145" s="98">
        <v>45355.0</v>
      </c>
      <c r="C2145" s="97">
        <v>0.0</v>
      </c>
    </row>
    <row r="2146" ht="15.75" customHeight="1">
      <c r="A2146" s="98">
        <v>45327.0</v>
      </c>
      <c r="B2146" s="98">
        <v>45356.0</v>
      </c>
      <c r="C2146" s="97">
        <v>0.009</v>
      </c>
    </row>
    <row r="2147" ht="15.75" customHeight="1">
      <c r="A2147" s="98">
        <v>45328.0</v>
      </c>
      <c r="B2147" s="98">
        <v>45357.0</v>
      </c>
      <c r="C2147" s="97">
        <v>0.009</v>
      </c>
    </row>
    <row r="2148" ht="15.75" customHeight="1">
      <c r="A2148" s="98">
        <v>45329.0</v>
      </c>
      <c r="B2148" s="98">
        <v>45358.0</v>
      </c>
      <c r="C2148" s="97">
        <v>0.0087</v>
      </c>
    </row>
    <row r="2149" ht="15.75" customHeight="1">
      <c r="A2149" s="98">
        <v>45330.0</v>
      </c>
      <c r="B2149" s="98">
        <v>45359.0</v>
      </c>
      <c r="C2149" s="97">
        <v>0.0082</v>
      </c>
    </row>
    <row r="2150" ht="15.75" customHeight="1">
      <c r="A2150" s="98">
        <v>45331.0</v>
      </c>
      <c r="B2150" s="98">
        <v>45360.0</v>
      </c>
      <c r="C2150" s="97">
        <v>0.0079</v>
      </c>
    </row>
    <row r="2151" ht="15.75" customHeight="1">
      <c r="A2151" s="98">
        <v>45332.0</v>
      </c>
      <c r="B2151" s="98">
        <v>45361.0</v>
      </c>
      <c r="C2151" s="97">
        <v>0.0</v>
      </c>
    </row>
    <row r="2152" ht="15.75" customHeight="1">
      <c r="A2152" s="98">
        <v>45333.0</v>
      </c>
      <c r="B2152" s="98">
        <v>45362.0</v>
      </c>
      <c r="C2152" s="97">
        <v>0.0</v>
      </c>
    </row>
    <row r="2153" ht="15.75" customHeight="1">
      <c r="A2153" s="98">
        <v>45334.0</v>
      </c>
      <c r="B2153" s="98">
        <v>45363.0</v>
      </c>
      <c r="C2153" s="97">
        <v>0.0084</v>
      </c>
    </row>
    <row r="2154" ht="15.75" customHeight="1">
      <c r="A2154" s="98">
        <v>45335.0</v>
      </c>
      <c r="B2154" s="98">
        <v>45364.0</v>
      </c>
      <c r="C2154" s="97">
        <v>0.0372</v>
      </c>
    </row>
    <row r="2155" ht="15.75" customHeight="1">
      <c r="A2155" s="98">
        <v>45336.0</v>
      </c>
      <c r="B2155" s="98">
        <v>45365.0</v>
      </c>
      <c r="C2155" s="97">
        <v>0.066</v>
      </c>
    </row>
    <row r="2156" ht="15.75" customHeight="1">
      <c r="A2156" s="98">
        <v>45337.0</v>
      </c>
      <c r="B2156" s="98">
        <v>45366.0</v>
      </c>
      <c r="C2156" s="97">
        <v>0.0665</v>
      </c>
    </row>
    <row r="2157" ht="15.75" customHeight="1">
      <c r="A2157" s="98">
        <v>45338.0</v>
      </c>
      <c r="B2157" s="98">
        <v>45367.0</v>
      </c>
      <c r="C2157" s="97">
        <v>0.0661</v>
      </c>
    </row>
    <row r="2158" ht="15.75" customHeight="1">
      <c r="A2158" s="98">
        <v>45339.0</v>
      </c>
      <c r="B2158" s="98">
        <v>45368.0</v>
      </c>
      <c r="C2158" s="97">
        <v>0.0364</v>
      </c>
    </row>
    <row r="2159" ht="15.75" customHeight="1">
      <c r="A2159" s="98">
        <v>45340.0</v>
      </c>
      <c r="B2159" s="98">
        <v>45369.0</v>
      </c>
      <c r="C2159" s="97">
        <v>0.0364</v>
      </c>
    </row>
    <row r="2160" ht="15.75" customHeight="1">
      <c r="A2160" s="98">
        <v>45341.0</v>
      </c>
      <c r="B2160" s="98">
        <v>45370.0</v>
      </c>
      <c r="C2160" s="97">
        <v>0.0652</v>
      </c>
    </row>
    <row r="2161" ht="15.75" customHeight="1">
      <c r="A2161" s="98">
        <v>45342.0</v>
      </c>
      <c r="B2161" s="98">
        <v>45371.0</v>
      </c>
      <c r="C2161" s="97">
        <v>0.0665</v>
      </c>
    </row>
    <row r="2162" ht="15.75" customHeight="1">
      <c r="A2162" s="98">
        <v>45343.0</v>
      </c>
      <c r="B2162" s="98">
        <v>45372.0</v>
      </c>
      <c r="C2162" s="97">
        <v>0.0648</v>
      </c>
    </row>
    <row r="2163" ht="15.75" customHeight="1">
      <c r="A2163" s="98">
        <v>45344.0</v>
      </c>
      <c r="B2163" s="98">
        <v>45373.0</v>
      </c>
      <c r="C2163" s="97">
        <v>0.0651</v>
      </c>
    </row>
    <row r="2164" ht="15.75" customHeight="1">
      <c r="A2164" s="98">
        <v>45345.0</v>
      </c>
      <c r="B2164" s="98">
        <v>45374.0</v>
      </c>
      <c r="C2164" s="97">
        <v>0.0635</v>
      </c>
    </row>
    <row r="2165" ht="15.75" customHeight="1">
      <c r="A2165" s="98">
        <v>45346.0</v>
      </c>
      <c r="B2165" s="98">
        <v>45375.0</v>
      </c>
      <c r="C2165" s="97">
        <v>0.034</v>
      </c>
    </row>
    <row r="2166" ht="15.75" customHeight="1">
      <c r="A2166" s="98">
        <v>45347.0</v>
      </c>
      <c r="B2166" s="98">
        <v>45376.0</v>
      </c>
      <c r="C2166" s="97">
        <v>0.034</v>
      </c>
    </row>
    <row r="2167" ht="15.75" customHeight="1">
      <c r="A2167" s="98">
        <v>45348.0</v>
      </c>
      <c r="B2167" s="98">
        <v>45377.0</v>
      </c>
      <c r="C2167" s="97">
        <v>0.0627</v>
      </c>
    </row>
    <row r="2168" ht="15.75" customHeight="1">
      <c r="A2168" s="98">
        <v>45349.0</v>
      </c>
      <c r="B2168" s="98">
        <v>45378.0</v>
      </c>
      <c r="C2168" s="97">
        <v>0.0623</v>
      </c>
    </row>
    <row r="2169" ht="15.75" customHeight="1">
      <c r="A2169" s="98">
        <v>45350.0</v>
      </c>
      <c r="B2169" s="98">
        <v>45379.0</v>
      </c>
      <c r="C2169" s="97">
        <v>0.0612</v>
      </c>
    </row>
    <row r="2170" ht="15.75" customHeight="1">
      <c r="A2170" s="98">
        <v>45351.0</v>
      </c>
      <c r="B2170" s="98">
        <v>45380.0</v>
      </c>
      <c r="C2170" s="97">
        <v>0.062</v>
      </c>
    </row>
    <row r="2171" ht="15.75" customHeight="1">
      <c r="A2171" s="98">
        <v>45352.0</v>
      </c>
      <c r="B2171" s="98">
        <v>45381.0</v>
      </c>
      <c r="C2171" s="97">
        <v>0.0331</v>
      </c>
    </row>
    <row r="2172" ht="15.75" customHeight="1">
      <c r="A2172" s="98">
        <v>45352.0</v>
      </c>
      <c r="B2172" s="98">
        <v>45382.0</v>
      </c>
      <c r="C2172" s="97">
        <v>0.0331</v>
      </c>
    </row>
    <row r="2173" ht="15.75" customHeight="1">
      <c r="A2173" s="98">
        <v>45352.0</v>
      </c>
      <c r="B2173" s="98">
        <v>45383.0</v>
      </c>
      <c r="C2173" s="97">
        <v>0.0331</v>
      </c>
    </row>
    <row r="2174" ht="15.75" customHeight="1">
      <c r="A2174" s="98">
        <v>45353.0</v>
      </c>
      <c r="B2174" s="98">
        <v>45384.0</v>
      </c>
      <c r="C2174" s="97">
        <v>0.03</v>
      </c>
    </row>
    <row r="2175" ht="15.75" customHeight="1">
      <c r="A2175" s="98">
        <v>45354.0</v>
      </c>
      <c r="B2175" s="98">
        <v>45385.0</v>
      </c>
      <c r="C2175" s="97">
        <v>0.0562</v>
      </c>
    </row>
    <row r="2176" ht="15.75" customHeight="1">
      <c r="A2176" s="98">
        <v>45355.0</v>
      </c>
      <c r="B2176" s="98">
        <v>45386.0</v>
      </c>
      <c r="C2176" s="97">
        <v>0.0824</v>
      </c>
    </row>
    <row r="2177" ht="15.75" customHeight="1">
      <c r="A2177" s="98">
        <v>45356.0</v>
      </c>
      <c r="B2177" s="98">
        <v>45387.0</v>
      </c>
      <c r="C2177" s="97">
        <v>0.0812</v>
      </c>
    </row>
    <row r="2178" ht="15.75" customHeight="1">
      <c r="A2178" s="98">
        <v>45357.0</v>
      </c>
      <c r="B2178" s="98">
        <v>45388.0</v>
      </c>
      <c r="C2178" s="97">
        <v>0.078</v>
      </c>
    </row>
    <row r="2179" ht="15.75" customHeight="1">
      <c r="A2179" s="98">
        <v>45358.0</v>
      </c>
      <c r="B2179" s="98">
        <v>45389.0</v>
      </c>
      <c r="C2179" s="97">
        <v>0.0473</v>
      </c>
    </row>
    <row r="2180" ht="15.75" customHeight="1">
      <c r="A2180" s="98">
        <v>45359.0</v>
      </c>
      <c r="B2180" s="98">
        <v>45390.0</v>
      </c>
      <c r="C2180" s="97">
        <v>0.0196</v>
      </c>
    </row>
    <row r="2181" ht="15.75" customHeight="1">
      <c r="A2181" s="98">
        <v>45360.0</v>
      </c>
      <c r="B2181" s="98">
        <v>45391.0</v>
      </c>
      <c r="C2181" s="97">
        <v>0.0548</v>
      </c>
    </row>
    <row r="2182" ht="15.75" customHeight="1">
      <c r="A2182" s="98">
        <v>45361.0</v>
      </c>
      <c r="B2182" s="98">
        <v>45392.0</v>
      </c>
      <c r="C2182" s="97">
        <v>0.0805</v>
      </c>
    </row>
    <row r="2183" ht="15.75" customHeight="1">
      <c r="A2183" s="98">
        <v>45362.0</v>
      </c>
      <c r="B2183" s="98">
        <v>45393.0</v>
      </c>
      <c r="C2183" s="97">
        <v>0.1062</v>
      </c>
    </row>
    <row r="2184" ht="15.75" customHeight="1">
      <c r="A2184" s="98">
        <v>45363.0</v>
      </c>
      <c r="B2184" s="98">
        <v>45394.0</v>
      </c>
      <c r="C2184" s="97">
        <v>0.113</v>
      </c>
    </row>
    <row r="2185" ht="15.75" customHeight="1">
      <c r="A2185" s="98">
        <v>45364.0</v>
      </c>
      <c r="B2185" s="98">
        <v>45395.0</v>
      </c>
      <c r="C2185" s="97">
        <v>0.11</v>
      </c>
    </row>
    <row r="2186" ht="15.75" customHeight="1">
      <c r="A2186" s="98">
        <v>45365.0</v>
      </c>
      <c r="B2186" s="98">
        <v>45396.0</v>
      </c>
      <c r="C2186" s="97">
        <v>0.0821</v>
      </c>
    </row>
    <row r="2187" ht="15.75" customHeight="1">
      <c r="A2187" s="98">
        <v>45366.0</v>
      </c>
      <c r="B2187" s="98">
        <v>45397.0</v>
      </c>
      <c r="C2187" s="97">
        <v>0.0519</v>
      </c>
    </row>
    <row r="2188" ht="15.75" customHeight="1">
      <c r="A2188" s="98">
        <v>45367.0</v>
      </c>
      <c r="B2188" s="98">
        <v>45398.0</v>
      </c>
      <c r="C2188" s="97">
        <v>0.0501</v>
      </c>
    </row>
    <row r="2189" ht="15.75" customHeight="1">
      <c r="A2189" s="98">
        <v>45368.0</v>
      </c>
      <c r="B2189" s="98">
        <v>45399.0</v>
      </c>
      <c r="C2189" s="97">
        <v>0.0759</v>
      </c>
    </row>
    <row r="2190" ht="15.75" customHeight="1">
      <c r="A2190" s="98">
        <v>45369.0</v>
      </c>
      <c r="B2190" s="98">
        <v>45400.0</v>
      </c>
      <c r="C2190" s="97">
        <v>0.1017</v>
      </c>
    </row>
    <row r="2191" ht="15.75" customHeight="1">
      <c r="A2191" s="98">
        <v>45370.0</v>
      </c>
      <c r="B2191" s="98">
        <v>45401.0</v>
      </c>
      <c r="C2191" s="97">
        <v>0.0985</v>
      </c>
    </row>
    <row r="2192" ht="15.75" customHeight="1">
      <c r="A2192" s="98">
        <v>45371.0</v>
      </c>
      <c r="B2192" s="98">
        <v>45402.0</v>
      </c>
      <c r="C2192" s="97">
        <v>0.0935</v>
      </c>
    </row>
    <row r="2193" ht="15.75" customHeight="1">
      <c r="A2193" s="98">
        <v>45372.0</v>
      </c>
      <c r="B2193" s="98">
        <v>45403.0</v>
      </c>
      <c r="C2193" s="97">
        <v>0.0628</v>
      </c>
    </row>
    <row r="2194" ht="15.75" customHeight="1">
      <c r="A2194" s="98">
        <v>45373.0</v>
      </c>
      <c r="B2194" s="98">
        <v>45404.0</v>
      </c>
      <c r="C2194" s="97">
        <v>0.034</v>
      </c>
    </row>
    <row r="2195" ht="15.75" customHeight="1">
      <c r="A2195" s="98">
        <v>45374.0</v>
      </c>
      <c r="B2195" s="98">
        <v>45405.0</v>
      </c>
      <c r="C2195" s="97">
        <v>0.0514</v>
      </c>
    </row>
    <row r="2196" ht="15.75" customHeight="1">
      <c r="A2196" s="98">
        <v>45375.0</v>
      </c>
      <c r="B2196" s="98">
        <v>45406.0</v>
      </c>
      <c r="C2196" s="97">
        <v>0.0869</v>
      </c>
    </row>
    <row r="2197" ht="15.75" customHeight="1">
      <c r="A2197" s="98">
        <v>45376.0</v>
      </c>
      <c r="B2197" s="98">
        <v>45407.0</v>
      </c>
      <c r="C2197" s="97">
        <v>0.1125</v>
      </c>
    </row>
    <row r="2198" ht="15.75" customHeight="1">
      <c r="A2198" s="98">
        <v>45377.0</v>
      </c>
      <c r="B2198" s="98">
        <v>45408.0</v>
      </c>
      <c r="C2198" s="97">
        <v>0.11</v>
      </c>
    </row>
    <row r="2199" ht="15.75" customHeight="1">
      <c r="A2199" s="98">
        <v>45378.0</v>
      </c>
      <c r="B2199" s="98">
        <v>45409.0</v>
      </c>
      <c r="C2199" s="97">
        <v>0.1061</v>
      </c>
    </row>
    <row r="2200" ht="15.75" customHeight="1">
      <c r="A2200" s="98">
        <v>45379.0</v>
      </c>
      <c r="B2200" s="98">
        <v>45410.0</v>
      </c>
      <c r="C2200" s="97">
        <v>0.0785</v>
      </c>
    </row>
    <row r="2201" ht="15.75" customHeight="1">
      <c r="A2201" s="98">
        <v>45380.0</v>
      </c>
      <c r="B2201" s="98">
        <v>45411.0</v>
      </c>
      <c r="C2201" s="97">
        <v>0.0515</v>
      </c>
    </row>
    <row r="2202" ht="15.75" customHeight="1">
      <c r="A2202" s="98">
        <v>45381.0</v>
      </c>
      <c r="B2202" s="98">
        <v>45412.0</v>
      </c>
      <c r="C2202" s="97">
        <v>0.0769</v>
      </c>
    </row>
    <row r="2203" ht="15.75" customHeight="1">
      <c r="A2203" s="98">
        <v>45382.0</v>
      </c>
      <c r="B2203" s="98">
        <v>45413.0</v>
      </c>
      <c r="C2203" s="97">
        <v>0.1023</v>
      </c>
    </row>
    <row r="2204" ht="15.75" customHeight="1">
      <c r="A2204" s="98">
        <v>45383.0</v>
      </c>
      <c r="B2204" s="98">
        <v>45413.0</v>
      </c>
      <c r="C2204" s="97">
        <v>0.1023</v>
      </c>
    </row>
    <row r="2205" ht="15.75" customHeight="1">
      <c r="A2205" s="98">
        <v>45384.0</v>
      </c>
      <c r="B2205" s="98">
        <v>45414.0</v>
      </c>
      <c r="C2205" s="97">
        <v>0.0857</v>
      </c>
    </row>
    <row r="2206" ht="15.75" customHeight="1">
      <c r="A2206" s="98">
        <v>45385.0</v>
      </c>
      <c r="B2206" s="98">
        <v>45415.0</v>
      </c>
      <c r="C2206" s="97">
        <v>0.085</v>
      </c>
    </row>
    <row r="2207" ht="15.75" customHeight="1">
      <c r="A2207" s="98">
        <v>45386.0</v>
      </c>
      <c r="B2207" s="98">
        <v>45416.0</v>
      </c>
      <c r="C2207" s="97">
        <v>0.0807</v>
      </c>
    </row>
    <row r="2208" ht="15.75" customHeight="1">
      <c r="A2208" s="98">
        <v>45387.0</v>
      </c>
      <c r="B2208" s="98">
        <v>45417.0</v>
      </c>
      <c r="C2208" s="97">
        <v>0.0462</v>
      </c>
    </row>
    <row r="2209" ht="15.75" customHeight="1">
      <c r="A2209" s="98">
        <v>45388.0</v>
      </c>
      <c r="B2209" s="98">
        <v>45418.0</v>
      </c>
      <c r="C2209" s="97">
        <v>0.0227</v>
      </c>
    </row>
    <row r="2210" ht="15.75" customHeight="1">
      <c r="A2210" s="98">
        <v>45389.0</v>
      </c>
      <c r="B2210" s="98">
        <v>45419.0</v>
      </c>
      <c r="C2210" s="97">
        <v>0.0486</v>
      </c>
    </row>
    <row r="2211" ht="15.75" customHeight="1">
      <c r="A2211" s="98">
        <v>45390.0</v>
      </c>
      <c r="B2211" s="98">
        <v>45420.0</v>
      </c>
      <c r="C2211" s="97">
        <v>0.0843</v>
      </c>
    </row>
    <row r="2212" ht="15.75" customHeight="1">
      <c r="A2212" s="98">
        <v>45391.0</v>
      </c>
      <c r="B2212" s="98">
        <v>45421.0</v>
      </c>
      <c r="C2212" s="97">
        <v>0.084</v>
      </c>
    </row>
    <row r="2213" ht="15.75" customHeight="1">
      <c r="A2213" s="98">
        <v>45392.0</v>
      </c>
      <c r="B2213" s="98">
        <v>45422.0</v>
      </c>
      <c r="C2213" s="97">
        <v>0.0836</v>
      </c>
    </row>
    <row r="2214" ht="15.75" customHeight="1">
      <c r="A2214" s="98">
        <v>45393.0</v>
      </c>
      <c r="B2214" s="98">
        <v>45423.0</v>
      </c>
      <c r="C2214" s="97">
        <v>0.0808</v>
      </c>
    </row>
    <row r="2215" ht="15.75" customHeight="1">
      <c r="A2215" s="98">
        <v>45394.0</v>
      </c>
      <c r="B2215" s="98">
        <v>45424.0</v>
      </c>
      <c r="C2215" s="97">
        <v>0.0569</v>
      </c>
    </row>
    <row r="2216" ht="15.75" customHeight="1">
      <c r="A2216" s="98">
        <v>45395.0</v>
      </c>
      <c r="B2216" s="98">
        <v>45425.0</v>
      </c>
      <c r="C2216" s="97">
        <v>0.0211</v>
      </c>
    </row>
    <row r="2217" ht="15.75" customHeight="1">
      <c r="A2217" s="98">
        <v>45396.0</v>
      </c>
      <c r="B2217" s="98">
        <v>45426.0</v>
      </c>
      <c r="C2217" s="97">
        <v>0.0567</v>
      </c>
    </row>
    <row r="2218" ht="15.75" customHeight="1">
      <c r="A2218" s="98">
        <v>45397.0</v>
      </c>
      <c r="B2218" s="98">
        <v>45427.0</v>
      </c>
      <c r="C2218" s="97">
        <v>0.0824</v>
      </c>
    </row>
    <row r="2219" ht="15.75" customHeight="1">
      <c r="A2219" s="98">
        <v>45398.0</v>
      </c>
      <c r="B2219" s="98">
        <v>45428.0</v>
      </c>
      <c r="C2219" s="97">
        <v>0.0844</v>
      </c>
    </row>
    <row r="2220" ht="15.75" customHeight="1">
      <c r="A2220" s="98">
        <v>45399.0</v>
      </c>
      <c r="B2220" s="98">
        <v>45429.0</v>
      </c>
      <c r="C2220" s="97">
        <v>0.0599</v>
      </c>
    </row>
    <row r="2221" ht="15.75" customHeight="1">
      <c r="A2221" s="98">
        <v>45400.0</v>
      </c>
      <c r="B2221" s="98">
        <v>45430.0</v>
      </c>
      <c r="C2221" s="97">
        <v>0.0672</v>
      </c>
    </row>
    <row r="2222" ht="15.75" customHeight="1">
      <c r="A2222" s="98">
        <v>45401.0</v>
      </c>
      <c r="B2222" s="98">
        <v>45431.0</v>
      </c>
      <c r="C2222" s="97">
        <v>0.0362</v>
      </c>
    </row>
    <row r="2223" ht="15.75" customHeight="1">
      <c r="A2223" s="98">
        <v>45402.0</v>
      </c>
      <c r="B2223" s="98">
        <v>45432.0</v>
      </c>
      <c r="C2223" s="97">
        <v>0.0101</v>
      </c>
    </row>
    <row r="2224" ht="15.75" customHeight="1">
      <c r="A2224" s="98">
        <v>45403.0</v>
      </c>
      <c r="B2224" s="98">
        <v>45433.0</v>
      </c>
      <c r="C2224" s="97">
        <v>0.0363</v>
      </c>
    </row>
    <row r="2225" ht="15.75" customHeight="1">
      <c r="A2225" s="98">
        <v>45404.0</v>
      </c>
      <c r="B2225" s="98">
        <v>45434.0</v>
      </c>
      <c r="C2225" s="97">
        <v>0.0626</v>
      </c>
    </row>
    <row r="2226" ht="15.75" customHeight="1">
      <c r="A2226" s="98">
        <v>45405.0</v>
      </c>
      <c r="B2226" s="98">
        <v>45435.0</v>
      </c>
      <c r="C2226" s="97">
        <v>0.0605</v>
      </c>
    </row>
    <row r="2227" ht="15.75" customHeight="1">
      <c r="A2227" s="98">
        <v>45406.0</v>
      </c>
      <c r="B2227" s="98">
        <v>45436.0</v>
      </c>
      <c r="C2227" s="97">
        <v>0.0627</v>
      </c>
    </row>
    <row r="2228" ht="15.75" customHeight="1">
      <c r="A2228" s="98">
        <v>45407.0</v>
      </c>
      <c r="B2228" s="98">
        <v>45437.0</v>
      </c>
      <c r="C2228" s="97">
        <v>0.0621</v>
      </c>
    </row>
    <row r="2229" ht="15.75" customHeight="1">
      <c r="A2229" s="98">
        <v>45408.0</v>
      </c>
      <c r="B2229" s="98">
        <v>45438.0</v>
      </c>
      <c r="C2229" s="97">
        <v>0.0365</v>
      </c>
    </row>
    <row r="2230" ht="15.75" customHeight="1">
      <c r="A2230" s="98">
        <v>45409.0</v>
      </c>
      <c r="B2230" s="98">
        <v>45439.0</v>
      </c>
      <c r="C2230" s="97">
        <v>0.0088</v>
      </c>
    </row>
    <row r="2231" ht="15.75" customHeight="1">
      <c r="A2231" s="98">
        <v>45410.0</v>
      </c>
      <c r="B2231" s="98">
        <v>45440.0</v>
      </c>
      <c r="C2231" s="97">
        <v>0.035</v>
      </c>
    </row>
    <row r="2232" ht="15.75" customHeight="1">
      <c r="A2232" s="98">
        <v>45411.0</v>
      </c>
      <c r="B2232" s="98">
        <v>45441.0</v>
      </c>
      <c r="C2232" s="97">
        <v>0.0611</v>
      </c>
    </row>
    <row r="2233" ht="15.75" customHeight="1">
      <c r="A2233" s="98">
        <v>45412.0</v>
      </c>
      <c r="B2233" s="98">
        <v>45442.0</v>
      </c>
      <c r="C2233" s="97">
        <v>0.059</v>
      </c>
    </row>
    <row r="2234" ht="15.75" customHeight="1">
      <c r="A2234" s="98">
        <v>45413.0</v>
      </c>
      <c r="B2234" s="98">
        <v>45443.0</v>
      </c>
      <c r="C2234" s="97">
        <v>0.0512</v>
      </c>
    </row>
    <row r="2235" ht="15.75" customHeight="1">
      <c r="A2235" s="98">
        <v>45413.0</v>
      </c>
      <c r="B2235" s="98">
        <v>45444.0</v>
      </c>
      <c r="C2235" s="97">
        <v>0.087</v>
      </c>
    </row>
    <row r="2236" ht="15.75" customHeight="1">
      <c r="A2236" s="98">
        <v>45414.0</v>
      </c>
      <c r="B2236" s="98">
        <v>45445.0</v>
      </c>
      <c r="C2236" s="97">
        <v>0.087</v>
      </c>
    </row>
    <row r="2237" ht="15.75" customHeight="1">
      <c r="A2237" s="98">
        <v>45415.0</v>
      </c>
      <c r="B2237" s="98">
        <v>45446.0</v>
      </c>
      <c r="C2237" s="97">
        <v>0.0521</v>
      </c>
    </row>
    <row r="2238" ht="15.75" customHeight="1">
      <c r="A2238" s="98">
        <v>45416.0</v>
      </c>
      <c r="B2238" s="98">
        <v>45447.0</v>
      </c>
      <c r="C2238" s="97">
        <v>0.0487</v>
      </c>
    </row>
    <row r="2239" ht="15.75" customHeight="1">
      <c r="A2239" s="98">
        <v>45417.0</v>
      </c>
      <c r="B2239" s="98">
        <v>45448.0</v>
      </c>
      <c r="C2239" s="97">
        <v>0.0844</v>
      </c>
    </row>
    <row r="2240" ht="15.75" customHeight="1">
      <c r="A2240" s="98">
        <v>45418.0</v>
      </c>
      <c r="B2240" s="98">
        <v>45449.0</v>
      </c>
      <c r="C2240" s="97">
        <v>0.1103</v>
      </c>
    </row>
    <row r="2241" ht="15.75" customHeight="1">
      <c r="A2241" s="98">
        <v>45419.0</v>
      </c>
      <c r="B2241" s="98">
        <v>45450.0</v>
      </c>
      <c r="C2241" s="97">
        <v>0.1082</v>
      </c>
    </row>
    <row r="2242" ht="15.75" customHeight="1">
      <c r="A2242" s="98">
        <v>45420.0</v>
      </c>
      <c r="B2242" s="98">
        <v>45451.0</v>
      </c>
      <c r="C2242" s="97">
        <v>0.106</v>
      </c>
    </row>
    <row r="2243" ht="15.75" customHeight="1">
      <c r="A2243" s="98">
        <v>45421.0</v>
      </c>
      <c r="B2243" s="98">
        <v>45452.0</v>
      </c>
      <c r="C2243" s="97">
        <v>0.0834</v>
      </c>
    </row>
    <row r="2244" ht="15.75" customHeight="1">
      <c r="A2244" s="98">
        <v>45422.0</v>
      </c>
      <c r="B2244" s="98">
        <v>45453.0</v>
      </c>
      <c r="C2244" s="97">
        <v>0.0488</v>
      </c>
    </row>
    <row r="2245" ht="15.75" customHeight="1">
      <c r="A2245" s="98">
        <v>45423.0</v>
      </c>
      <c r="B2245" s="98">
        <v>45454.0</v>
      </c>
      <c r="C2245" s="97">
        <v>0.0342</v>
      </c>
    </row>
    <row r="2246" ht="15.75" customHeight="1">
      <c r="A2246" s="98">
        <v>45424.0</v>
      </c>
      <c r="B2246" s="98">
        <v>45455.0</v>
      </c>
      <c r="C2246" s="97">
        <v>0.0604</v>
      </c>
    </row>
    <row r="2247" ht="15.75" customHeight="1">
      <c r="A2247" s="98">
        <v>45425.0</v>
      </c>
      <c r="B2247" s="98">
        <v>45456.0</v>
      </c>
      <c r="C2247" s="97">
        <v>0.0865</v>
      </c>
    </row>
    <row r="2248" ht="15.75" customHeight="1">
      <c r="A2248" s="98">
        <v>45426.0</v>
      </c>
      <c r="B2248" s="98">
        <v>45457.0</v>
      </c>
      <c r="C2248" s="97">
        <v>0.0885</v>
      </c>
    </row>
    <row r="2249" ht="15.75" customHeight="1">
      <c r="A2249" s="98">
        <v>45427.0</v>
      </c>
      <c r="B2249" s="98">
        <v>45458.0</v>
      </c>
      <c r="C2249" s="97">
        <v>0.1143</v>
      </c>
    </row>
    <row r="2250" ht="15.75" customHeight="1">
      <c r="A2250" s="98">
        <v>45428.0</v>
      </c>
      <c r="B2250" s="98">
        <v>45459.0</v>
      </c>
      <c r="C2250" s="97">
        <v>0.0643</v>
      </c>
    </row>
    <row r="2251" ht="15.75" customHeight="1">
      <c r="A2251" s="98">
        <v>45429.0</v>
      </c>
      <c r="B2251" s="98">
        <v>45460.0</v>
      </c>
      <c r="C2251" s="97">
        <v>0.0385</v>
      </c>
    </row>
    <row r="2252" ht="15.75" customHeight="1">
      <c r="A2252" s="98">
        <v>45430.0</v>
      </c>
      <c r="B2252" s="98">
        <v>45461.0</v>
      </c>
      <c r="C2252" s="97">
        <v>0.0382</v>
      </c>
    </row>
    <row r="2253" ht="15.75" customHeight="1">
      <c r="A2253" s="98">
        <v>45431.0</v>
      </c>
      <c r="B2253" s="98">
        <v>45462.0</v>
      </c>
      <c r="C2253" s="97">
        <v>0.0646</v>
      </c>
    </row>
    <row r="2254" ht="15.75" customHeight="1">
      <c r="A2254" s="98">
        <v>45432.0</v>
      </c>
      <c r="B2254" s="98">
        <v>45463.0</v>
      </c>
      <c r="C2254" s="97">
        <v>0.0911</v>
      </c>
    </row>
    <row r="2255" ht="15.75" customHeight="1">
      <c r="A2255" s="98">
        <v>45433.0</v>
      </c>
      <c r="B2255" s="98">
        <v>45464.0</v>
      </c>
      <c r="C2255" s="97">
        <v>0.0921</v>
      </c>
    </row>
    <row r="2256" ht="15.75" customHeight="1">
      <c r="A2256" s="98">
        <v>45434.0</v>
      </c>
      <c r="B2256" s="98">
        <v>45465.0</v>
      </c>
      <c r="C2256" s="97">
        <v>0.0904</v>
      </c>
    </row>
    <row r="2257" ht="15.75" customHeight="1">
      <c r="A2257" s="98">
        <v>45435.0</v>
      </c>
      <c r="B2257" s="98">
        <v>45466.0</v>
      </c>
      <c r="C2257" s="97">
        <v>0.064</v>
      </c>
    </row>
    <row r="2258" ht="15.75" customHeight="1">
      <c r="A2258" s="98">
        <v>45436.0</v>
      </c>
      <c r="B2258" s="98">
        <v>45467.0</v>
      </c>
      <c r="C2258" s="97">
        <v>0.0394</v>
      </c>
    </row>
    <row r="2259" ht="15.75" customHeight="1">
      <c r="A2259" s="98">
        <v>45437.0</v>
      </c>
      <c r="B2259" s="98">
        <v>45468.0</v>
      </c>
      <c r="C2259" s="97">
        <v>0.0416</v>
      </c>
    </row>
    <row r="2260" ht="15.75" customHeight="1">
      <c r="A2260" s="98">
        <v>45438.0</v>
      </c>
      <c r="B2260" s="98">
        <v>45469.0</v>
      </c>
      <c r="C2260" s="97">
        <v>0.0682</v>
      </c>
    </row>
    <row r="2261" ht="15.75" customHeight="1">
      <c r="A2261" s="98">
        <v>45439.0</v>
      </c>
      <c r="B2261" s="98">
        <v>45470.0</v>
      </c>
      <c r="C2261" s="97">
        <v>0.0947</v>
      </c>
    </row>
    <row r="2262" ht="15.75" customHeight="1">
      <c r="A2262" s="98">
        <v>45440.0</v>
      </c>
      <c r="B2262" s="98">
        <v>45471.0</v>
      </c>
      <c r="C2262" s="97">
        <v>0.0909</v>
      </c>
    </row>
    <row r="2263" ht="15.75" customHeight="1">
      <c r="A2263" s="98">
        <v>45441.0</v>
      </c>
      <c r="B2263" s="98">
        <v>45472.0</v>
      </c>
      <c r="C2263" s="97">
        <v>0.0892</v>
      </c>
    </row>
    <row r="2264" ht="15.75" customHeight="1">
      <c r="A2264" s="98">
        <v>45442.0</v>
      </c>
      <c r="B2264" s="98">
        <v>45473.0</v>
      </c>
      <c r="C2264" s="97">
        <v>0.0631</v>
      </c>
    </row>
    <row r="2265" ht="15.75" customHeight="1">
      <c r="A2265" s="98">
        <v>45443.0</v>
      </c>
      <c r="B2265" s="98">
        <v>45474.0</v>
      </c>
      <c r="C2265" s="97">
        <v>0.0631</v>
      </c>
    </row>
    <row r="2266" ht="15.75" customHeight="1">
      <c r="A2266" s="98">
        <v>45444.0</v>
      </c>
      <c r="B2266" s="98">
        <v>45474.0</v>
      </c>
      <c r="C2266" s="97">
        <v>0.0365</v>
      </c>
    </row>
    <row r="2267" ht="15.75" customHeight="1">
      <c r="A2267" s="98">
        <v>45445.0</v>
      </c>
      <c r="B2267" s="98">
        <v>45475.0</v>
      </c>
      <c r="C2267" s="97">
        <v>0.0626</v>
      </c>
    </row>
    <row r="2268" ht="15.75" customHeight="1">
      <c r="A2268" s="98">
        <v>45446.0</v>
      </c>
      <c r="B2268" s="98">
        <v>45476.0</v>
      </c>
      <c r="C2268" s="97">
        <v>0.0887</v>
      </c>
    </row>
    <row r="2269" ht="15.75" customHeight="1">
      <c r="A2269" s="98">
        <v>45447.0</v>
      </c>
      <c r="B2269" s="98">
        <v>45477.0</v>
      </c>
      <c r="C2269" s="97">
        <v>0.0857</v>
      </c>
    </row>
    <row r="2270" ht="15.75" customHeight="1">
      <c r="A2270" s="98">
        <v>45448.0</v>
      </c>
      <c r="B2270" s="98">
        <v>45478.0</v>
      </c>
      <c r="C2270" s="97">
        <v>0.0849</v>
      </c>
    </row>
    <row r="2271" ht="15.75" customHeight="1">
      <c r="A2271" s="98">
        <v>45449.0</v>
      </c>
      <c r="B2271" s="98">
        <v>45479.0</v>
      </c>
      <c r="C2271" s="97">
        <v>0.1133</v>
      </c>
    </row>
    <row r="2272" ht="15.75" customHeight="1">
      <c r="A2272" s="98">
        <v>45450.0</v>
      </c>
      <c r="B2272" s="98">
        <v>45480.0</v>
      </c>
      <c r="C2272" s="97">
        <v>0.0603</v>
      </c>
    </row>
    <row r="2273" ht="15.75" customHeight="1">
      <c r="A2273" s="98">
        <v>45451.0</v>
      </c>
      <c r="B2273" s="98">
        <v>45481.0</v>
      </c>
      <c r="C2273" s="97">
        <v>0.0391</v>
      </c>
    </row>
    <row r="2274" ht="15.75" customHeight="1">
      <c r="A2274" s="98">
        <v>45452.0</v>
      </c>
      <c r="B2274" s="98">
        <v>45482.0</v>
      </c>
      <c r="C2274" s="97">
        <v>0.0655</v>
      </c>
    </row>
    <row r="2275" ht="15.75" customHeight="1">
      <c r="A2275" s="98">
        <v>45453.0</v>
      </c>
      <c r="B2275" s="98">
        <v>45483.0</v>
      </c>
      <c r="C2275" s="97">
        <v>0.092</v>
      </c>
    </row>
    <row r="2276" ht="15.75" customHeight="1">
      <c r="A2276" s="98">
        <v>45454.0</v>
      </c>
      <c r="B2276" s="98">
        <v>45484.0</v>
      </c>
      <c r="C2276" s="97">
        <v>0.0883</v>
      </c>
    </row>
    <row r="2277" ht="15.75" customHeight="1">
      <c r="A2277" s="98">
        <v>45455.0</v>
      </c>
      <c r="B2277" s="98">
        <v>45485.0</v>
      </c>
      <c r="C2277" s="97">
        <v>0.0963</v>
      </c>
    </row>
    <row r="2278" ht="15.75" customHeight="1">
      <c r="A2278" s="98">
        <v>45456.0</v>
      </c>
      <c r="B2278" s="98">
        <v>45486.0</v>
      </c>
      <c r="C2278" s="97">
        <v>0.0945</v>
      </c>
    </row>
    <row r="2279" ht="15.75" customHeight="1">
      <c r="A2279" s="98">
        <v>45457.0</v>
      </c>
      <c r="B2279" s="98">
        <v>45487.0</v>
      </c>
      <c r="C2279" s="97">
        <v>0.0676</v>
      </c>
    </row>
    <row r="2280" ht="15.75" customHeight="1">
      <c r="A2280" s="98">
        <v>45458.0</v>
      </c>
      <c r="B2280" s="98">
        <v>45488.0</v>
      </c>
      <c r="C2280" s="97">
        <v>0.0399</v>
      </c>
    </row>
    <row r="2281" ht="15.75" customHeight="1">
      <c r="A2281" s="98">
        <v>45459.0</v>
      </c>
      <c r="B2281" s="98">
        <v>45489.0</v>
      </c>
      <c r="C2281" s="97">
        <v>0.066</v>
      </c>
    </row>
    <row r="2282" ht="15.75" customHeight="1">
      <c r="A2282" s="98">
        <v>45460.0</v>
      </c>
      <c r="B2282" s="98">
        <v>45490.0</v>
      </c>
      <c r="C2282" s="97">
        <v>0.0922</v>
      </c>
    </row>
    <row r="2283" ht="15.75" customHeight="1">
      <c r="A2283" s="98">
        <v>45461.0</v>
      </c>
      <c r="B2283" s="98">
        <v>45491.0</v>
      </c>
      <c r="C2283" s="97">
        <v>0.092</v>
      </c>
    </row>
    <row r="2284" ht="15.75" customHeight="1">
      <c r="A2284" s="98">
        <v>45462.0</v>
      </c>
      <c r="B2284" s="98">
        <v>45492.0</v>
      </c>
      <c r="C2284" s="97">
        <v>0.0936</v>
      </c>
    </row>
    <row r="2285" ht="15.75" customHeight="1">
      <c r="A2285" s="98">
        <v>45463.0</v>
      </c>
      <c r="B2285" s="98">
        <v>45493.0</v>
      </c>
      <c r="C2285" s="97">
        <v>0.0956</v>
      </c>
    </row>
    <row r="2286" ht="15.75" customHeight="1">
      <c r="A2286" s="98">
        <v>45464.0</v>
      </c>
      <c r="B2286" s="98">
        <v>45494.0</v>
      </c>
      <c r="C2286" s="97">
        <v>0.0653</v>
      </c>
    </row>
    <row r="2287" ht="15.75" customHeight="1">
      <c r="A2287" s="98">
        <v>45465.0</v>
      </c>
      <c r="B2287" s="98">
        <v>45495.0</v>
      </c>
      <c r="C2287" s="97">
        <v>0.0389</v>
      </c>
    </row>
    <row r="2288" ht="15.75" customHeight="1">
      <c r="A2288" s="98">
        <v>45466.0</v>
      </c>
      <c r="B2288" s="98">
        <v>45496.0</v>
      </c>
      <c r="C2288" s="97">
        <v>0.0652</v>
      </c>
    </row>
    <row r="2289" ht="15.75" customHeight="1">
      <c r="A2289" s="98">
        <v>45467.0</v>
      </c>
      <c r="B2289" s="98">
        <v>45497.0</v>
      </c>
      <c r="C2289" s="97">
        <v>0.0915</v>
      </c>
    </row>
    <row r="2290" ht="15.75" customHeight="1">
      <c r="A2290" s="98">
        <v>45468.0</v>
      </c>
      <c r="B2290" s="98">
        <v>45498.0</v>
      </c>
      <c r="C2290" s="97">
        <v>0.0894</v>
      </c>
    </row>
    <row r="2291" ht="15.75" customHeight="1">
      <c r="A2291" s="98">
        <v>45469.0</v>
      </c>
      <c r="B2291" s="98">
        <v>45499.0</v>
      </c>
      <c r="C2291" s="97">
        <v>0.0906</v>
      </c>
    </row>
    <row r="2292" ht="15.75" customHeight="1">
      <c r="A2292" s="98">
        <v>45470.0</v>
      </c>
      <c r="B2292" s="98">
        <v>45500.0</v>
      </c>
      <c r="C2292" s="97">
        <v>0.0916</v>
      </c>
    </row>
    <row r="2293" ht="15.75" customHeight="1">
      <c r="A2293" s="98">
        <v>45471.0</v>
      </c>
      <c r="B2293" s="98">
        <v>45501.0</v>
      </c>
      <c r="C2293" s="97">
        <v>0.0686</v>
      </c>
    </row>
    <row r="2294" ht="15.75" customHeight="1">
      <c r="A2294" s="98">
        <v>45472.0</v>
      </c>
      <c r="B2294" s="98">
        <v>45502.0</v>
      </c>
      <c r="C2294" s="97">
        <v>0.0399</v>
      </c>
    </row>
    <row r="2295" ht="15.75" customHeight="1">
      <c r="A2295" s="98">
        <v>45473.0</v>
      </c>
      <c r="B2295" s="98">
        <v>45503.0</v>
      </c>
      <c r="C2295" s="97">
        <v>0.0664</v>
      </c>
    </row>
    <row r="2296" ht="15.75" customHeight="1">
      <c r="A2296" s="98">
        <v>45474.0</v>
      </c>
      <c r="B2296" s="98">
        <v>45504.0</v>
      </c>
      <c r="C2296" s="97">
        <v>0.0703</v>
      </c>
    </row>
    <row r="2297" ht="15.75" customHeight="1">
      <c r="A2297" s="98">
        <v>45474.0</v>
      </c>
      <c r="B2297" s="98">
        <v>45505.0</v>
      </c>
      <c r="C2297" s="97">
        <v>0.0739</v>
      </c>
    </row>
    <row r="2298" ht="15.75" customHeight="1">
      <c r="A2298" s="98">
        <v>45475.0</v>
      </c>
      <c r="B2298" s="98">
        <v>45506.0</v>
      </c>
      <c r="C2298" s="97">
        <v>0.074</v>
      </c>
    </row>
    <row r="2299" ht="15.75" customHeight="1">
      <c r="A2299" s="98">
        <v>45476.0</v>
      </c>
      <c r="B2299" s="98">
        <v>45507.0</v>
      </c>
      <c r="C2299" s="97">
        <v>0.0742</v>
      </c>
    </row>
    <row r="2300" ht="15.75" customHeight="1">
      <c r="A2300" s="98">
        <v>45477.0</v>
      </c>
      <c r="B2300" s="98">
        <v>45508.0</v>
      </c>
      <c r="C2300" s="97">
        <v>0.0703</v>
      </c>
    </row>
    <row r="2301" ht="15.75" customHeight="1">
      <c r="A2301" s="98">
        <v>45478.0</v>
      </c>
      <c r="B2301" s="98">
        <v>45509.0</v>
      </c>
      <c r="C2301" s="97">
        <v>0.0669</v>
      </c>
    </row>
    <row r="2302" ht="15.75" customHeight="1">
      <c r="A2302" s="98">
        <v>45479.0</v>
      </c>
      <c r="B2302" s="98">
        <v>45510.0</v>
      </c>
      <c r="C2302" s="97">
        <v>0.0668</v>
      </c>
    </row>
    <row r="2303" ht="15.75" customHeight="1">
      <c r="A2303" s="98">
        <v>45480.0</v>
      </c>
      <c r="B2303" s="98">
        <v>45511.0</v>
      </c>
      <c r="C2303" s="97">
        <v>0.0705</v>
      </c>
    </row>
    <row r="2304" ht="15.75" customHeight="1">
      <c r="A2304" s="98">
        <v>45481.0</v>
      </c>
      <c r="B2304" s="98">
        <v>45512.0</v>
      </c>
      <c r="C2304" s="97">
        <v>0.0742</v>
      </c>
    </row>
    <row r="2305" ht="15.75" customHeight="1">
      <c r="A2305" s="98">
        <v>45482.0</v>
      </c>
      <c r="B2305" s="98">
        <v>45513.0</v>
      </c>
      <c r="C2305" s="97">
        <v>0.0744</v>
      </c>
    </row>
    <row r="2306" ht="15.75" customHeight="1">
      <c r="A2306" s="98">
        <v>45483.0</v>
      </c>
      <c r="B2306" s="98">
        <v>45514.0</v>
      </c>
      <c r="C2306" s="97">
        <v>0.0748</v>
      </c>
    </row>
    <row r="2307" ht="15.75" customHeight="1">
      <c r="A2307" s="98">
        <v>45484.0</v>
      </c>
      <c r="B2307" s="98">
        <v>45515.0</v>
      </c>
      <c r="C2307" s="97">
        <v>0.0707</v>
      </c>
    </row>
    <row r="2308" ht="15.75" customHeight="1">
      <c r="A2308" s="98">
        <v>45485.0</v>
      </c>
      <c r="B2308" s="98">
        <v>45516.0</v>
      </c>
      <c r="C2308" s="97">
        <v>0.067</v>
      </c>
    </row>
    <row r="2309" ht="15.75" customHeight="1">
      <c r="A2309" s="98">
        <v>45486.0</v>
      </c>
      <c r="B2309" s="98">
        <v>45517.0</v>
      </c>
      <c r="C2309" s="97">
        <v>0.067</v>
      </c>
    </row>
    <row r="2310" ht="15.75" customHeight="1">
      <c r="A2310" s="98">
        <v>45487.0</v>
      </c>
      <c r="B2310" s="98">
        <v>45518.0</v>
      </c>
      <c r="C2310" s="97">
        <v>0.0707</v>
      </c>
    </row>
    <row r="2311" ht="15.75" customHeight="1">
      <c r="A2311" s="98">
        <v>45488.0</v>
      </c>
      <c r="B2311" s="98">
        <v>45519.0</v>
      </c>
      <c r="C2311" s="97">
        <v>0.0744</v>
      </c>
    </row>
    <row r="2312" ht="15.75" customHeight="1">
      <c r="A2312" s="98">
        <v>45489.0</v>
      </c>
      <c r="B2312" s="98">
        <v>45520.0</v>
      </c>
      <c r="C2312" s="97">
        <v>0.0744</v>
      </c>
    </row>
    <row r="2313" ht="15.75" customHeight="1">
      <c r="A2313" s="98">
        <v>45490.0</v>
      </c>
      <c r="B2313" s="98">
        <v>45521.0</v>
      </c>
      <c r="C2313" s="97">
        <v>0.0745</v>
      </c>
    </row>
    <row r="2314" ht="15.75" customHeight="1">
      <c r="A2314" s="98">
        <v>45491.0</v>
      </c>
      <c r="B2314" s="98">
        <v>45522.0</v>
      </c>
      <c r="C2314" s="97">
        <v>0.0709</v>
      </c>
    </row>
    <row r="2315" ht="15.75" customHeight="1">
      <c r="A2315" s="98">
        <v>45492.0</v>
      </c>
      <c r="B2315" s="98">
        <v>45523.0</v>
      </c>
      <c r="C2315" s="97">
        <v>0.0671</v>
      </c>
    </row>
    <row r="2316" ht="15.75" customHeight="1">
      <c r="A2316" s="98">
        <v>45493.0</v>
      </c>
      <c r="B2316" s="98">
        <v>45524.0</v>
      </c>
      <c r="C2316" s="97">
        <v>0.0671</v>
      </c>
    </row>
    <row r="2317" ht="15.75" customHeight="1">
      <c r="A2317" s="98">
        <v>45494.0</v>
      </c>
      <c r="B2317" s="98">
        <v>45525.0</v>
      </c>
      <c r="C2317" s="97">
        <v>0.0708</v>
      </c>
    </row>
    <row r="2318" ht="15.75" customHeight="1">
      <c r="A2318" s="98">
        <v>45495.0</v>
      </c>
      <c r="B2318" s="98">
        <v>45526.0</v>
      </c>
      <c r="C2318" s="97">
        <v>0.0745</v>
      </c>
    </row>
    <row r="2319" ht="15.75" customHeight="1">
      <c r="A2319" s="98">
        <v>45496.0</v>
      </c>
      <c r="B2319" s="98">
        <v>45527.0</v>
      </c>
      <c r="C2319" s="97">
        <v>0.0745</v>
      </c>
    </row>
    <row r="2320" ht="15.75" customHeight="1">
      <c r="A2320" s="98">
        <v>45497.0</v>
      </c>
      <c r="B2320" s="98">
        <v>45528.0</v>
      </c>
      <c r="C2320" s="97">
        <v>0.0754</v>
      </c>
    </row>
    <row r="2321" ht="15.75" customHeight="1">
      <c r="A2321" s="98">
        <v>45498.0</v>
      </c>
      <c r="B2321" s="98">
        <v>45529.0</v>
      </c>
      <c r="C2321" s="97">
        <v>0.071</v>
      </c>
    </row>
    <row r="2322" ht="15.75" customHeight="1">
      <c r="A2322" s="98">
        <v>45499.0</v>
      </c>
      <c r="B2322" s="98">
        <v>45530.0</v>
      </c>
      <c r="C2322" s="97">
        <v>0.0673</v>
      </c>
    </row>
    <row r="2323" ht="15.75" customHeight="1">
      <c r="A2323" s="98">
        <v>45500.0</v>
      </c>
      <c r="B2323" s="98">
        <v>45531.0</v>
      </c>
      <c r="C2323" s="97">
        <v>0.0671</v>
      </c>
    </row>
    <row r="2324" ht="15.75" customHeight="1">
      <c r="A2324" s="98">
        <v>45501.0</v>
      </c>
      <c r="B2324" s="98">
        <v>45532.0</v>
      </c>
      <c r="C2324" s="97">
        <v>0.0708</v>
      </c>
    </row>
    <row r="2325" ht="15.75" customHeight="1">
      <c r="A2325" s="98">
        <v>45502.0</v>
      </c>
      <c r="B2325" s="98">
        <v>45533.0</v>
      </c>
      <c r="C2325" s="97">
        <v>0.0745</v>
      </c>
    </row>
    <row r="2326" ht="15.75" customHeight="1">
      <c r="A2326" s="98">
        <v>45503.0</v>
      </c>
      <c r="B2326" s="98">
        <v>45534.0</v>
      </c>
      <c r="C2326" s="97">
        <v>0.0744</v>
      </c>
    </row>
    <row r="2327" ht="15.75" customHeight="1">
      <c r="A2327" s="98">
        <v>45504.0</v>
      </c>
      <c r="B2327" s="98">
        <v>45535.0</v>
      </c>
      <c r="C2327" s="97">
        <v>0.0743</v>
      </c>
    </row>
    <row r="2328" ht="15.75" customHeight="1">
      <c r="A2328" s="98">
        <v>45505.0</v>
      </c>
      <c r="B2328" s="98">
        <v>45536.0</v>
      </c>
      <c r="C2328" s="97">
        <v>0.0707</v>
      </c>
    </row>
    <row r="2329" ht="15.75" customHeight="1">
      <c r="A2329" s="98">
        <v>45506.0</v>
      </c>
      <c r="B2329" s="98">
        <v>45537.0</v>
      </c>
      <c r="C2329" s="97">
        <v>0.0668</v>
      </c>
    </row>
    <row r="2330" ht="15.75" customHeight="1">
      <c r="A2330" s="98">
        <v>45507.0</v>
      </c>
      <c r="B2330" s="98">
        <v>45538.0</v>
      </c>
      <c r="C2330" s="97">
        <v>0.0668</v>
      </c>
    </row>
    <row r="2331" ht="15.75" customHeight="1">
      <c r="A2331" s="98">
        <v>45508.0</v>
      </c>
      <c r="B2331" s="98">
        <v>45539.0</v>
      </c>
      <c r="C2331" s="97">
        <v>0.0705</v>
      </c>
    </row>
    <row r="2332" ht="15.75" customHeight="1">
      <c r="A2332" s="98">
        <v>45509.0</v>
      </c>
      <c r="B2332" s="98">
        <v>45540.0</v>
      </c>
      <c r="C2332" s="97">
        <v>0.0742</v>
      </c>
    </row>
    <row r="2333" ht="15.75" customHeight="1">
      <c r="A2333" s="98">
        <v>45510.0</v>
      </c>
      <c r="B2333" s="98">
        <v>45541.0</v>
      </c>
      <c r="C2333" s="97">
        <v>0.0742</v>
      </c>
    </row>
    <row r="2334" ht="15.75" customHeight="1">
      <c r="A2334" s="98">
        <v>45511.0</v>
      </c>
      <c r="B2334" s="98">
        <v>45542.0</v>
      </c>
      <c r="C2334" s="97">
        <v>0.0743</v>
      </c>
    </row>
    <row r="2335" ht="15.75" customHeight="1">
      <c r="A2335" s="98">
        <v>45512.0</v>
      </c>
      <c r="B2335" s="98">
        <v>45543.0</v>
      </c>
      <c r="C2335" s="97">
        <v>0.0706</v>
      </c>
    </row>
    <row r="2336" ht="15.75" customHeight="1">
      <c r="A2336" s="98">
        <v>45513.0</v>
      </c>
      <c r="B2336" s="98">
        <v>45544.0</v>
      </c>
      <c r="C2336" s="97">
        <v>0.0671</v>
      </c>
    </row>
    <row r="2337" ht="15.75" customHeight="1">
      <c r="A2337" s="98">
        <v>45514.0</v>
      </c>
      <c r="B2337" s="98">
        <v>45545.0</v>
      </c>
      <c r="C2337" s="97">
        <v>0.067</v>
      </c>
    </row>
    <row r="2338" ht="15.75" customHeight="1">
      <c r="A2338" s="98">
        <v>45515.0</v>
      </c>
      <c r="B2338" s="98">
        <v>45546.0</v>
      </c>
      <c r="C2338" s="97">
        <v>0.0707</v>
      </c>
    </row>
    <row r="2339" ht="15.75" customHeight="1">
      <c r="A2339" s="98">
        <v>45516.0</v>
      </c>
      <c r="B2339" s="98">
        <v>45547.0</v>
      </c>
      <c r="C2339" s="97">
        <v>0.0744</v>
      </c>
    </row>
    <row r="2340" ht="15.75" customHeight="1">
      <c r="A2340" s="98">
        <v>45517.0</v>
      </c>
      <c r="B2340" s="98">
        <v>45548.0</v>
      </c>
      <c r="C2340" s="97">
        <v>0.0744</v>
      </c>
    </row>
    <row r="2341" ht="15.75" customHeight="1">
      <c r="A2341" s="98">
        <v>45518.0</v>
      </c>
      <c r="B2341" s="98">
        <v>45549.0</v>
      </c>
      <c r="C2341" s="97">
        <v>0.0744</v>
      </c>
    </row>
    <row r="2342" ht="15.75" customHeight="1">
      <c r="A2342" s="98">
        <v>45519.0</v>
      </c>
      <c r="B2342" s="98">
        <v>45550.0</v>
      </c>
      <c r="C2342" s="97">
        <v>0.0708</v>
      </c>
    </row>
    <row r="2343" ht="15.75" customHeight="1">
      <c r="A2343" s="98">
        <v>45520.0</v>
      </c>
      <c r="B2343" s="98">
        <v>45551.0</v>
      </c>
      <c r="C2343" s="97">
        <v>0.0672</v>
      </c>
    </row>
    <row r="2344" ht="15.75" customHeight="1">
      <c r="A2344" s="98">
        <v>45521.0</v>
      </c>
      <c r="B2344" s="98">
        <v>45552.0</v>
      </c>
      <c r="C2344" s="97">
        <v>0.0673</v>
      </c>
    </row>
    <row r="2345" ht="15.75" customHeight="1">
      <c r="A2345" s="98">
        <v>45522.0</v>
      </c>
      <c r="B2345" s="98">
        <v>45553.0</v>
      </c>
      <c r="C2345" s="97">
        <v>0.071</v>
      </c>
    </row>
    <row r="2346" ht="15.75" customHeight="1">
      <c r="A2346" s="98">
        <v>45523.0</v>
      </c>
      <c r="B2346" s="98">
        <v>45554.0</v>
      </c>
      <c r="C2346" s="97">
        <v>0.0759</v>
      </c>
    </row>
    <row r="2347" ht="15.75" customHeight="1">
      <c r="A2347" s="98">
        <v>45524.0</v>
      </c>
      <c r="B2347" s="98">
        <v>45555.0</v>
      </c>
      <c r="C2347" s="97">
        <v>0.0751</v>
      </c>
    </row>
    <row r="2348" ht="15.75" customHeight="1">
      <c r="A2348" s="98">
        <v>45525.0</v>
      </c>
      <c r="B2348" s="98">
        <v>45556.0</v>
      </c>
      <c r="C2348" s="97">
        <v>0.0745</v>
      </c>
    </row>
    <row r="2349" ht="15.75" customHeight="1">
      <c r="A2349" s="98">
        <v>45526.0</v>
      </c>
      <c r="B2349" s="98">
        <v>45557.0</v>
      </c>
      <c r="C2349" s="97">
        <v>0.0708</v>
      </c>
    </row>
    <row r="2350" ht="15.75" customHeight="1">
      <c r="A2350" s="98">
        <v>45527.0</v>
      </c>
      <c r="B2350" s="98">
        <v>45558.0</v>
      </c>
      <c r="C2350" s="97">
        <v>0.0672</v>
      </c>
    </row>
    <row r="2351" ht="15.75" customHeight="1">
      <c r="A2351" s="98">
        <v>45528.0</v>
      </c>
      <c r="B2351" s="98">
        <v>45559.0</v>
      </c>
      <c r="C2351" s="97">
        <v>0.0672</v>
      </c>
    </row>
    <row r="2352" ht="15.75" customHeight="1">
      <c r="A2352" s="98">
        <v>45529.0</v>
      </c>
      <c r="B2352" s="98">
        <v>45560.0</v>
      </c>
      <c r="C2352" s="97">
        <v>0.0709</v>
      </c>
    </row>
    <row r="2353" ht="15.75" customHeight="1">
      <c r="A2353" s="98">
        <v>45530.0</v>
      </c>
      <c r="B2353" s="98">
        <v>45561.0</v>
      </c>
      <c r="C2353" s="97">
        <v>0.0755</v>
      </c>
    </row>
    <row r="2354" ht="15.75" customHeight="1">
      <c r="A2354" s="98">
        <v>45531.0</v>
      </c>
      <c r="B2354" s="98">
        <v>45562.0</v>
      </c>
      <c r="C2354" s="97">
        <v>0.0763</v>
      </c>
    </row>
    <row r="2355" ht="15.75" customHeight="1">
      <c r="A2355" s="98">
        <v>45532.0</v>
      </c>
      <c r="B2355" s="98">
        <v>45563.0</v>
      </c>
      <c r="C2355" s="97">
        <v>0.077</v>
      </c>
    </row>
    <row r="2356" ht="15.75" customHeight="1">
      <c r="A2356" s="98">
        <v>45533.0</v>
      </c>
      <c r="B2356" s="98">
        <v>45564.0</v>
      </c>
      <c r="C2356" s="97">
        <v>0.0714</v>
      </c>
    </row>
    <row r="2357" ht="15.75" customHeight="1">
      <c r="A2357" s="98">
        <v>45534.0</v>
      </c>
      <c r="B2357" s="98">
        <v>45565.0</v>
      </c>
      <c r="C2357" s="97">
        <v>0.0676</v>
      </c>
    </row>
    <row r="2358" ht="15.75" customHeight="1">
      <c r="A2358" s="98">
        <v>45535.0</v>
      </c>
      <c r="B2358" s="98">
        <v>45566.0</v>
      </c>
      <c r="C2358" s="97">
        <v>0.0675</v>
      </c>
    </row>
    <row r="2359" ht="15.75" customHeight="1">
      <c r="A2359" s="98">
        <v>45536.0</v>
      </c>
      <c r="B2359" s="98">
        <v>45566.0</v>
      </c>
      <c r="C2359" s="97">
        <v>0.0675</v>
      </c>
    </row>
    <row r="2360" ht="15.75" customHeight="1">
      <c r="A2360" s="98">
        <v>45537.0</v>
      </c>
      <c r="B2360" s="98">
        <v>45567.0</v>
      </c>
      <c r="C2360" s="97">
        <v>0.0714</v>
      </c>
    </row>
    <row r="2361" ht="15.75" customHeight="1">
      <c r="A2361" s="98">
        <v>45538.0</v>
      </c>
      <c r="B2361" s="98">
        <v>45568.0</v>
      </c>
      <c r="C2361" s="97">
        <v>0.0718</v>
      </c>
    </row>
    <row r="2362" ht="15.75" customHeight="1">
      <c r="A2362" s="98">
        <v>45539.0</v>
      </c>
      <c r="B2362" s="98">
        <v>45569.0</v>
      </c>
      <c r="C2362" s="97">
        <v>0.0718</v>
      </c>
    </row>
    <row r="2363" ht="15.75" customHeight="1">
      <c r="A2363" s="98">
        <v>45540.0</v>
      </c>
      <c r="B2363" s="98">
        <v>45570.0</v>
      </c>
      <c r="C2363" s="97">
        <v>0.0718</v>
      </c>
    </row>
    <row r="2364" ht="15.75" customHeight="1">
      <c r="A2364" s="98">
        <v>45541.0</v>
      </c>
      <c r="B2364" s="98">
        <v>45571.0</v>
      </c>
      <c r="C2364" s="97">
        <v>0.0682</v>
      </c>
    </row>
    <row r="2365" ht="15.75" customHeight="1">
      <c r="A2365" s="98">
        <v>45542.0</v>
      </c>
      <c r="B2365" s="98">
        <v>45572.0</v>
      </c>
      <c r="C2365" s="97">
        <v>0.0645</v>
      </c>
    </row>
    <row r="2366" ht="15.75" customHeight="1">
      <c r="A2366" s="98">
        <v>45543.0</v>
      </c>
      <c r="B2366" s="98">
        <v>45573.0</v>
      </c>
      <c r="C2366" s="97">
        <v>0.0684</v>
      </c>
    </row>
    <row r="2367" ht="15.75" customHeight="1">
      <c r="A2367" s="98">
        <v>45544.0</v>
      </c>
      <c r="B2367" s="98">
        <v>45574.0</v>
      </c>
      <c r="C2367" s="97">
        <v>0.0722</v>
      </c>
    </row>
    <row r="2368" ht="15.75" customHeight="1">
      <c r="A2368" s="98">
        <v>45545.0</v>
      </c>
      <c r="B2368" s="98">
        <v>45575.0</v>
      </c>
      <c r="C2368" s="97">
        <v>0.0724</v>
      </c>
    </row>
    <row r="2369" ht="15.75" customHeight="1">
      <c r="A2369" s="98">
        <v>45546.0</v>
      </c>
      <c r="B2369" s="98">
        <v>45576.0</v>
      </c>
      <c r="C2369" s="97">
        <v>0.0726</v>
      </c>
    </row>
    <row r="2370" ht="15.75" customHeight="1">
      <c r="A2370" s="98">
        <v>45547.0</v>
      </c>
      <c r="B2370" s="98">
        <v>45577.0</v>
      </c>
      <c r="C2370" s="97">
        <v>0.073</v>
      </c>
    </row>
    <row r="2371" ht="15.75" customHeight="1">
      <c r="A2371" s="98">
        <v>45548.0</v>
      </c>
      <c r="B2371" s="98">
        <v>45578.0</v>
      </c>
      <c r="C2371" s="97">
        <v>0.0693</v>
      </c>
    </row>
    <row r="2372" ht="15.75" customHeight="1">
      <c r="A2372" s="98">
        <v>45549.0</v>
      </c>
      <c r="B2372" s="98">
        <v>45579.0</v>
      </c>
      <c r="C2372" s="97">
        <v>0.0656</v>
      </c>
    </row>
    <row r="2373" ht="15.75" customHeight="1">
      <c r="A2373" s="98">
        <v>45550.0</v>
      </c>
      <c r="B2373" s="98">
        <v>45580.0</v>
      </c>
      <c r="C2373" s="97">
        <v>0.0694</v>
      </c>
    </row>
    <row r="2374" ht="15.75" customHeight="1">
      <c r="A2374" s="98">
        <v>45551.0</v>
      </c>
      <c r="B2374" s="98">
        <v>45581.0</v>
      </c>
      <c r="C2374" s="97">
        <v>0.0733</v>
      </c>
    </row>
    <row r="2375" ht="15.75" customHeight="1">
      <c r="A2375" s="98">
        <v>45552.0</v>
      </c>
      <c r="B2375" s="98">
        <v>45582.0</v>
      </c>
      <c r="C2375" s="97">
        <v>0.0734</v>
      </c>
    </row>
    <row r="2376" ht="15.75" customHeight="1">
      <c r="A2376" s="98">
        <v>45553.0</v>
      </c>
      <c r="B2376" s="98">
        <v>45583.0</v>
      </c>
      <c r="C2376" s="97">
        <v>0.0737</v>
      </c>
    </row>
    <row r="2377" ht="15.75" customHeight="1">
      <c r="A2377" s="98">
        <v>45554.0</v>
      </c>
      <c r="B2377" s="98">
        <v>45584.0</v>
      </c>
      <c r="C2377" s="97">
        <v>0.0738</v>
      </c>
    </row>
    <row r="2378" ht="15.75" customHeight="1">
      <c r="A2378" s="98">
        <v>45555.0</v>
      </c>
      <c r="B2378" s="98">
        <v>45585.0</v>
      </c>
      <c r="C2378" s="97">
        <v>0.0703</v>
      </c>
    </row>
    <row r="2379" ht="15.75" customHeight="1">
      <c r="A2379" s="98">
        <v>45556.0</v>
      </c>
      <c r="B2379" s="98">
        <v>45586.0</v>
      </c>
      <c r="C2379" s="97">
        <v>0.0665</v>
      </c>
    </row>
    <row r="2380" ht="15.75" customHeight="1">
      <c r="A2380" s="98">
        <v>45557.0</v>
      </c>
      <c r="B2380" s="98">
        <v>45587.0</v>
      </c>
      <c r="C2380" s="97">
        <v>0.0704</v>
      </c>
    </row>
    <row r="2381" ht="15.75" customHeight="1">
      <c r="A2381" s="98">
        <v>45558.0</v>
      </c>
      <c r="B2381" s="98">
        <v>45588.0</v>
      </c>
      <c r="C2381" s="97">
        <v>0.0743</v>
      </c>
    </row>
    <row r="2382" ht="15.75" customHeight="1">
      <c r="A2382" s="98">
        <v>45559.0</v>
      </c>
      <c r="B2382" s="98">
        <v>45589.0</v>
      </c>
      <c r="C2382" s="97">
        <v>0.0741</v>
      </c>
    </row>
    <row r="2383" ht="15.75" customHeight="1">
      <c r="A2383" s="98">
        <v>45560.0</v>
      </c>
      <c r="B2383" s="98">
        <v>45590.0</v>
      </c>
      <c r="C2383" s="97">
        <v>0.0738</v>
      </c>
    </row>
    <row r="2384" ht="15.75" customHeight="1">
      <c r="A2384" s="98">
        <v>45561.0</v>
      </c>
      <c r="B2384" s="98">
        <v>45591.0</v>
      </c>
      <c r="C2384" s="97">
        <v>0.0739</v>
      </c>
    </row>
    <row r="2385" ht="15.75" customHeight="1">
      <c r="A2385" s="98">
        <v>45562.0</v>
      </c>
      <c r="B2385" s="98">
        <v>45592.0</v>
      </c>
      <c r="C2385" s="97">
        <v>0.07</v>
      </c>
    </row>
    <row r="2386" ht="15.75" customHeight="1">
      <c r="A2386" s="98">
        <v>45563.0</v>
      </c>
      <c r="B2386" s="98">
        <v>45593.0</v>
      </c>
      <c r="C2386" s="97">
        <v>0.0664</v>
      </c>
    </row>
    <row r="2387" ht="15.75" customHeight="1">
      <c r="A2387" s="98">
        <v>45564.0</v>
      </c>
      <c r="B2387" s="98">
        <v>45594.0</v>
      </c>
      <c r="C2387" s="97">
        <v>0.0702</v>
      </c>
    </row>
    <row r="2388" ht="15.75" customHeight="1">
      <c r="A2388" s="98">
        <v>45565.0</v>
      </c>
      <c r="B2388" s="98">
        <v>45595.0</v>
      </c>
      <c r="C2388" s="97">
        <v>0.0741</v>
      </c>
    </row>
    <row r="2389" ht="15.75" customHeight="1">
      <c r="A2389" s="98">
        <v>45566.0</v>
      </c>
      <c r="B2389" s="98">
        <v>45596.0</v>
      </c>
      <c r="C2389" s="97">
        <v>0.0741</v>
      </c>
    </row>
    <row r="2390" ht="15.75" customHeight="1">
      <c r="A2390" s="98">
        <v>45566.0</v>
      </c>
      <c r="B2390" s="98">
        <v>45597.0</v>
      </c>
      <c r="C2390" s="97">
        <v>0.0977</v>
      </c>
    </row>
    <row r="2391" ht="15.75" customHeight="1">
      <c r="A2391" s="98">
        <v>45567.0</v>
      </c>
      <c r="B2391" s="98">
        <v>45598.0</v>
      </c>
      <c r="C2391" s="97">
        <v>0.0993</v>
      </c>
    </row>
    <row r="2392" ht="15.75" customHeight="1">
      <c r="A2392" s="98">
        <v>45568.0</v>
      </c>
      <c r="B2392" s="98">
        <v>45599.0</v>
      </c>
      <c r="C2392" s="97">
        <v>0.0756</v>
      </c>
    </row>
    <row r="2393" ht="15.75" customHeight="1">
      <c r="A2393" s="98">
        <v>45569.0</v>
      </c>
      <c r="B2393" s="98">
        <v>45600.0</v>
      </c>
      <c r="C2393" s="97">
        <v>0.071</v>
      </c>
    </row>
    <row r="2394" ht="15.75" customHeight="1">
      <c r="A2394" s="98">
        <v>45570.0</v>
      </c>
      <c r="B2394" s="98">
        <v>45601.0</v>
      </c>
      <c r="C2394" s="97">
        <v>0.0712</v>
      </c>
    </row>
    <row r="2395" ht="15.75" customHeight="1">
      <c r="A2395" s="98">
        <v>45571.0</v>
      </c>
      <c r="B2395" s="98">
        <v>45602.0</v>
      </c>
      <c r="C2395" s="97">
        <v>0.0786</v>
      </c>
    </row>
    <row r="2396" ht="15.75" customHeight="1">
      <c r="A2396" s="98">
        <v>45572.0</v>
      </c>
      <c r="B2396" s="98">
        <v>45603.0</v>
      </c>
      <c r="C2396" s="97">
        <v>0.1049</v>
      </c>
    </row>
    <row r="2397" ht="15.75" customHeight="1">
      <c r="A2397" s="98">
        <v>45573.0</v>
      </c>
      <c r="B2397" s="98">
        <v>45604.0</v>
      </c>
      <c r="C2397" s="97">
        <v>0.1059</v>
      </c>
    </row>
    <row r="2398" ht="15.75" customHeight="1">
      <c r="A2398" s="98">
        <v>45574.0</v>
      </c>
      <c r="B2398" s="98">
        <v>45605.0</v>
      </c>
      <c r="C2398" s="97">
        <v>0.1078</v>
      </c>
    </row>
    <row r="2399" ht="15.75" customHeight="1">
      <c r="A2399" s="98">
        <v>45575.0</v>
      </c>
      <c r="B2399" s="98">
        <v>45606.0</v>
      </c>
      <c r="C2399" s="97">
        <v>0.0812</v>
      </c>
    </row>
    <row r="2400" ht="15.75" customHeight="1">
      <c r="A2400" s="98">
        <v>45576.0</v>
      </c>
      <c r="B2400" s="98">
        <v>45607.0</v>
      </c>
      <c r="C2400" s="97">
        <v>0.0716</v>
      </c>
    </row>
    <row r="2401" ht="15.75" customHeight="1">
      <c r="A2401" s="98">
        <v>45577.0</v>
      </c>
      <c r="B2401" s="98">
        <v>45608.0</v>
      </c>
      <c r="C2401" s="97">
        <v>0.0718</v>
      </c>
    </row>
    <row r="2402" ht="15.75" customHeight="1">
      <c r="A2402" s="98">
        <v>45578.0</v>
      </c>
      <c r="B2402" s="98">
        <v>45609.0</v>
      </c>
      <c r="C2402" s="97">
        <v>0.0831</v>
      </c>
    </row>
    <row r="2403" ht="15.75" customHeight="1">
      <c r="A2403" s="98">
        <v>45579.0</v>
      </c>
      <c r="B2403" s="98">
        <v>45610.0</v>
      </c>
      <c r="C2403" s="97">
        <v>0.1095</v>
      </c>
    </row>
    <row r="2404" ht="15.75" customHeight="1">
      <c r="A2404" s="98">
        <v>45580.0</v>
      </c>
      <c r="B2404" s="98">
        <v>45611.0</v>
      </c>
      <c r="C2404" s="97">
        <v>0.1076</v>
      </c>
    </row>
    <row r="2405" ht="15.75" customHeight="1">
      <c r="A2405" s="98">
        <v>45581.0</v>
      </c>
      <c r="B2405" s="98">
        <v>45612.0</v>
      </c>
      <c r="C2405" s="97">
        <v>0.0833</v>
      </c>
    </row>
    <row r="2406" ht="15.75" customHeight="1">
      <c r="A2406" s="98">
        <v>45582.0</v>
      </c>
      <c r="B2406" s="98">
        <v>45613.0</v>
      </c>
      <c r="C2406" s="97">
        <v>0.0709</v>
      </c>
    </row>
    <row r="2407" ht="15.75" customHeight="1">
      <c r="A2407" s="98">
        <v>45583.0</v>
      </c>
      <c r="B2407" s="98">
        <v>45614.0</v>
      </c>
      <c r="C2407" s="97">
        <v>0.0683</v>
      </c>
    </row>
    <row r="2408" ht="15.75" customHeight="1">
      <c r="A2408" s="98">
        <v>45584.0</v>
      </c>
      <c r="B2408" s="98">
        <v>45615.0</v>
      </c>
      <c r="C2408" s="97">
        <v>0.0684</v>
      </c>
    </row>
    <row r="2409" ht="15.75" customHeight="1">
      <c r="A2409" s="98">
        <v>45585.0</v>
      </c>
      <c r="B2409" s="98">
        <v>45616.0</v>
      </c>
      <c r="C2409" s="97">
        <v>0.0723</v>
      </c>
    </row>
    <row r="2410" ht="15.75" customHeight="1">
      <c r="A2410" s="98">
        <v>45586.0</v>
      </c>
      <c r="B2410" s="98">
        <v>45617.0</v>
      </c>
      <c r="C2410" s="97">
        <v>0.0723</v>
      </c>
    </row>
    <row r="2411" ht="15.75" customHeight="1">
      <c r="A2411" s="98">
        <v>45587.0</v>
      </c>
      <c r="B2411" s="98">
        <v>45618.0</v>
      </c>
      <c r="C2411" s="97">
        <v>0.0724</v>
      </c>
    </row>
    <row r="2412" ht="15.75" customHeight="1">
      <c r="A2412" s="98">
        <v>45588.0</v>
      </c>
      <c r="B2412" s="98">
        <v>45619.0</v>
      </c>
      <c r="C2412" s="97">
        <v>0.0725</v>
      </c>
    </row>
    <row r="2413" ht="15.75" customHeight="1">
      <c r="A2413" s="98">
        <v>45589.0</v>
      </c>
      <c r="B2413" s="98">
        <v>45620.0</v>
      </c>
      <c r="C2413" s="97">
        <v>0.0686</v>
      </c>
    </row>
    <row r="2414" ht="15.75" customHeight="1">
      <c r="A2414" s="98">
        <v>45590.0</v>
      </c>
      <c r="B2414" s="98">
        <v>45621.0</v>
      </c>
      <c r="C2414" s="97">
        <v>0.0646</v>
      </c>
    </row>
    <row r="2415" ht="15.75" customHeight="1">
      <c r="A2415" s="98">
        <v>45591.0</v>
      </c>
      <c r="B2415" s="98">
        <v>45622.0</v>
      </c>
      <c r="C2415" s="97">
        <v>0.0645</v>
      </c>
    </row>
    <row r="2416" ht="15.75" customHeight="1">
      <c r="A2416" s="98">
        <v>45592.0</v>
      </c>
      <c r="B2416" s="98">
        <v>45623.0</v>
      </c>
      <c r="C2416" s="97">
        <v>0.0685</v>
      </c>
    </row>
    <row r="2417" ht="15.75" customHeight="1">
      <c r="A2417" s="98">
        <v>45593.0</v>
      </c>
      <c r="B2417" s="98">
        <v>45624.0</v>
      </c>
      <c r="C2417" s="97">
        <v>0.0725</v>
      </c>
    </row>
    <row r="2418" ht="15.75" customHeight="1">
      <c r="A2418" s="98">
        <v>45594.0</v>
      </c>
      <c r="B2418" s="98">
        <v>45625.0</v>
      </c>
      <c r="C2418" s="97">
        <v>0.0728</v>
      </c>
    </row>
    <row r="2419" ht="15.75" customHeight="1">
      <c r="A2419" s="98">
        <v>45595.0</v>
      </c>
      <c r="B2419" s="98">
        <v>45626.0</v>
      </c>
      <c r="C2419" s="97">
        <v>0.0729</v>
      </c>
    </row>
    <row r="2420" ht="15.75" customHeight="1">
      <c r="A2420" s="98">
        <v>45596.0</v>
      </c>
      <c r="B2420" s="98">
        <v>45627.0</v>
      </c>
      <c r="C2420" s="97">
        <v>0.0689</v>
      </c>
    </row>
    <row r="2421" ht="15.75" customHeight="1">
      <c r="A2421" s="98">
        <v>45597.0</v>
      </c>
      <c r="B2421" s="98">
        <v>45627.0</v>
      </c>
      <c r="C2421" s="97">
        <v>0.0649</v>
      </c>
    </row>
    <row r="2422" ht="15.75" customHeight="1">
      <c r="A2422" s="98">
        <v>45598.0</v>
      </c>
      <c r="B2422" s="98">
        <v>45628.0</v>
      </c>
      <c r="C2422" s="97">
        <v>0.0482</v>
      </c>
    </row>
    <row r="2423" ht="15.75" customHeight="1">
      <c r="A2423" s="98">
        <v>45599.0</v>
      </c>
      <c r="B2423" s="98">
        <v>45629.0</v>
      </c>
      <c r="C2423" s="97">
        <v>0.0651</v>
      </c>
    </row>
    <row r="2424" ht="15.75" customHeight="1">
      <c r="A2424" s="98">
        <v>45600.0</v>
      </c>
      <c r="B2424" s="98">
        <v>45630.0</v>
      </c>
      <c r="C2424" s="97">
        <v>0.0691</v>
      </c>
    </row>
    <row r="2425" ht="15.75" customHeight="1">
      <c r="A2425" s="98">
        <v>45601.0</v>
      </c>
      <c r="B2425" s="98">
        <v>45631.0</v>
      </c>
      <c r="C2425" s="97">
        <v>0.0691</v>
      </c>
    </row>
    <row r="2426" ht="15.75" customHeight="1">
      <c r="A2426" s="98">
        <v>45602.0</v>
      </c>
      <c r="B2426" s="98">
        <v>45632.0</v>
      </c>
      <c r="C2426" s="97">
        <v>0.0694</v>
      </c>
    </row>
    <row r="2427" ht="15.75" customHeight="1">
      <c r="A2427" s="98">
        <v>45603.0</v>
      </c>
      <c r="B2427" s="98">
        <v>45633.0</v>
      </c>
      <c r="C2427" s="97">
        <v>0.0696</v>
      </c>
    </row>
    <row r="2428" ht="15.75" customHeight="1">
      <c r="A2428" s="98">
        <v>45604.0</v>
      </c>
      <c r="B2428" s="98">
        <v>45634.0</v>
      </c>
      <c r="C2428" s="97">
        <v>0.0657</v>
      </c>
    </row>
    <row r="2429" ht="15.75" customHeight="1">
      <c r="A2429" s="98">
        <v>45605.0</v>
      </c>
      <c r="B2429" s="98">
        <v>45635.0</v>
      </c>
      <c r="C2429" s="97">
        <v>0.0528</v>
      </c>
    </row>
    <row r="2430" ht="15.75" customHeight="1">
      <c r="A2430" s="98">
        <v>45606.0</v>
      </c>
      <c r="B2430" s="98">
        <v>45636.0</v>
      </c>
      <c r="C2430" s="97">
        <v>0.0658</v>
      </c>
    </row>
    <row r="2431" ht="15.75" customHeight="1">
      <c r="A2431" s="98">
        <v>45607.0</v>
      </c>
      <c r="B2431" s="98">
        <v>45637.0</v>
      </c>
      <c r="C2431" s="97">
        <v>0.0698</v>
      </c>
    </row>
    <row r="2432" ht="15.75" customHeight="1">
      <c r="A2432" s="98">
        <v>45608.0</v>
      </c>
      <c r="B2432" s="98">
        <v>45638.0</v>
      </c>
      <c r="C2432" s="97">
        <v>0.0705</v>
      </c>
    </row>
    <row r="2433" ht="15.75" customHeight="1">
      <c r="A2433" s="98">
        <v>45609.0</v>
      </c>
      <c r="B2433" s="98">
        <v>45639.0</v>
      </c>
      <c r="C2433" s="97">
        <v>0.0698</v>
      </c>
    </row>
    <row r="2434" ht="15.75" customHeight="1">
      <c r="A2434" s="98">
        <v>45610.0</v>
      </c>
      <c r="B2434" s="98">
        <v>45640.0</v>
      </c>
      <c r="C2434" s="97">
        <v>0.0699</v>
      </c>
    </row>
    <row r="2435" ht="15.75" customHeight="1">
      <c r="A2435" s="98">
        <v>45611.0</v>
      </c>
      <c r="B2435" s="98">
        <v>45641.0</v>
      </c>
      <c r="C2435" s="97">
        <v>0.066</v>
      </c>
    </row>
    <row r="2436" ht="15.75" customHeight="1">
      <c r="A2436" s="98">
        <v>45612.0</v>
      </c>
      <c r="B2436" s="98">
        <v>45642.0</v>
      </c>
      <c r="C2436" s="97">
        <v>0.066</v>
      </c>
    </row>
    <row r="2437" ht="15.75" customHeight="1">
      <c r="A2437" s="98">
        <v>45613.0</v>
      </c>
      <c r="B2437" s="98">
        <v>45643.0</v>
      </c>
      <c r="C2437" s="97">
        <v>0.07</v>
      </c>
    </row>
    <row r="2438" ht="15.75" customHeight="1">
      <c r="A2438" s="98">
        <v>45614.0</v>
      </c>
      <c r="B2438" s="98">
        <v>45644.0</v>
      </c>
      <c r="C2438" s="97">
        <v>0.074</v>
      </c>
    </row>
    <row r="2439" ht="15.75" customHeight="1">
      <c r="A2439" s="98">
        <v>45615.0</v>
      </c>
      <c r="B2439" s="98">
        <v>45645.0</v>
      </c>
      <c r="C2439" s="97">
        <v>0.0742</v>
      </c>
    </row>
    <row r="2440" ht="15.75" customHeight="1">
      <c r="A2440" s="98">
        <v>45616.0</v>
      </c>
      <c r="B2440" s="98">
        <v>45646.0</v>
      </c>
      <c r="C2440" s="97">
        <v>0.0742</v>
      </c>
    </row>
    <row r="2441" ht="15.75" customHeight="1">
      <c r="A2441" s="98">
        <v>45617.0</v>
      </c>
      <c r="B2441" s="98">
        <v>45647.0</v>
      </c>
      <c r="C2441" s="97">
        <v>0.0999</v>
      </c>
    </row>
    <row r="2442" ht="15.75" customHeight="1">
      <c r="A2442" s="98">
        <v>45618.0</v>
      </c>
      <c r="B2442" s="98">
        <v>45648.0</v>
      </c>
      <c r="C2442" s="97">
        <v>0.0744</v>
      </c>
    </row>
    <row r="2443" ht="15.75" customHeight="1">
      <c r="A2443" s="98">
        <v>45619.0</v>
      </c>
      <c r="B2443" s="98">
        <v>45649.0</v>
      </c>
      <c r="C2443" s="97">
        <v>0.071</v>
      </c>
    </row>
    <row r="2444" ht="15.75" customHeight="1">
      <c r="A2444" s="98">
        <v>45620.0</v>
      </c>
      <c r="B2444" s="98">
        <v>45650.0</v>
      </c>
      <c r="C2444" s="97">
        <v>0.0788</v>
      </c>
    </row>
    <row r="2445" ht="15.75" customHeight="1">
      <c r="A2445" s="98">
        <v>45621.0</v>
      </c>
      <c r="B2445" s="98">
        <v>45651.0</v>
      </c>
      <c r="C2445" s="97">
        <v>0.1063</v>
      </c>
    </row>
    <row r="2446" ht="15.75" customHeight="1">
      <c r="A2446" s="98">
        <v>45622.0</v>
      </c>
      <c r="B2446" s="98">
        <v>45652.0</v>
      </c>
      <c r="C2446" s="97">
        <v>0.0752</v>
      </c>
    </row>
    <row r="2447" ht="15.75" customHeight="1">
      <c r="A2447" s="98">
        <v>45623.0</v>
      </c>
      <c r="B2447" s="98">
        <v>45653.0</v>
      </c>
      <c r="C2447" s="97">
        <v>0.0798</v>
      </c>
    </row>
    <row r="2448" ht="15.75" customHeight="1">
      <c r="A2448" s="98">
        <v>45624.0</v>
      </c>
      <c r="B2448" s="98">
        <v>45654.0</v>
      </c>
      <c r="C2448" s="97">
        <v>0.0752</v>
      </c>
    </row>
    <row r="2449" ht="15.75" customHeight="1">
      <c r="A2449" s="98">
        <v>45625.0</v>
      </c>
      <c r="B2449" s="98">
        <v>45655.0</v>
      </c>
      <c r="C2449" s="97">
        <v>0.0708</v>
      </c>
    </row>
    <row r="2450" ht="15.75" customHeight="1">
      <c r="A2450" s="98">
        <v>45626.0</v>
      </c>
      <c r="B2450" s="98">
        <v>45656.0</v>
      </c>
      <c r="C2450" s="97">
        <v>0.0674</v>
      </c>
    </row>
    <row r="2451" ht="15.75" customHeight="1">
      <c r="A2451" s="98">
        <v>45627.0</v>
      </c>
      <c r="B2451" s="98">
        <v>45657.0</v>
      </c>
      <c r="C2451" s="97">
        <v>0.0715</v>
      </c>
    </row>
    <row r="2452" ht="15.75" customHeight="1">
      <c r="A2452" s="98">
        <v>45627.0</v>
      </c>
      <c r="B2452" s="98">
        <v>45658.0</v>
      </c>
      <c r="C2452" s="97">
        <v>0.0822</v>
      </c>
    </row>
    <row r="2453" ht="15.75" customHeight="1">
      <c r="A2453" s="98">
        <v>45628.0</v>
      </c>
      <c r="B2453" s="98">
        <v>45659.0</v>
      </c>
      <c r="C2453" s="97">
        <v>0.0822</v>
      </c>
    </row>
    <row r="2454" ht="15.75" customHeight="1">
      <c r="A2454" s="98">
        <v>45629.0</v>
      </c>
      <c r="B2454" s="98">
        <v>45660.0</v>
      </c>
      <c r="C2454" s="97">
        <v>0.0843</v>
      </c>
    </row>
    <row r="2455" ht="15.75" customHeight="1">
      <c r="A2455" s="98">
        <v>45630.0</v>
      </c>
      <c r="B2455" s="98">
        <v>45661.0</v>
      </c>
      <c r="C2455" s="97">
        <v>0.0875</v>
      </c>
    </row>
    <row r="2456" ht="15.75" customHeight="1">
      <c r="A2456" s="98">
        <v>45631.0</v>
      </c>
      <c r="B2456" s="98">
        <v>45662.0</v>
      </c>
      <c r="C2456" s="97">
        <v>0.0728</v>
      </c>
    </row>
    <row r="2457" ht="15.75" customHeight="1">
      <c r="A2457" s="98">
        <v>45632.0</v>
      </c>
      <c r="B2457" s="98">
        <v>45663.0</v>
      </c>
      <c r="C2457" s="97">
        <v>0.0688</v>
      </c>
    </row>
    <row r="2458" ht="15.75" customHeight="1">
      <c r="A2458" s="98">
        <v>45633.0</v>
      </c>
      <c r="B2458" s="98">
        <v>45664.0</v>
      </c>
      <c r="C2458" s="97">
        <v>0.07</v>
      </c>
    </row>
    <row r="2459" ht="15.75" customHeight="1">
      <c r="A2459" s="98">
        <v>45634.0</v>
      </c>
      <c r="B2459" s="98">
        <v>45665.0</v>
      </c>
      <c r="C2459" s="97">
        <v>0.0745</v>
      </c>
    </row>
    <row r="2460" ht="15.75" customHeight="1">
      <c r="A2460" s="98">
        <v>45635.0</v>
      </c>
      <c r="B2460" s="98">
        <v>45666.0</v>
      </c>
      <c r="C2460" s="97">
        <v>0.1046</v>
      </c>
    </row>
    <row r="2461" ht="15.75" customHeight="1">
      <c r="A2461" s="98">
        <v>45636.0</v>
      </c>
      <c r="B2461" s="98">
        <v>45667.0</v>
      </c>
      <c r="C2461" s="97">
        <v>0.1073</v>
      </c>
    </row>
    <row r="2462" ht="15.75" customHeight="1">
      <c r="A2462" s="98">
        <v>45637.0</v>
      </c>
      <c r="B2462" s="98">
        <v>45668.0</v>
      </c>
      <c r="C2462" s="97">
        <v>0.1086</v>
      </c>
    </row>
    <row r="2463" ht="15.75" customHeight="1">
      <c r="A2463" s="98">
        <v>45638.0</v>
      </c>
      <c r="B2463" s="98">
        <v>45669.0</v>
      </c>
      <c r="C2463" s="97">
        <v>0.0831</v>
      </c>
    </row>
    <row r="2464" ht="15.75" customHeight="1">
      <c r="A2464" s="98">
        <v>45639.0</v>
      </c>
      <c r="B2464" s="98">
        <v>45670.0</v>
      </c>
      <c r="C2464" s="97">
        <v>0.0727</v>
      </c>
    </row>
    <row r="2465" ht="15.75" customHeight="1">
      <c r="A2465" s="98">
        <v>45640.0</v>
      </c>
      <c r="B2465" s="98">
        <v>45671.0</v>
      </c>
      <c r="C2465" s="97">
        <v>0.073</v>
      </c>
    </row>
    <row r="2466" ht="15.75" customHeight="1">
      <c r="A2466" s="98">
        <v>45641.0</v>
      </c>
      <c r="B2466" s="98">
        <v>45672.0</v>
      </c>
      <c r="C2466" s="97">
        <v>0.0953</v>
      </c>
    </row>
    <row r="2467" ht="15.75" customHeight="1">
      <c r="A2467" s="98">
        <v>45642.0</v>
      </c>
      <c r="B2467" s="98">
        <v>45673.0</v>
      </c>
      <c r="C2467" s="97">
        <v>0.126</v>
      </c>
    </row>
    <row r="2468" ht="15.75" customHeight="1">
      <c r="A2468" s="98">
        <v>45643.0</v>
      </c>
      <c r="B2468" s="98">
        <v>45674.0</v>
      </c>
      <c r="C2468" s="97">
        <v>0.1285</v>
      </c>
    </row>
    <row r="2469" ht="15.75" customHeight="1">
      <c r="A2469" s="98">
        <v>45644.0</v>
      </c>
      <c r="B2469" s="98">
        <v>45675.0</v>
      </c>
      <c r="C2469" s="97">
        <v>0.1289</v>
      </c>
    </row>
    <row r="2470" ht="15.75" customHeight="1">
      <c r="A2470" s="98">
        <v>45645.0</v>
      </c>
      <c r="B2470" s="98">
        <v>45676.0</v>
      </c>
      <c r="C2470" s="97">
        <v>0.1039</v>
      </c>
    </row>
    <row r="2471" ht="15.75" customHeight="1">
      <c r="A2471" s="98">
        <v>45646.0</v>
      </c>
      <c r="B2471" s="98">
        <v>45677.0</v>
      </c>
      <c r="C2471" s="97">
        <v>0.0809</v>
      </c>
    </row>
    <row r="2472" ht="15.75" customHeight="1">
      <c r="A2472" s="98">
        <v>45647.0</v>
      </c>
      <c r="B2472" s="98">
        <v>45678.0</v>
      </c>
      <c r="C2472" s="97">
        <v>0.08</v>
      </c>
    </row>
    <row r="2473" ht="15.75" customHeight="1">
      <c r="A2473" s="98">
        <v>45648.0</v>
      </c>
      <c r="B2473" s="98">
        <v>45679.0</v>
      </c>
      <c r="C2473" s="97">
        <v>0.1111</v>
      </c>
    </row>
    <row r="2474" ht="15.75" customHeight="1">
      <c r="A2474" s="98">
        <v>45649.0</v>
      </c>
      <c r="B2474" s="98">
        <v>45680.0</v>
      </c>
      <c r="C2474" s="97">
        <v>0.1423</v>
      </c>
    </row>
    <row r="2475" ht="15.75" customHeight="1">
      <c r="A2475" s="98">
        <v>45650.0</v>
      </c>
      <c r="B2475" s="98">
        <v>45681.0</v>
      </c>
      <c r="C2475" s="97">
        <v>0.1429</v>
      </c>
    </row>
    <row r="2476" ht="15.75" customHeight="1">
      <c r="A2476" s="98">
        <v>45651.0</v>
      </c>
      <c r="B2476" s="98">
        <v>45682.0</v>
      </c>
      <c r="C2476" s="97">
        <v>0.1418</v>
      </c>
    </row>
    <row r="2477" ht="15.75" customHeight="1">
      <c r="A2477" s="98">
        <v>45652.0</v>
      </c>
      <c r="B2477" s="98">
        <v>45683.0</v>
      </c>
      <c r="C2477" s="97">
        <v>0.1418</v>
      </c>
    </row>
    <row r="2478" ht="15.75" customHeight="1">
      <c r="A2478" s="98">
        <v>45653.0</v>
      </c>
      <c r="B2478" s="98">
        <v>45684.0</v>
      </c>
      <c r="C2478" s="97">
        <v>0.1169</v>
      </c>
    </row>
    <row r="2479" ht="15.75" customHeight="1">
      <c r="A2479" s="98">
        <v>45654.0</v>
      </c>
      <c r="B2479" s="98">
        <v>45685.0</v>
      </c>
      <c r="C2479" s="97">
        <v>0.1154</v>
      </c>
    </row>
    <row r="2480" ht="15.75" customHeight="1">
      <c r="A2480" s="98">
        <v>45655.0</v>
      </c>
      <c r="B2480" s="98">
        <v>45686.0</v>
      </c>
      <c r="C2480" s="97">
        <v>0.1463</v>
      </c>
    </row>
    <row r="2481" ht="15.75" customHeight="1">
      <c r="A2481" s="98">
        <v>45656.0</v>
      </c>
      <c r="B2481" s="98">
        <v>45687.0</v>
      </c>
      <c r="C2481" s="97">
        <v>0.169</v>
      </c>
    </row>
    <row r="2482" ht="15.75" customHeight="1">
      <c r="A2482" s="98">
        <v>45657.0</v>
      </c>
      <c r="B2482" s="98">
        <v>45688.0</v>
      </c>
      <c r="C2482" s="97">
        <v>0.169</v>
      </c>
    </row>
    <row r="2483" ht="15.75" customHeight="1">
      <c r="A2483" s="98">
        <v>45658.0</v>
      </c>
      <c r="B2483" s="98">
        <v>45689.0</v>
      </c>
      <c r="C2483" s="97">
        <v>0.169</v>
      </c>
    </row>
    <row r="2484" ht="15.75" customHeight="1">
      <c r="A2484" s="98">
        <v>45659.0</v>
      </c>
      <c r="B2484" s="98">
        <v>45690.0</v>
      </c>
      <c r="C2484" s="97">
        <v>0.169</v>
      </c>
    </row>
    <row r="2485" ht="15.75" customHeight="1">
      <c r="A2485" s="98">
        <v>45660.0</v>
      </c>
      <c r="B2485" s="98">
        <v>45691.0</v>
      </c>
      <c r="C2485" s="97">
        <v>0.1463</v>
      </c>
    </row>
    <row r="2486" ht="15.75" customHeight="1">
      <c r="A2486" s="98">
        <v>45661.0</v>
      </c>
      <c r="B2486" s="98">
        <v>45692.0</v>
      </c>
      <c r="C2486" s="97">
        <v>0.1463</v>
      </c>
    </row>
    <row r="2487" ht="15.75" customHeight="1">
      <c r="A2487" s="98">
        <v>45662.0</v>
      </c>
      <c r="B2487" s="98">
        <v>45693.0</v>
      </c>
      <c r="C2487" s="97">
        <v>0.169</v>
      </c>
    </row>
    <row r="2488" ht="15.75" customHeight="1">
      <c r="A2488" s="98">
        <v>45663.0</v>
      </c>
      <c r="B2488" s="98">
        <v>45694.0</v>
      </c>
      <c r="C2488" s="97">
        <v>0.1708</v>
      </c>
    </row>
    <row r="2489" ht="15.75" customHeight="1">
      <c r="A2489" s="98">
        <v>45664.0</v>
      </c>
      <c r="B2489" s="98">
        <v>45695.0</v>
      </c>
      <c r="C2489" s="97">
        <v>0.1709</v>
      </c>
    </row>
    <row r="2490" ht="15.75" customHeight="1">
      <c r="A2490" s="98">
        <v>45665.0</v>
      </c>
      <c r="B2490" s="98">
        <v>45696.0</v>
      </c>
      <c r="C2490" s="97">
        <v>0.171</v>
      </c>
    </row>
    <row r="2491" ht="15.75" customHeight="1">
      <c r="A2491" s="98">
        <v>45666.0</v>
      </c>
      <c r="B2491" s="98">
        <v>45697.0</v>
      </c>
      <c r="C2491" s="97">
        <v>0.1692</v>
      </c>
    </row>
    <row r="2492" ht="15.75" customHeight="1">
      <c r="A2492" s="98">
        <v>45667.0</v>
      </c>
      <c r="B2492" s="98">
        <v>45698.0</v>
      </c>
      <c r="C2492" s="97">
        <v>0.1486</v>
      </c>
    </row>
    <row r="2493" ht="15.75" customHeight="1">
      <c r="A2493" s="98">
        <v>45668.0</v>
      </c>
      <c r="B2493" s="98">
        <v>45699.0</v>
      </c>
      <c r="C2493" s="97">
        <v>0.149</v>
      </c>
    </row>
    <row r="2494" ht="15.75" customHeight="1">
      <c r="A2494" s="98">
        <v>45669.0</v>
      </c>
      <c r="B2494" s="98">
        <v>45700.0</v>
      </c>
      <c r="C2494" s="97">
        <v>0.1692</v>
      </c>
    </row>
    <row r="2495" ht="15.75" customHeight="1">
      <c r="A2495" s="98">
        <v>45670.0</v>
      </c>
      <c r="B2495" s="98">
        <v>45701.0</v>
      </c>
      <c r="C2495" s="97">
        <v>0.1709</v>
      </c>
    </row>
    <row r="2496" ht="15.75" customHeight="1">
      <c r="A2496" s="98">
        <v>45671.0</v>
      </c>
      <c r="B2496" s="98">
        <v>45702.0</v>
      </c>
      <c r="C2496" s="97">
        <v>0.1709</v>
      </c>
    </row>
    <row r="2497" ht="15.75" customHeight="1">
      <c r="A2497" s="98">
        <v>45672.0</v>
      </c>
      <c r="B2497" s="98">
        <v>45703.0</v>
      </c>
      <c r="C2497" s="97">
        <v>0.171</v>
      </c>
    </row>
    <row r="2498" ht="15.75" customHeight="1">
      <c r="A2498" s="98">
        <v>45673.0</v>
      </c>
      <c r="B2498" s="98">
        <v>45704.0</v>
      </c>
      <c r="C2498" s="97">
        <v>0.1692</v>
      </c>
    </row>
    <row r="2499" ht="15.75" customHeight="1">
      <c r="A2499" s="98">
        <v>45674.0</v>
      </c>
      <c r="B2499" s="98">
        <v>45705.0</v>
      </c>
      <c r="C2499" s="97">
        <v>0.1504</v>
      </c>
    </row>
    <row r="2500" ht="15.75" customHeight="1">
      <c r="A2500" s="98">
        <v>45675.0</v>
      </c>
      <c r="B2500" s="98">
        <v>45706.0</v>
      </c>
      <c r="C2500" s="97">
        <v>0.1523</v>
      </c>
    </row>
    <row r="2501" ht="15.75" customHeight="1">
      <c r="A2501" s="98">
        <v>45676.0</v>
      </c>
      <c r="B2501" s="98">
        <v>45707.0</v>
      </c>
      <c r="C2501" s="97">
        <v>0.1694</v>
      </c>
    </row>
    <row r="2502" ht="15.75" customHeight="1">
      <c r="A2502" s="98">
        <v>45677.0</v>
      </c>
      <c r="B2502" s="98">
        <v>45708.0</v>
      </c>
      <c r="C2502" s="97">
        <v>0.1711</v>
      </c>
    </row>
    <row r="2503" ht="15.75" customHeight="1">
      <c r="A2503" s="98">
        <v>45678.0</v>
      </c>
      <c r="B2503" s="98">
        <v>45709.0</v>
      </c>
      <c r="C2503" s="97">
        <v>0.1712</v>
      </c>
    </row>
    <row r="2504" ht="15.75" customHeight="1">
      <c r="A2504" s="98">
        <v>45679.0</v>
      </c>
      <c r="B2504" s="98">
        <v>45710.0</v>
      </c>
      <c r="C2504" s="97">
        <v>0.1712</v>
      </c>
    </row>
    <row r="2505" ht="15.75" customHeight="1">
      <c r="A2505" s="98">
        <v>45680.0</v>
      </c>
      <c r="B2505" s="98">
        <v>45711.0</v>
      </c>
      <c r="C2505" s="97">
        <v>0.1695</v>
      </c>
    </row>
    <row r="2506" ht="15.75" customHeight="1">
      <c r="A2506" s="98">
        <v>45681.0</v>
      </c>
      <c r="B2506" s="98">
        <v>45712.0</v>
      </c>
      <c r="C2506" s="97">
        <v>0.1554</v>
      </c>
    </row>
    <row r="2507" ht="15.75" customHeight="1">
      <c r="A2507" s="98">
        <v>45682.0</v>
      </c>
      <c r="B2507" s="98">
        <v>45713.0</v>
      </c>
      <c r="C2507" s="97">
        <v>0.1577</v>
      </c>
    </row>
    <row r="2508" ht="15.75" customHeight="1">
      <c r="A2508" s="98">
        <v>45683.0</v>
      </c>
      <c r="B2508" s="98">
        <v>45714.0</v>
      </c>
      <c r="C2508" s="97">
        <v>0.1697</v>
      </c>
    </row>
    <row r="2509" ht="15.75" customHeight="1">
      <c r="A2509" s="98">
        <v>45684.0</v>
      </c>
      <c r="B2509" s="98">
        <v>45715.0</v>
      </c>
      <c r="C2509" s="97">
        <v>0.1715</v>
      </c>
    </row>
    <row r="2510" ht="15.75" customHeight="1">
      <c r="A2510" s="98">
        <v>45685.0</v>
      </c>
      <c r="B2510" s="98">
        <v>45716.0</v>
      </c>
      <c r="C2510" s="97">
        <v>0.1714</v>
      </c>
    </row>
    <row r="2511" ht="15.75" customHeight="1">
      <c r="A2511" s="98">
        <v>45686.0</v>
      </c>
      <c r="B2511" s="98">
        <v>45717.0</v>
      </c>
      <c r="C2511" s="97">
        <v>0.1716</v>
      </c>
    </row>
    <row r="2512" ht="15.75" customHeight="1">
      <c r="A2512" s="98">
        <v>45687.0</v>
      </c>
      <c r="B2512" s="98">
        <v>45717.0</v>
      </c>
      <c r="C2512" s="97">
        <v>0.17</v>
      </c>
    </row>
    <row r="2513" ht="15.75" customHeight="1">
      <c r="A2513" s="98">
        <v>45688.0</v>
      </c>
      <c r="B2513" s="98">
        <v>45717.0</v>
      </c>
      <c r="C2513" s="97">
        <v>0.163</v>
      </c>
    </row>
    <row r="2514" ht="15.75" customHeight="1">
      <c r="A2514" s="98">
        <v>45689.0</v>
      </c>
      <c r="B2514" s="98">
        <v>45717.0</v>
      </c>
      <c r="C2514" s="97">
        <v>0.1324</v>
      </c>
    </row>
    <row r="2515" ht="15.75" customHeight="1">
      <c r="A2515" s="98">
        <v>45690.0</v>
      </c>
      <c r="B2515" s="98">
        <v>45718.0</v>
      </c>
      <c r="C2515" s="97">
        <v>0.1324</v>
      </c>
    </row>
    <row r="2516" ht="15.75" customHeight="1">
      <c r="A2516" s="98">
        <v>45691.0</v>
      </c>
      <c r="B2516" s="98">
        <v>45719.0</v>
      </c>
      <c r="C2516" s="97">
        <v>0.1324</v>
      </c>
    </row>
    <row r="2517" ht="15.75" customHeight="1">
      <c r="A2517" s="98">
        <v>45692.0</v>
      </c>
      <c r="B2517" s="98">
        <v>45720.0</v>
      </c>
      <c r="C2517" s="97">
        <v>0.1005</v>
      </c>
    </row>
    <row r="2518" ht="15.75" customHeight="1">
      <c r="A2518" s="98">
        <v>45693.0</v>
      </c>
      <c r="B2518" s="98">
        <v>45721.0</v>
      </c>
      <c r="C2518" s="97">
        <v>0.0732</v>
      </c>
    </row>
    <row r="2519" ht="15.75" customHeight="1">
      <c r="A2519" s="98">
        <v>45694.0</v>
      </c>
      <c r="B2519" s="98">
        <v>45722.0</v>
      </c>
      <c r="C2519" s="97">
        <v>0.0738</v>
      </c>
    </row>
    <row r="2520" ht="15.75" customHeight="1">
      <c r="A2520" s="98">
        <v>45695.0</v>
      </c>
      <c r="B2520" s="98">
        <v>45723.0</v>
      </c>
      <c r="C2520" s="97">
        <v>0.0737</v>
      </c>
    </row>
    <row r="2521" ht="15.75" customHeight="1">
      <c r="A2521" s="98">
        <v>45696.0</v>
      </c>
      <c r="B2521" s="98">
        <v>45724.0</v>
      </c>
      <c r="C2521" s="97">
        <v>0.0739</v>
      </c>
    </row>
    <row r="2522" ht="15.75" customHeight="1">
      <c r="A2522" s="98">
        <v>45697.0</v>
      </c>
      <c r="B2522" s="98">
        <v>45725.0</v>
      </c>
      <c r="C2522" s="97">
        <v>0.0739</v>
      </c>
    </row>
    <row r="2523" ht="15.75" customHeight="1">
      <c r="A2523" s="98">
        <v>45698.0</v>
      </c>
      <c r="B2523" s="98">
        <v>45726.0</v>
      </c>
      <c r="C2523" s="97">
        <v>0.0739</v>
      </c>
    </row>
    <row r="2524" ht="15.75" customHeight="1">
      <c r="A2524" s="98">
        <v>45699.0</v>
      </c>
      <c r="B2524" s="98">
        <v>45727.0</v>
      </c>
      <c r="C2524" s="97">
        <v>0.0738</v>
      </c>
    </row>
    <row r="2525" ht="15.75" customHeight="1">
      <c r="A2525" s="98">
        <v>45700.0</v>
      </c>
      <c r="B2525" s="98">
        <v>45728.0</v>
      </c>
      <c r="C2525" s="97">
        <v>0.074</v>
      </c>
    </row>
    <row r="2526" ht="15.75" customHeight="1">
      <c r="A2526" s="98">
        <v>45701.0</v>
      </c>
      <c r="B2526" s="98">
        <v>45729.0</v>
      </c>
      <c r="C2526" s="97">
        <v>0.074</v>
      </c>
    </row>
    <row r="2527" ht="15.75" customHeight="1">
      <c r="A2527" s="98">
        <v>45702.0</v>
      </c>
      <c r="B2527" s="98">
        <v>45730.0</v>
      </c>
      <c r="C2527" s="97">
        <v>0.0739</v>
      </c>
    </row>
    <row r="2528" ht="15.75" customHeight="1">
      <c r="A2528" s="98">
        <v>45703.0</v>
      </c>
      <c r="B2528" s="98">
        <v>45731.0</v>
      </c>
      <c r="C2528" s="97">
        <v>0.0741</v>
      </c>
    </row>
    <row r="2529" ht="15.75" customHeight="1">
      <c r="A2529" s="98">
        <v>45704.0</v>
      </c>
      <c r="B2529" s="98">
        <v>45732.0</v>
      </c>
      <c r="C2529" s="97">
        <v>0.0741</v>
      </c>
    </row>
    <row r="2530" ht="15.75" customHeight="1">
      <c r="A2530" s="98">
        <v>45705.0</v>
      </c>
      <c r="B2530" s="98">
        <v>45733.0</v>
      </c>
      <c r="C2530" s="97">
        <v>0.0741</v>
      </c>
    </row>
    <row r="2531" ht="15.75" customHeight="1">
      <c r="A2531" s="98">
        <v>45706.0</v>
      </c>
      <c r="B2531" s="98">
        <v>45734.0</v>
      </c>
      <c r="C2531" s="97">
        <v>0.0742</v>
      </c>
    </row>
    <row r="2532" ht="15.75" customHeight="1">
      <c r="A2532" s="98">
        <v>45707.0</v>
      </c>
      <c r="B2532" s="98">
        <v>45735.0</v>
      </c>
      <c r="C2532" s="97">
        <v>0.0741</v>
      </c>
    </row>
    <row r="2533" ht="15.75" customHeight="1">
      <c r="A2533" s="98">
        <v>45708.0</v>
      </c>
      <c r="B2533" s="98">
        <v>45736.0</v>
      </c>
      <c r="C2533" s="97">
        <v>0.1082</v>
      </c>
    </row>
    <row r="2534" ht="15.75" customHeight="1">
      <c r="A2534" s="98">
        <v>45709.0</v>
      </c>
      <c r="B2534" s="98">
        <v>45737.0</v>
      </c>
      <c r="C2534" s="97">
        <v>0.0743</v>
      </c>
    </row>
    <row r="2535" ht="15.75" customHeight="1">
      <c r="A2535" s="98">
        <v>45710.0</v>
      </c>
      <c r="B2535" s="98">
        <v>45738.0</v>
      </c>
      <c r="C2535" s="97">
        <v>0.0744</v>
      </c>
    </row>
    <row r="2536" ht="15.75" customHeight="1">
      <c r="A2536" s="98">
        <v>45711.0</v>
      </c>
      <c r="B2536" s="98">
        <v>45739.0</v>
      </c>
      <c r="C2536" s="97">
        <v>0.0744</v>
      </c>
    </row>
    <row r="2537" ht="15.75" customHeight="1">
      <c r="A2537" s="98">
        <v>45712.0</v>
      </c>
      <c r="B2537" s="98">
        <v>45740.0</v>
      </c>
      <c r="C2537" s="97">
        <v>0.0744</v>
      </c>
    </row>
    <row r="2538" ht="15.75" customHeight="1">
      <c r="A2538" s="98">
        <v>45713.0</v>
      </c>
      <c r="B2538" s="98">
        <v>45741.0</v>
      </c>
      <c r="C2538" s="97">
        <v>0.0744</v>
      </c>
    </row>
    <row r="2539" ht="15.75" customHeight="1">
      <c r="A2539" s="98">
        <v>45714.0</v>
      </c>
      <c r="B2539" s="98">
        <v>45742.0</v>
      </c>
      <c r="C2539" s="97">
        <v>0.075</v>
      </c>
    </row>
    <row r="2540" ht="15.75" customHeight="1">
      <c r="A2540" s="98">
        <v>45715.0</v>
      </c>
      <c r="B2540" s="98">
        <v>45743.0</v>
      </c>
      <c r="C2540" s="97">
        <v>0.0757</v>
      </c>
    </row>
    <row r="2541" ht="15.75" customHeight="1">
      <c r="A2541" s="98">
        <v>45716.0</v>
      </c>
      <c r="B2541" s="98">
        <v>45744.0</v>
      </c>
      <c r="C2541" s="97">
        <v>0.0769</v>
      </c>
    </row>
    <row r="2542" ht="15.75" customHeight="1">
      <c r="A2542" s="98">
        <v>45717.0</v>
      </c>
      <c r="B2542" s="98">
        <v>45745.0</v>
      </c>
      <c r="C2542" s="97">
        <v>0.0771</v>
      </c>
    </row>
    <row r="2543" ht="15.75" customHeight="1">
      <c r="A2543" s="98">
        <v>45717.0</v>
      </c>
      <c r="B2543" s="98">
        <v>45746.0</v>
      </c>
      <c r="C2543" s="97">
        <v>0.0771</v>
      </c>
    </row>
    <row r="2544" ht="15.75" customHeight="1">
      <c r="A2544" s="98">
        <v>45717.0</v>
      </c>
      <c r="B2544" s="98">
        <v>45747.0</v>
      </c>
      <c r="C2544" s="97">
        <v>0.0771</v>
      </c>
    </row>
    <row r="2545" ht="15.75" customHeight="1">
      <c r="A2545" s="98">
        <v>45717.0</v>
      </c>
      <c r="B2545" s="98">
        <v>45748.0</v>
      </c>
      <c r="C2545" s="97">
        <v>0.1092</v>
      </c>
    </row>
    <row r="2546" ht="15.75" customHeight="1">
      <c r="A2546" s="98">
        <v>45718.0</v>
      </c>
      <c r="B2546" s="98">
        <v>45749.0</v>
      </c>
      <c r="C2546" s="97">
        <v>0.143</v>
      </c>
    </row>
    <row r="2547" ht="15.75" customHeight="1">
      <c r="A2547" s="98">
        <v>45719.0</v>
      </c>
      <c r="B2547" s="98">
        <v>45750.0</v>
      </c>
      <c r="C2547" s="97">
        <v>0.169</v>
      </c>
    </row>
    <row r="2548" ht="15.75" customHeight="1">
      <c r="A2548" s="98">
        <v>45720.0</v>
      </c>
      <c r="B2548" s="98">
        <v>45751.0</v>
      </c>
      <c r="C2548" s="97">
        <v>0.1709</v>
      </c>
    </row>
    <row r="2549" ht="15.75" customHeight="1">
      <c r="A2549" s="98">
        <v>45721.0</v>
      </c>
      <c r="B2549" s="98">
        <v>45752.0</v>
      </c>
      <c r="C2549" s="97">
        <v>0.1728</v>
      </c>
    </row>
    <row r="2550" ht="15.75" customHeight="1">
      <c r="A2550" s="98">
        <v>45722.0</v>
      </c>
      <c r="B2550" s="98">
        <v>45753.0</v>
      </c>
      <c r="C2550" s="97">
        <v>0.1711</v>
      </c>
    </row>
    <row r="2551" ht="15.75" customHeight="1">
      <c r="A2551" s="98">
        <v>45723.0</v>
      </c>
      <c r="B2551" s="98">
        <v>45754.0</v>
      </c>
      <c r="C2551" s="97">
        <v>0.1693</v>
      </c>
    </row>
    <row r="2552" ht="15.75" customHeight="1">
      <c r="A2552" s="98">
        <v>45724.0</v>
      </c>
      <c r="B2552" s="98">
        <v>45755.0</v>
      </c>
      <c r="C2552" s="97">
        <v>0.1694</v>
      </c>
    </row>
    <row r="2553" ht="15.75" customHeight="1">
      <c r="A2553" s="98">
        <v>45725.0</v>
      </c>
      <c r="B2553" s="98">
        <v>45756.0</v>
      </c>
      <c r="C2553" s="97">
        <v>0.1713</v>
      </c>
    </row>
    <row r="2554" ht="15.75" customHeight="1">
      <c r="A2554" s="98">
        <v>45726.0</v>
      </c>
      <c r="B2554" s="98">
        <v>45757.0</v>
      </c>
      <c r="C2554" s="97">
        <v>0.1732</v>
      </c>
    </row>
    <row r="2555" ht="15.75" customHeight="1">
      <c r="A2555" s="98">
        <v>45727.0</v>
      </c>
      <c r="B2555" s="98">
        <v>45758.0</v>
      </c>
      <c r="C2555" s="97">
        <v>0.1734</v>
      </c>
    </row>
    <row r="2556" ht="15.75" customHeight="1">
      <c r="A2556" s="98">
        <v>45728.0</v>
      </c>
      <c r="B2556" s="98">
        <v>45759.0</v>
      </c>
      <c r="C2556" s="97">
        <v>0.1735</v>
      </c>
    </row>
    <row r="2557" ht="15.75" customHeight="1">
      <c r="A2557" s="98">
        <v>45729.0</v>
      </c>
      <c r="B2557" s="98">
        <v>45760.0</v>
      </c>
      <c r="C2557" s="97">
        <v>0.1717</v>
      </c>
    </row>
    <row r="2558" ht="15.75" customHeight="1">
      <c r="A2558" s="98">
        <v>45730.0</v>
      </c>
      <c r="B2558" s="98">
        <v>45761.0</v>
      </c>
      <c r="C2558" s="97">
        <v>0.17</v>
      </c>
    </row>
    <row r="2559" ht="15.75" customHeight="1">
      <c r="A2559" s="98">
        <v>45731.0</v>
      </c>
      <c r="B2559" s="98">
        <v>45762.0</v>
      </c>
      <c r="C2559" s="97">
        <v>0.17</v>
      </c>
    </row>
    <row r="2560" ht="15.75" customHeight="1">
      <c r="A2560" s="98">
        <v>45732.0</v>
      </c>
      <c r="B2560" s="98">
        <v>45763.0</v>
      </c>
      <c r="C2560" s="97">
        <v>0.1719</v>
      </c>
    </row>
    <row r="2561" ht="15.75" customHeight="1">
      <c r="A2561" s="98">
        <v>45733.0</v>
      </c>
      <c r="B2561" s="98">
        <v>45764.0</v>
      </c>
      <c r="C2561" s="97">
        <v>0.1738</v>
      </c>
    </row>
    <row r="2562" ht="15.75" customHeight="1">
      <c r="A2562" s="98">
        <v>45734.0</v>
      </c>
      <c r="B2562" s="98">
        <v>45765.0</v>
      </c>
      <c r="C2562" s="97">
        <v>0.1739</v>
      </c>
    </row>
    <row r="2563" ht="15.75" customHeight="1">
      <c r="A2563" s="98">
        <v>45735.0</v>
      </c>
      <c r="B2563" s="98">
        <v>45766.0</v>
      </c>
      <c r="C2563" s="97">
        <v>0.1722</v>
      </c>
    </row>
    <row r="2564" ht="15.75" customHeight="1">
      <c r="A2564" s="98">
        <v>45736.0</v>
      </c>
      <c r="B2564" s="98">
        <v>45767.0</v>
      </c>
      <c r="C2564" s="97">
        <v>0.1705</v>
      </c>
    </row>
    <row r="2565" ht="15.75" customHeight="1">
      <c r="A2565" s="98">
        <v>45737.0</v>
      </c>
      <c r="B2565" s="98">
        <v>45768.0</v>
      </c>
      <c r="C2565" s="97">
        <v>0.1688</v>
      </c>
    </row>
    <row r="2566" ht="15.75" customHeight="1">
      <c r="A2566" s="98">
        <v>45738.0</v>
      </c>
      <c r="B2566" s="98">
        <v>45769.0</v>
      </c>
      <c r="C2566" s="97">
        <v>0.1406</v>
      </c>
    </row>
    <row r="2567" ht="15.75" customHeight="1">
      <c r="A2567" s="98">
        <v>45739.0</v>
      </c>
      <c r="B2567" s="98">
        <v>45770.0</v>
      </c>
      <c r="C2567" s="97">
        <v>0.1689</v>
      </c>
    </row>
    <row r="2568" ht="15.75" customHeight="1">
      <c r="A2568" s="98">
        <v>45740.0</v>
      </c>
      <c r="B2568" s="98">
        <v>45771.0</v>
      </c>
      <c r="C2568" s="97">
        <v>0.1708</v>
      </c>
    </row>
    <row r="2569" ht="15.75" customHeight="1">
      <c r="A2569" s="98">
        <v>45741.0</v>
      </c>
      <c r="B2569" s="98">
        <v>45772.0</v>
      </c>
      <c r="C2569" s="97">
        <v>0.1707</v>
      </c>
    </row>
    <row r="2570" ht="15.75" customHeight="1">
      <c r="A2570" s="98">
        <v>45742.0</v>
      </c>
      <c r="B2570" s="98">
        <v>45773.0</v>
      </c>
      <c r="C2570" s="97">
        <v>0.1709</v>
      </c>
    </row>
    <row r="2571" ht="15.75" customHeight="1">
      <c r="A2571" s="98">
        <v>45743.0</v>
      </c>
      <c r="B2571" s="98">
        <v>45774.0</v>
      </c>
      <c r="C2571" s="97">
        <v>0.169</v>
      </c>
    </row>
    <row r="2572" ht="15.75" customHeight="1">
      <c r="A2572" s="98">
        <v>45744.0</v>
      </c>
      <c r="B2572" s="98">
        <v>45775.0</v>
      </c>
      <c r="C2572" s="97">
        <v>0.1422</v>
      </c>
    </row>
    <row r="2573" ht="15.75" customHeight="1">
      <c r="A2573" s="98">
        <v>45745.0</v>
      </c>
      <c r="B2573" s="98">
        <v>45776.0</v>
      </c>
      <c r="C2573" s="97">
        <v>0.1409</v>
      </c>
    </row>
    <row r="2574" ht="15.75" customHeight="1">
      <c r="A2574" s="98">
        <v>45746.0</v>
      </c>
      <c r="B2574" s="98">
        <v>45777.0</v>
      </c>
      <c r="C2574" s="97">
        <v>0.1689</v>
      </c>
    </row>
    <row r="2575" ht="15.75" customHeight="1">
      <c r="A2575" s="98">
        <v>45747.0</v>
      </c>
      <c r="B2575" s="98">
        <v>45778.0</v>
      </c>
      <c r="C2575" s="97">
        <v>0.1708</v>
      </c>
    </row>
    <row r="2576" ht="15.75" customHeight="1">
      <c r="A2576" s="98">
        <v>45748.0</v>
      </c>
      <c r="B2576" s="98">
        <v>45778.0</v>
      </c>
      <c r="C2576" s="97">
        <v>0.1689</v>
      </c>
    </row>
    <row r="2577" ht="15.75" customHeight="1">
      <c r="A2577" s="98">
        <v>45749.0</v>
      </c>
      <c r="B2577" s="98">
        <v>45779.0</v>
      </c>
      <c r="C2577" s="97">
        <v>0.1409</v>
      </c>
    </row>
    <row r="2578" ht="15.75" customHeight="1">
      <c r="A2578" s="98">
        <v>45750.0</v>
      </c>
      <c r="B2578" s="98">
        <v>45780.0</v>
      </c>
      <c r="C2578" s="97">
        <v>0.1441</v>
      </c>
    </row>
    <row r="2579" ht="15.75" customHeight="1">
      <c r="A2579" s="98">
        <v>45751.0</v>
      </c>
      <c r="B2579" s="98">
        <v>45781.0</v>
      </c>
      <c r="C2579" s="97">
        <v>0.1094</v>
      </c>
    </row>
    <row r="2580" ht="15.75" customHeight="1">
      <c r="A2580" s="98">
        <v>45752.0</v>
      </c>
      <c r="B2580" s="98">
        <v>45782.0</v>
      </c>
      <c r="C2580" s="97">
        <v>0.0744</v>
      </c>
    </row>
    <row r="2581" ht="15.75" customHeight="1">
      <c r="A2581" s="98">
        <v>45753.0</v>
      </c>
      <c r="B2581" s="98">
        <v>45783.0</v>
      </c>
      <c r="C2581" s="97">
        <v>0.1079</v>
      </c>
    </row>
    <row r="2582" ht="15.75" customHeight="1">
      <c r="A2582" s="98">
        <v>45754.0</v>
      </c>
      <c r="B2582" s="98">
        <v>45784.0</v>
      </c>
      <c r="C2582" s="97">
        <v>0.1416</v>
      </c>
    </row>
    <row r="2583" ht="15.75" customHeight="1">
      <c r="A2583" s="98">
        <v>45755.0</v>
      </c>
      <c r="B2583" s="98">
        <v>45785.0</v>
      </c>
      <c r="C2583" s="97">
        <v>0.1405</v>
      </c>
    </row>
    <row r="2584" ht="15.75" customHeight="1">
      <c r="A2584" s="98">
        <v>45756.0</v>
      </c>
      <c r="B2584" s="98">
        <v>45786.0</v>
      </c>
      <c r="C2584" s="97">
        <v>0.1435</v>
      </c>
    </row>
    <row r="2585" ht="15.75" customHeight="1">
      <c r="A2585" s="98">
        <v>45757.0</v>
      </c>
      <c r="B2585" s="98">
        <v>45787.0</v>
      </c>
      <c r="C2585" s="97">
        <v>0.1442</v>
      </c>
    </row>
    <row r="2586" ht="15.75" customHeight="1">
      <c r="A2586" s="98">
        <v>45758.0</v>
      </c>
      <c r="B2586" s="98">
        <v>45788.0</v>
      </c>
      <c r="C2586" s="97">
        <v>0.1089</v>
      </c>
    </row>
    <row r="2587" ht="15.75" customHeight="1">
      <c r="A2587" s="98">
        <v>45759.0</v>
      </c>
      <c r="B2587" s="98">
        <v>45789.0</v>
      </c>
      <c r="C2587" s="97">
        <v>0.0754</v>
      </c>
    </row>
    <row r="2588" ht="15.75" customHeight="1">
      <c r="A2588" s="98">
        <v>45760.0</v>
      </c>
      <c r="B2588" s="98">
        <v>45790.0</v>
      </c>
      <c r="C2588" s="97">
        <v>0.1093</v>
      </c>
    </row>
    <row r="2589" ht="15.75" customHeight="1">
      <c r="A2589" s="98">
        <v>45761.0</v>
      </c>
      <c r="B2589" s="98">
        <v>45791.0</v>
      </c>
      <c r="C2589" s="97">
        <v>0.1431</v>
      </c>
    </row>
    <row r="2590" ht="15.75" customHeight="1">
      <c r="A2590" s="98">
        <v>45762.0</v>
      </c>
      <c r="B2590" s="98">
        <v>45792.0</v>
      </c>
      <c r="C2590" s="97">
        <v>0.1434</v>
      </c>
    </row>
    <row r="2591" ht="15.75" customHeight="1">
      <c r="A2591" s="98">
        <v>45763.0</v>
      </c>
      <c r="B2591" s="98">
        <v>45793.0</v>
      </c>
      <c r="C2591" s="97">
        <v>0.1444</v>
      </c>
    </row>
    <row r="2592" ht="15.75" customHeight="1">
      <c r="A2592" s="98">
        <v>45764.0</v>
      </c>
      <c r="B2592" s="98">
        <v>45794.0</v>
      </c>
      <c r="C2592" s="97">
        <v>0.1448</v>
      </c>
    </row>
    <row r="2593" ht="15.75" customHeight="1">
      <c r="A2593" s="98">
        <v>45765.0</v>
      </c>
      <c r="B2593" s="98">
        <v>45795.0</v>
      </c>
      <c r="C2593" s="97">
        <v>0.1115</v>
      </c>
    </row>
    <row r="2594" ht="15.75" customHeight="1">
      <c r="A2594" s="98">
        <v>45766.0</v>
      </c>
      <c r="B2594" s="98">
        <v>45796.0</v>
      </c>
      <c r="C2594" s="97">
        <v>0.1115</v>
      </c>
    </row>
    <row r="2595" ht="15.75" customHeight="1">
      <c r="A2595" s="98">
        <v>45767.0</v>
      </c>
      <c r="B2595" s="98">
        <v>45797.0</v>
      </c>
      <c r="C2595" s="97">
        <v>0.1455</v>
      </c>
    </row>
    <row r="2596" ht="15.75" customHeight="1">
      <c r="A2596" s="98">
        <v>45768.0</v>
      </c>
      <c r="B2596" s="98">
        <v>45798.0</v>
      </c>
      <c r="C2596" s="97">
        <v>0.1692</v>
      </c>
    </row>
    <row r="2597" ht="15.75" customHeight="1">
      <c r="A2597" s="98">
        <v>45769.0</v>
      </c>
      <c r="B2597" s="98">
        <v>45799.0</v>
      </c>
      <c r="C2597" s="97">
        <v>0.1711</v>
      </c>
    </row>
    <row r="2598" ht="15.75" customHeight="1">
      <c r="A2598" s="98">
        <v>45770.0</v>
      </c>
      <c r="B2598" s="98">
        <v>45800.0</v>
      </c>
      <c r="C2598" s="97">
        <v>0.1711</v>
      </c>
    </row>
    <row r="2599" ht="15.75" customHeight="1">
      <c r="A2599" s="98">
        <v>45771.0</v>
      </c>
      <c r="B2599" s="98">
        <v>45801.0</v>
      </c>
      <c r="C2599" s="97">
        <v>0.1711</v>
      </c>
    </row>
    <row r="2600" ht="15.75" customHeight="1">
      <c r="A2600" s="98">
        <v>45772.0</v>
      </c>
      <c r="B2600" s="98">
        <v>45802.0</v>
      </c>
      <c r="C2600" s="97">
        <v>0.1692</v>
      </c>
    </row>
    <row r="2601" ht="15.75" customHeight="1">
      <c r="A2601" s="98">
        <v>45773.0</v>
      </c>
      <c r="B2601" s="98">
        <v>45803.0</v>
      </c>
      <c r="C2601" s="97">
        <v>0.1469</v>
      </c>
    </row>
    <row r="2602" ht="15.75" customHeight="1">
      <c r="A2602" s="98">
        <v>45774.0</v>
      </c>
      <c r="B2602" s="98">
        <v>45804.0</v>
      </c>
      <c r="C2602" s="97">
        <v>0.1693</v>
      </c>
    </row>
    <row r="2603" ht="15.75" customHeight="1">
      <c r="A2603" s="98">
        <v>45775.0</v>
      </c>
      <c r="B2603" s="98">
        <v>45805.0</v>
      </c>
      <c r="C2603" s="97">
        <v>0.1712</v>
      </c>
    </row>
    <row r="2604" ht="15.75" customHeight="1">
      <c r="A2604" s="98">
        <v>45776.0</v>
      </c>
      <c r="B2604" s="98">
        <v>45806.0</v>
      </c>
      <c r="C2604" s="97">
        <v>0.1712</v>
      </c>
    </row>
    <row r="2605" ht="15.75" customHeight="1">
      <c r="A2605" s="98">
        <v>45777.0</v>
      </c>
      <c r="B2605" s="98">
        <v>45807.0</v>
      </c>
      <c r="C2605" s="97">
        <v>0.1711</v>
      </c>
    </row>
    <row r="2606" ht="15.75" customHeight="1">
      <c r="A2606" s="98">
        <v>45778.0</v>
      </c>
      <c r="B2606" s="98">
        <v>45808.0</v>
      </c>
      <c r="C2606" s="97">
        <v>0.1712</v>
      </c>
    </row>
    <row r="2607" ht="15.75" customHeight="1">
      <c r="A2607" s="98">
        <v>45778.0</v>
      </c>
      <c r="B2607" s="98">
        <v>45809.0</v>
      </c>
      <c r="C2607" s="97">
        <v>0.1712</v>
      </c>
    </row>
    <row r="2608" ht="15.75" customHeight="1">
      <c r="A2608" s="98">
        <v>45779.0</v>
      </c>
      <c r="B2608" s="98">
        <v>45810.0</v>
      </c>
      <c r="C2608" s="97">
        <v>0.1712</v>
      </c>
    </row>
    <row r="2609" ht="15.75" customHeight="1">
      <c r="A2609" s="98">
        <v>45780.0</v>
      </c>
      <c r="B2609" s="98">
        <v>45811.0</v>
      </c>
      <c r="C2609" s="97">
        <v>0.1713</v>
      </c>
    </row>
    <row r="2610" ht="15.75" customHeight="1">
      <c r="A2610" s="98">
        <v>45781.0</v>
      </c>
      <c r="B2610" s="98">
        <v>45812.0</v>
      </c>
      <c r="C2610" s="97">
        <v>0.1732</v>
      </c>
    </row>
    <row r="2611" ht="15.75" customHeight="1">
      <c r="A2611" s="98">
        <v>45782.0</v>
      </c>
      <c r="B2611" s="98">
        <v>45813.0</v>
      </c>
      <c r="C2611" s="97">
        <v>0.1751</v>
      </c>
    </row>
    <row r="2612" ht="15.75" customHeight="1">
      <c r="A2612" s="98">
        <v>45783.0</v>
      </c>
      <c r="B2612" s="98">
        <v>45814.0</v>
      </c>
      <c r="C2612" s="97">
        <v>0.1752</v>
      </c>
    </row>
    <row r="2613" ht="15.75" customHeight="1">
      <c r="A2613" s="98">
        <v>45784.0</v>
      </c>
      <c r="B2613" s="98">
        <v>45815.0</v>
      </c>
      <c r="C2613" s="97">
        <v>0.1752</v>
      </c>
    </row>
    <row r="2614" ht="15.75" customHeight="1">
      <c r="A2614" s="98">
        <v>45785.0</v>
      </c>
      <c r="B2614" s="98">
        <v>45816.0</v>
      </c>
      <c r="C2614" s="97">
        <v>0.1735</v>
      </c>
    </row>
    <row r="2615" ht="15.75" customHeight="1">
      <c r="A2615" s="98">
        <v>45786.0</v>
      </c>
      <c r="B2615" s="98">
        <v>45817.0</v>
      </c>
      <c r="C2615" s="97">
        <v>0.1715</v>
      </c>
    </row>
    <row r="2616" ht="15.75" customHeight="1">
      <c r="A2616" s="98">
        <v>45787.0</v>
      </c>
      <c r="B2616" s="98">
        <v>45818.0</v>
      </c>
      <c r="C2616" s="97">
        <v>0.1716</v>
      </c>
    </row>
    <row r="2617" ht="15.75" customHeight="1">
      <c r="A2617" s="98">
        <v>45788.0</v>
      </c>
      <c r="B2617" s="98">
        <v>45819.0</v>
      </c>
      <c r="C2617" s="97">
        <v>0.1735</v>
      </c>
    </row>
    <row r="2618" ht="15.75" customHeight="1">
      <c r="A2618" s="98">
        <v>45789.0</v>
      </c>
      <c r="B2618" s="98">
        <v>45820.0</v>
      </c>
      <c r="C2618" s="97">
        <v>0.1754</v>
      </c>
    </row>
    <row r="2619" ht="15.75" customHeight="1">
      <c r="A2619" s="98">
        <v>45790.0</v>
      </c>
      <c r="B2619" s="98">
        <v>45821.0</v>
      </c>
      <c r="C2619" s="97">
        <v>0.1754</v>
      </c>
    </row>
    <row r="2620" ht="15.75" customHeight="1">
      <c r="A2620" s="98">
        <v>45791.0</v>
      </c>
      <c r="B2620" s="98">
        <v>45822.0</v>
      </c>
      <c r="C2620" s="97">
        <v>0.1755</v>
      </c>
    </row>
    <row r="2621" ht="15.75" customHeight="1">
      <c r="A2621" s="98">
        <v>45792.0</v>
      </c>
      <c r="B2621" s="98">
        <v>45823.0</v>
      </c>
      <c r="C2621" s="97">
        <v>0.1735</v>
      </c>
    </row>
    <row r="2622" ht="15.75" customHeight="1">
      <c r="A2622" s="98">
        <v>45793.0</v>
      </c>
      <c r="B2622" s="98">
        <v>45824.0</v>
      </c>
      <c r="C2622" s="97">
        <v>0.1716</v>
      </c>
    </row>
    <row r="2623" ht="15.75" customHeight="1">
      <c r="A2623" s="98">
        <v>45794.0</v>
      </c>
      <c r="B2623" s="98">
        <v>45825.0</v>
      </c>
      <c r="C2623" s="97">
        <v>0.1717</v>
      </c>
    </row>
    <row r="2624" ht="15.75" customHeight="1">
      <c r="A2624" s="98">
        <v>45795.0</v>
      </c>
      <c r="B2624" s="98">
        <v>45826.0</v>
      </c>
      <c r="C2624" s="97">
        <v>0.1736</v>
      </c>
    </row>
    <row r="2625" ht="15.75" customHeight="1">
      <c r="A2625" s="98">
        <v>45796.0</v>
      </c>
      <c r="B2625" s="98">
        <v>45827.0</v>
      </c>
      <c r="C2625" s="97">
        <v>0.1755</v>
      </c>
    </row>
    <row r="2626" ht="15.75" customHeight="1">
      <c r="A2626" s="98">
        <v>45797.0</v>
      </c>
      <c r="B2626" s="98">
        <v>45828.0</v>
      </c>
      <c r="C2626" s="97">
        <v>0.1736</v>
      </c>
    </row>
    <row r="2627" ht="15.75" customHeight="1">
      <c r="A2627" s="98">
        <v>45798.0</v>
      </c>
      <c r="B2627" s="98">
        <v>45829.0</v>
      </c>
      <c r="C2627" s="97">
        <v>0.1736</v>
      </c>
    </row>
    <row r="2628" ht="15.75" customHeight="1">
      <c r="A2628" s="98">
        <v>45799.0</v>
      </c>
      <c r="B2628" s="98">
        <v>45830.0</v>
      </c>
      <c r="C2628" s="97">
        <v>0.1717</v>
      </c>
    </row>
    <row r="2629" ht="15.75" customHeight="1">
      <c r="A2629" s="98">
        <v>45800.0</v>
      </c>
      <c r="B2629" s="98">
        <v>45831.0</v>
      </c>
      <c r="C2629" s="97">
        <v>0.1698</v>
      </c>
    </row>
    <row r="2630" ht="15.75" customHeight="1">
      <c r="A2630" s="98">
        <v>45801.0</v>
      </c>
      <c r="B2630" s="98">
        <v>45832.0</v>
      </c>
      <c r="C2630" s="97">
        <v>0.1698</v>
      </c>
    </row>
    <row r="2631" ht="15.75" customHeight="1">
      <c r="A2631" s="98">
        <v>45802.0</v>
      </c>
      <c r="B2631" s="98">
        <v>45833.0</v>
      </c>
      <c r="C2631" s="97">
        <v>0.1717</v>
      </c>
    </row>
    <row r="2632" ht="15.75" customHeight="1">
      <c r="A2632" s="98">
        <v>45803.0</v>
      </c>
      <c r="B2632" s="98">
        <v>45834.0</v>
      </c>
      <c r="C2632" s="97">
        <v>0.1736</v>
      </c>
    </row>
    <row r="2633" ht="15.75" customHeight="1">
      <c r="A2633" s="98">
        <v>45804.0</v>
      </c>
      <c r="B2633" s="98">
        <v>45835.0</v>
      </c>
      <c r="C2633" s="97">
        <v>0.1736</v>
      </c>
    </row>
    <row r="2634" ht="15.75" customHeight="1">
      <c r="A2634" s="98">
        <v>45805.0</v>
      </c>
      <c r="B2634" s="98">
        <v>45836.0</v>
      </c>
      <c r="C2634" s="97">
        <v>0.1736</v>
      </c>
    </row>
    <row r="2635" ht="15.75" customHeight="1">
      <c r="A2635" s="98">
        <v>45806.0</v>
      </c>
      <c r="B2635" s="98">
        <v>45837.0</v>
      </c>
      <c r="C2635" s="97">
        <v>0.1718</v>
      </c>
    </row>
    <row r="2636" ht="15.75" customHeight="1">
      <c r="A2636" s="98">
        <v>45807.0</v>
      </c>
      <c r="B2636" s="98">
        <v>45838.0</v>
      </c>
      <c r="C2636" s="97">
        <v>0.1698</v>
      </c>
    </row>
    <row r="2637" ht="15.75" customHeight="1">
      <c r="A2637" s="98">
        <v>45808.0</v>
      </c>
      <c r="B2637" s="98">
        <v>45839.0</v>
      </c>
      <c r="C2637" s="97">
        <v>0.1699</v>
      </c>
    </row>
    <row r="2638" ht="15.75" customHeight="1">
      <c r="A2638" s="98">
        <v>45809.0</v>
      </c>
      <c r="B2638" s="98">
        <v>45839.0</v>
      </c>
      <c r="C2638" s="97">
        <v>0.1699</v>
      </c>
    </row>
    <row r="2639" ht="15.75" customHeight="1">
      <c r="A2639" s="98">
        <v>45810.0</v>
      </c>
      <c r="B2639" s="98">
        <v>45840.0</v>
      </c>
      <c r="C2639" s="97">
        <v>0.1718</v>
      </c>
    </row>
    <row r="2640" ht="15.75" customHeight="1">
      <c r="A2640" s="98">
        <v>45811.0</v>
      </c>
      <c r="B2640" s="98">
        <v>45841.0</v>
      </c>
      <c r="C2640" s="97">
        <v>0.1718</v>
      </c>
    </row>
    <row r="2641" ht="15.75" customHeight="1">
      <c r="A2641" s="98">
        <v>45812.0</v>
      </c>
      <c r="B2641" s="98">
        <v>45842.0</v>
      </c>
      <c r="C2641" s="97">
        <v>0.1718</v>
      </c>
    </row>
    <row r="2642" ht="15.75" customHeight="1">
      <c r="A2642" s="98">
        <v>45813.0</v>
      </c>
      <c r="B2642" s="98">
        <v>45843.0</v>
      </c>
      <c r="C2642" s="97">
        <v>0.1718</v>
      </c>
    </row>
    <row r="2643" ht="15.75" customHeight="1">
      <c r="A2643" s="98">
        <v>45814.0</v>
      </c>
      <c r="B2643" s="98">
        <v>45844.0</v>
      </c>
      <c r="C2643" s="97">
        <v>0.17</v>
      </c>
    </row>
    <row r="2644" ht="15.75" customHeight="1">
      <c r="A2644" s="97" t="s">
        <v>46</v>
      </c>
      <c r="B2644" s="97" t="s">
        <v>47</v>
      </c>
      <c r="C2644" s="97" t="s">
        <v>48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3.43"/>
    <col customWidth="1" min="3" max="3" width="12.14"/>
    <col customWidth="1" min="4" max="4" width="12.57"/>
    <col customWidth="1" min="5" max="5" width="11.14"/>
    <col customWidth="1" min="6" max="6" width="10.71"/>
    <col customWidth="1" min="7" max="7" width="13.57"/>
    <col customWidth="1" min="8" max="8" width="8.43"/>
    <col customWidth="1" min="9" max="9" width="10.14"/>
    <col customWidth="1" min="10" max="10" width="6.86"/>
    <col customWidth="1" min="11" max="11" width="7.14"/>
    <col customWidth="1" min="12" max="12" width="6.43"/>
    <col customWidth="1" min="13" max="13" width="19.14"/>
    <col customWidth="1" min="14" max="14" width="11.43"/>
    <col customWidth="1" min="15" max="15" width="12.43"/>
    <col customWidth="1" min="16" max="16" width="10.71"/>
    <col customWidth="1" min="17" max="17" width="9.14"/>
    <col customWidth="1" min="18" max="18" width="12.71"/>
    <col customWidth="1" min="19" max="19" width="9.14"/>
    <col customWidth="1" min="20" max="20" width="12.43"/>
    <col customWidth="1" min="21" max="25" width="9.14"/>
    <col customWidth="1" min="26" max="26" width="8.71"/>
  </cols>
  <sheetData>
    <row r="1" ht="18.75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tr">
        <f>'AP01'!A3</f>
        <v>Requerente: ADRIANA MELO DE OLIVEIRA</v>
      </c>
      <c r="B3" s="6"/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 t="str">
        <f>'AP01'!A4</f>
        <v>Requerido: ITAÚ UNIBANCO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1" t="s">
        <v>3</v>
      </c>
      <c r="B5" s="12"/>
      <c r="C5" s="12"/>
      <c r="D5" s="13">
        <f>'AP01'!D5</f>
        <v>432000</v>
      </c>
      <c r="E5" s="14"/>
      <c r="F5" s="12" t="s">
        <v>4</v>
      </c>
      <c r="G5" s="14"/>
      <c r="H5" s="14"/>
      <c r="I5" s="15">
        <f>'AP01'!I5</f>
        <v>360</v>
      </c>
      <c r="J5" s="4"/>
      <c r="K5" s="4"/>
      <c r="L5" s="4" t="s">
        <v>50</v>
      </c>
      <c r="M5" s="4"/>
      <c r="N5" s="4"/>
      <c r="O5" s="4"/>
      <c r="P5" s="16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8" t="s">
        <v>5</v>
      </c>
      <c r="B6" s="19"/>
      <c r="C6" s="19"/>
      <c r="D6" s="20">
        <f>'AP01'!D6</f>
        <v>129600</v>
      </c>
      <c r="E6" s="4"/>
      <c r="F6" s="101" t="s">
        <v>51</v>
      </c>
      <c r="G6" s="102"/>
      <c r="H6" s="102"/>
      <c r="I6" s="103">
        <v>0.0062</v>
      </c>
      <c r="J6" s="4"/>
      <c r="K6" s="4"/>
      <c r="L6" s="4" t="s">
        <v>52</v>
      </c>
      <c r="M6" s="4"/>
      <c r="N6" s="4"/>
      <c r="O6" s="4"/>
      <c r="P6" s="23"/>
      <c r="Q6" s="4"/>
      <c r="R6" s="4"/>
      <c r="S6" s="4"/>
      <c r="T6" s="104" t="s">
        <v>53</v>
      </c>
      <c r="U6" s="87"/>
      <c r="V6" s="87"/>
      <c r="W6" s="87"/>
      <c r="X6" s="87"/>
      <c r="Y6" s="88"/>
      <c r="Z6" s="4"/>
    </row>
    <row r="7" ht="18.75" customHeight="1">
      <c r="A7" s="18" t="s">
        <v>7</v>
      </c>
      <c r="B7" s="19"/>
      <c r="C7" s="19"/>
      <c r="D7" s="20">
        <f>D5-D6</f>
        <v>302400</v>
      </c>
      <c r="E7" s="4"/>
      <c r="F7" s="101" t="s">
        <v>54</v>
      </c>
      <c r="G7" s="102"/>
      <c r="H7" s="102"/>
      <c r="I7" s="103">
        <v>0.0775</v>
      </c>
      <c r="J7" s="4"/>
      <c r="K7" s="4"/>
      <c r="L7" s="19" t="s">
        <v>55</v>
      </c>
      <c r="M7" s="105" t="s">
        <v>7</v>
      </c>
      <c r="N7" s="20">
        <f>D7/I5</f>
        <v>840</v>
      </c>
      <c r="O7" s="4" t="s">
        <v>56</v>
      </c>
      <c r="P7" s="23"/>
      <c r="Q7" s="4"/>
      <c r="R7" s="4"/>
      <c r="S7" s="4"/>
      <c r="T7" s="106"/>
      <c r="Y7" s="107"/>
      <c r="Z7" s="4"/>
    </row>
    <row r="8" ht="18.75" customHeight="1">
      <c r="A8" s="18" t="s">
        <v>10</v>
      </c>
      <c r="B8" s="19"/>
      <c r="C8" s="19"/>
      <c r="D8" s="26">
        <f>'AP01'!D8</f>
        <v>43241</v>
      </c>
      <c r="E8" s="4"/>
      <c r="F8" s="21" t="s">
        <v>8</v>
      </c>
      <c r="G8" s="4"/>
      <c r="H8" s="4"/>
      <c r="I8" s="22">
        <f>'AP01'!I7</f>
        <v>0.117</v>
      </c>
      <c r="J8" s="4"/>
      <c r="K8" s="4"/>
      <c r="L8" s="4"/>
      <c r="M8" s="36" t="s">
        <v>57</v>
      </c>
      <c r="N8" s="4"/>
      <c r="O8" s="4"/>
      <c r="P8" s="28"/>
      <c r="Q8" s="4"/>
      <c r="R8" s="4"/>
      <c r="S8" s="4"/>
      <c r="T8" s="106"/>
      <c r="Y8" s="107"/>
      <c r="Z8" s="4"/>
    </row>
    <row r="9" ht="18.75" customHeight="1">
      <c r="A9" s="18" t="s">
        <v>12</v>
      </c>
      <c r="B9" s="19"/>
      <c r="C9" s="19"/>
      <c r="D9" s="26">
        <f>'AP01'!D9</f>
        <v>43272</v>
      </c>
      <c r="E9" s="4"/>
      <c r="F9" s="108" t="s">
        <v>58</v>
      </c>
      <c r="G9" s="109"/>
      <c r="H9" s="109"/>
      <c r="I9" s="110">
        <f>(I8/I7)-1</f>
        <v>0.5096774194</v>
      </c>
      <c r="J9" s="4"/>
      <c r="K9" s="4"/>
      <c r="L9" s="4" t="s">
        <v>59</v>
      </c>
      <c r="M9" s="36"/>
      <c r="N9" s="4"/>
      <c r="O9" s="4"/>
      <c r="P9" s="28"/>
      <c r="Q9" s="4"/>
      <c r="R9" s="4"/>
      <c r="S9" s="4"/>
      <c r="T9" s="89"/>
      <c r="U9" s="90"/>
      <c r="V9" s="90"/>
      <c r="W9" s="90"/>
      <c r="X9" s="90"/>
      <c r="Y9" s="91"/>
      <c r="Z9" s="4"/>
    </row>
    <row r="10" ht="18.75" customHeight="1">
      <c r="A10" s="18" t="s">
        <v>14</v>
      </c>
      <c r="B10" s="19"/>
      <c r="C10" s="19"/>
      <c r="D10" s="16" t="str">
        <f>'AP01'!D10</f>
        <v>SAC</v>
      </c>
      <c r="E10" s="4"/>
      <c r="F10" s="19" t="s">
        <v>16</v>
      </c>
      <c r="G10" s="4"/>
      <c r="H10" s="4"/>
      <c r="I10" s="29">
        <f>'AP01'!I10</f>
        <v>2549.813565</v>
      </c>
      <c r="J10" s="4"/>
      <c r="K10" s="4"/>
      <c r="L10" s="19" t="s">
        <v>60</v>
      </c>
      <c r="M10" s="4" t="s">
        <v>61</v>
      </c>
      <c r="N10" s="20">
        <f>D7*I6</f>
        <v>1874.88</v>
      </c>
      <c r="O10" s="4" t="s">
        <v>56</v>
      </c>
      <c r="P10" s="20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31" t="s">
        <v>17</v>
      </c>
      <c r="B11" s="32"/>
      <c r="C11" s="32"/>
      <c r="D11" s="33" t="str">
        <f>'AP01'!D11</f>
        <v>TR</v>
      </c>
      <c r="E11" s="34"/>
      <c r="F11" s="32" t="s">
        <v>19</v>
      </c>
      <c r="G11" s="34"/>
      <c r="H11" s="34"/>
      <c r="I11" s="35" t="str">
        <f>'AP01'!I11</f>
        <v>SFH</v>
      </c>
      <c r="J11" s="4"/>
      <c r="K11" s="4"/>
      <c r="L11" s="19" t="s">
        <v>62</v>
      </c>
      <c r="M11" s="19"/>
      <c r="N11" s="111">
        <f>N7+N10</f>
        <v>2714.88</v>
      </c>
      <c r="O11" s="4"/>
      <c r="P11" s="19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6"/>
      <c r="P12" s="36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0" customHeight="1">
      <c r="A13" s="37" t="s">
        <v>21</v>
      </c>
      <c r="B13" s="38" t="s">
        <v>22</v>
      </c>
      <c r="C13" s="39" t="s">
        <v>23</v>
      </c>
      <c r="D13" s="39" t="s">
        <v>24</v>
      </c>
      <c r="E13" s="39" t="s">
        <v>25</v>
      </c>
      <c r="F13" s="40" t="s">
        <v>26</v>
      </c>
      <c r="G13" s="40" t="s">
        <v>27</v>
      </c>
      <c r="H13" s="40" t="s">
        <v>28</v>
      </c>
      <c r="I13" s="40" t="s">
        <v>29</v>
      </c>
      <c r="J13" s="40" t="s">
        <v>30</v>
      </c>
      <c r="K13" s="40" t="s">
        <v>31</v>
      </c>
      <c r="L13" s="40" t="s">
        <v>32</v>
      </c>
      <c r="M13" s="40" t="s">
        <v>63</v>
      </c>
      <c r="N13" s="40" t="s">
        <v>34</v>
      </c>
      <c r="O13" s="40" t="s">
        <v>35</v>
      </c>
      <c r="P13" s="40" t="s">
        <v>17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1">
        <v>0.0</v>
      </c>
      <c r="B14" s="42">
        <f t="shared" ref="B14:B15" si="1">D8</f>
        <v>43241</v>
      </c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4"/>
      <c r="N14" s="43"/>
      <c r="O14" s="45">
        <f>D7</f>
        <v>302400</v>
      </c>
      <c r="P14" s="45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9">
        <f t="shared" ref="A15:A374" si="2">A14+1</f>
        <v>1</v>
      </c>
      <c r="B15" s="50">
        <f t="shared" si="1"/>
        <v>43272</v>
      </c>
      <c r="C15" s="47">
        <v>0.07</v>
      </c>
      <c r="D15" s="47">
        <v>0.005654</v>
      </c>
      <c r="E15" s="51">
        <f>'AP02'!$F15+'AP02'!$G15</f>
        <v>2549.7696</v>
      </c>
      <c r="F15" s="51">
        <f>(O14*'AP02'!$P15)*'AP02'!$D15</f>
        <v>1709.7696</v>
      </c>
      <c r="G15" s="51">
        <f>(O14*'AP02'!$P15)/($I$5-A14)</f>
        <v>840</v>
      </c>
      <c r="H15" s="52">
        <v>0.0</v>
      </c>
      <c r="I15" s="52">
        <v>0.0</v>
      </c>
      <c r="J15" s="51">
        <v>25.0</v>
      </c>
      <c r="K15" s="52">
        <v>0.0</v>
      </c>
      <c r="L15" s="52">
        <v>0.0</v>
      </c>
      <c r="M15" s="51">
        <f>SUM('AP02'!$F15:$L15)</f>
        <v>2574.7696</v>
      </c>
      <c r="N15" s="51">
        <f>O14*('AP02'!$P15-1)</f>
        <v>0</v>
      </c>
      <c r="O15" s="51">
        <f>(O14*'AP02'!$P15)-'AP02'!$G15</f>
        <v>301560</v>
      </c>
      <c r="P15" s="53">
        <v>1.0</v>
      </c>
      <c r="Q15" s="4"/>
      <c r="R15" s="112"/>
      <c r="S15" s="4"/>
      <c r="T15" s="84"/>
      <c r="U15" s="4"/>
      <c r="V15" s="84"/>
      <c r="W15" s="54"/>
      <c r="X15" s="4"/>
      <c r="Y15" s="4"/>
      <c r="Z15" s="4"/>
    </row>
    <row r="16" ht="18.75" customHeight="1">
      <c r="A16" s="49">
        <f t="shared" si="2"/>
        <v>2</v>
      </c>
      <c r="B16" s="50">
        <f t="shared" ref="B16:B374" si="5">EDATE(B15,1)</f>
        <v>43302</v>
      </c>
      <c r="C16" s="47">
        <f t="shared" ref="C16:D16" si="3">C15</f>
        <v>0.07</v>
      </c>
      <c r="D16" s="47">
        <f t="shared" si="3"/>
        <v>0.005654</v>
      </c>
      <c r="E16" s="51">
        <f>'AP02'!$F16+'AP02'!$G16</f>
        <v>2545.02024</v>
      </c>
      <c r="F16" s="51">
        <f>(O15*'AP02'!$P16)*'AP02'!$D16</f>
        <v>1705.02024</v>
      </c>
      <c r="G16" s="51">
        <f>(O15*'AP02'!$P16)/($I$5-A15)</f>
        <v>840</v>
      </c>
      <c r="H16" s="52">
        <f t="shared" ref="H16:L16" si="4">H15</f>
        <v>0</v>
      </c>
      <c r="I16" s="52">
        <f t="shared" si="4"/>
        <v>0</v>
      </c>
      <c r="J16" s="51">
        <f t="shared" si="4"/>
        <v>25</v>
      </c>
      <c r="K16" s="52">
        <f t="shared" si="4"/>
        <v>0</v>
      </c>
      <c r="L16" s="52">
        <f t="shared" si="4"/>
        <v>0</v>
      </c>
      <c r="M16" s="51">
        <f>SUM('AP02'!$F16:$L16)</f>
        <v>2570.02024</v>
      </c>
      <c r="N16" s="51">
        <f>O15*('AP02'!$P16-1)</f>
        <v>0</v>
      </c>
      <c r="O16" s="51">
        <f>(O15*'AP02'!$P16)-'AP02'!$G16</f>
        <v>300720</v>
      </c>
      <c r="P16" s="53">
        <f t="shared" ref="P16:P57" si="8">P15</f>
        <v>1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9">
        <f t="shared" si="2"/>
        <v>3</v>
      </c>
      <c r="B17" s="50">
        <f t="shared" si="5"/>
        <v>43333</v>
      </c>
      <c r="C17" s="47">
        <f t="shared" ref="C17:D17" si="6">C16</f>
        <v>0.07</v>
      </c>
      <c r="D17" s="47">
        <f t="shared" si="6"/>
        <v>0.005654</v>
      </c>
      <c r="E17" s="51">
        <f>'AP02'!$F17+'AP02'!$G17</f>
        <v>2540.27088</v>
      </c>
      <c r="F17" s="51">
        <f>(O16*'AP02'!$P17)*'AP02'!$D17</f>
        <v>1700.27088</v>
      </c>
      <c r="G17" s="51">
        <f>(O16*'AP02'!$P17)/($I$5-A16)</f>
        <v>840</v>
      </c>
      <c r="H17" s="52">
        <f t="shared" ref="H17:L17" si="7">H16</f>
        <v>0</v>
      </c>
      <c r="I17" s="52">
        <f t="shared" si="7"/>
        <v>0</v>
      </c>
      <c r="J17" s="51">
        <f t="shared" si="7"/>
        <v>25</v>
      </c>
      <c r="K17" s="52">
        <f t="shared" si="7"/>
        <v>0</v>
      </c>
      <c r="L17" s="52">
        <f t="shared" si="7"/>
        <v>0</v>
      </c>
      <c r="M17" s="51">
        <f>SUM('AP02'!$F17:$L17)</f>
        <v>2565.27088</v>
      </c>
      <c r="N17" s="51">
        <f>O16*('AP02'!$P17-1)</f>
        <v>0</v>
      </c>
      <c r="O17" s="51">
        <f>(O16*'AP02'!$P17)-'AP02'!$G17</f>
        <v>299880</v>
      </c>
      <c r="P17" s="53">
        <f t="shared" si="8"/>
        <v>1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9">
        <f t="shared" si="2"/>
        <v>4</v>
      </c>
      <c r="B18" s="50">
        <f t="shared" si="5"/>
        <v>43364</v>
      </c>
      <c r="C18" s="47">
        <f t="shared" ref="C18:D18" si="9">C17</f>
        <v>0.07</v>
      </c>
      <c r="D18" s="47">
        <f t="shared" si="9"/>
        <v>0.005654</v>
      </c>
      <c r="E18" s="51">
        <f>'AP02'!$F18+'AP02'!$G18</f>
        <v>2535.52152</v>
      </c>
      <c r="F18" s="51">
        <f>(O17*'AP02'!$P18)*'AP02'!$D18</f>
        <v>1695.52152</v>
      </c>
      <c r="G18" s="51">
        <f>(O17*'AP02'!$P18)/($I$5-A17)</f>
        <v>840</v>
      </c>
      <c r="H18" s="52">
        <f t="shared" ref="H18:L18" si="10">H17</f>
        <v>0</v>
      </c>
      <c r="I18" s="52">
        <f t="shared" si="10"/>
        <v>0</v>
      </c>
      <c r="J18" s="51">
        <f t="shared" si="10"/>
        <v>25</v>
      </c>
      <c r="K18" s="52">
        <f t="shared" si="10"/>
        <v>0</v>
      </c>
      <c r="L18" s="52">
        <f t="shared" si="10"/>
        <v>0</v>
      </c>
      <c r="M18" s="51">
        <f>SUM('AP02'!$F18:$L18)</f>
        <v>2560.52152</v>
      </c>
      <c r="N18" s="51">
        <f>O17*('AP02'!$P18-1)</f>
        <v>0</v>
      </c>
      <c r="O18" s="51">
        <f>(O17*'AP02'!$P18)-'AP02'!$G18</f>
        <v>299040</v>
      </c>
      <c r="P18" s="53">
        <f t="shared" si="8"/>
        <v>1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9">
        <f t="shared" si="2"/>
        <v>5</v>
      </c>
      <c r="B19" s="50">
        <f t="shared" si="5"/>
        <v>43394</v>
      </c>
      <c r="C19" s="47">
        <f t="shared" ref="C19:D19" si="11">C18</f>
        <v>0.07</v>
      </c>
      <c r="D19" s="47">
        <f t="shared" si="11"/>
        <v>0.005654</v>
      </c>
      <c r="E19" s="51">
        <f>'AP02'!$F19+'AP02'!$G19</f>
        <v>2530.77216</v>
      </c>
      <c r="F19" s="51">
        <f>(O18*'AP02'!$P19)*'AP02'!$D19</f>
        <v>1690.77216</v>
      </c>
      <c r="G19" s="51">
        <f>(O18*'AP02'!$P19)/($I$5-A18)</f>
        <v>840</v>
      </c>
      <c r="H19" s="52">
        <f t="shared" ref="H19:L19" si="12">H18</f>
        <v>0</v>
      </c>
      <c r="I19" s="52">
        <f t="shared" si="12"/>
        <v>0</v>
      </c>
      <c r="J19" s="51">
        <f t="shared" si="12"/>
        <v>25</v>
      </c>
      <c r="K19" s="52">
        <f t="shared" si="12"/>
        <v>0</v>
      </c>
      <c r="L19" s="52">
        <f t="shared" si="12"/>
        <v>0</v>
      </c>
      <c r="M19" s="51">
        <f>SUM('AP02'!$F19:$L19)</f>
        <v>2555.77216</v>
      </c>
      <c r="N19" s="51">
        <f>O18*('AP02'!$P19-1)</f>
        <v>0</v>
      </c>
      <c r="O19" s="51">
        <f>(O18*'AP02'!$P19)-'AP02'!$G19</f>
        <v>298200</v>
      </c>
      <c r="P19" s="53">
        <f t="shared" si="8"/>
        <v>1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9">
        <f t="shared" si="2"/>
        <v>6</v>
      </c>
      <c r="B20" s="50">
        <f t="shared" si="5"/>
        <v>43425</v>
      </c>
      <c r="C20" s="47">
        <f t="shared" ref="C20:D20" si="13">C19</f>
        <v>0.07</v>
      </c>
      <c r="D20" s="47">
        <f t="shared" si="13"/>
        <v>0.005654</v>
      </c>
      <c r="E20" s="51">
        <f>'AP02'!$F20+'AP02'!$G20</f>
        <v>2526.0228</v>
      </c>
      <c r="F20" s="51">
        <f>(O19*'AP02'!$P20)*'AP02'!$D20</f>
        <v>1686.0228</v>
      </c>
      <c r="G20" s="51">
        <f>(O19*'AP02'!$P20)/($I$5-A19)</f>
        <v>840</v>
      </c>
      <c r="H20" s="52">
        <f t="shared" ref="H20:L20" si="14">H19</f>
        <v>0</v>
      </c>
      <c r="I20" s="52">
        <f t="shared" si="14"/>
        <v>0</v>
      </c>
      <c r="J20" s="51">
        <f t="shared" si="14"/>
        <v>25</v>
      </c>
      <c r="K20" s="52">
        <f t="shared" si="14"/>
        <v>0</v>
      </c>
      <c r="L20" s="52">
        <f t="shared" si="14"/>
        <v>0</v>
      </c>
      <c r="M20" s="51">
        <f>SUM('AP02'!$F20:$L20)</f>
        <v>2551.0228</v>
      </c>
      <c r="N20" s="51">
        <f>O19*('AP02'!$P20-1)</f>
        <v>0</v>
      </c>
      <c r="O20" s="51">
        <f>(O19*'AP02'!$P20)-'AP02'!$G20</f>
        <v>297360</v>
      </c>
      <c r="P20" s="53">
        <f t="shared" si="8"/>
        <v>1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9">
        <f t="shared" si="2"/>
        <v>7</v>
      </c>
      <c r="B21" s="50">
        <f t="shared" si="5"/>
        <v>43455</v>
      </c>
      <c r="C21" s="47">
        <f t="shared" ref="C21:D21" si="15">C20</f>
        <v>0.07</v>
      </c>
      <c r="D21" s="47">
        <f t="shared" si="15"/>
        <v>0.005654</v>
      </c>
      <c r="E21" s="51">
        <f>'AP02'!$F21+'AP02'!$G21</f>
        <v>2521.27344</v>
      </c>
      <c r="F21" s="51">
        <f>(O20*'AP02'!$P21)*'AP02'!$D21</f>
        <v>1681.27344</v>
      </c>
      <c r="G21" s="51">
        <f>(O20*'AP02'!$P21)/($I$5-A20)</f>
        <v>840</v>
      </c>
      <c r="H21" s="52">
        <f t="shared" ref="H21:L21" si="16">H20</f>
        <v>0</v>
      </c>
      <c r="I21" s="52">
        <f t="shared" si="16"/>
        <v>0</v>
      </c>
      <c r="J21" s="51">
        <f t="shared" si="16"/>
        <v>25</v>
      </c>
      <c r="K21" s="52">
        <f t="shared" si="16"/>
        <v>0</v>
      </c>
      <c r="L21" s="52">
        <f t="shared" si="16"/>
        <v>0</v>
      </c>
      <c r="M21" s="51">
        <f>SUM('AP02'!$F21:$L21)</f>
        <v>2546.27344</v>
      </c>
      <c r="N21" s="51">
        <f>O20*('AP02'!$P21-1)</f>
        <v>0</v>
      </c>
      <c r="O21" s="51">
        <f>(O20*'AP02'!$P21)-'AP02'!$G21</f>
        <v>296520</v>
      </c>
      <c r="P21" s="53">
        <f t="shared" si="8"/>
        <v>1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9">
        <f t="shared" si="2"/>
        <v>8</v>
      </c>
      <c r="B22" s="50">
        <f t="shared" si="5"/>
        <v>43486</v>
      </c>
      <c r="C22" s="47">
        <f t="shared" ref="C22:D22" si="17">C21</f>
        <v>0.07</v>
      </c>
      <c r="D22" s="47">
        <f t="shared" si="17"/>
        <v>0.005654</v>
      </c>
      <c r="E22" s="51">
        <f>'AP02'!$F22+'AP02'!$G22</f>
        <v>2516.52408</v>
      </c>
      <c r="F22" s="51">
        <f>(O21*'AP02'!$P22)*'AP02'!$D22</f>
        <v>1676.52408</v>
      </c>
      <c r="G22" s="51">
        <f>(O21*'AP02'!$P22)/($I$5-A21)</f>
        <v>840</v>
      </c>
      <c r="H22" s="52">
        <f t="shared" ref="H22:L22" si="18">H21</f>
        <v>0</v>
      </c>
      <c r="I22" s="52">
        <f t="shared" si="18"/>
        <v>0</v>
      </c>
      <c r="J22" s="51">
        <f t="shared" si="18"/>
        <v>25</v>
      </c>
      <c r="K22" s="52">
        <f t="shared" si="18"/>
        <v>0</v>
      </c>
      <c r="L22" s="52">
        <f t="shared" si="18"/>
        <v>0</v>
      </c>
      <c r="M22" s="51">
        <f>SUM('AP02'!$F22:$L22)</f>
        <v>2541.52408</v>
      </c>
      <c r="N22" s="51">
        <f>O21*('AP02'!$P22-1)</f>
        <v>0</v>
      </c>
      <c r="O22" s="51">
        <f>(O21*'AP02'!$P22)-'AP02'!$G22</f>
        <v>295680</v>
      </c>
      <c r="P22" s="53">
        <f t="shared" si="8"/>
        <v>1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9">
        <f t="shared" si="2"/>
        <v>9</v>
      </c>
      <c r="B23" s="50">
        <f t="shared" si="5"/>
        <v>43517</v>
      </c>
      <c r="C23" s="47">
        <f t="shared" ref="C23:D23" si="19">C22</f>
        <v>0.07</v>
      </c>
      <c r="D23" s="47">
        <f t="shared" si="19"/>
        <v>0.005654</v>
      </c>
      <c r="E23" s="51">
        <f>'AP02'!$F23+'AP02'!$G23</f>
        <v>2511.77472</v>
      </c>
      <c r="F23" s="51">
        <f>(O22*'AP02'!$P23)*'AP02'!$D23</f>
        <v>1671.77472</v>
      </c>
      <c r="G23" s="51">
        <f>(O22*'AP02'!$P23)/($I$5-A22)</f>
        <v>840</v>
      </c>
      <c r="H23" s="52">
        <f t="shared" ref="H23:L23" si="20">H22</f>
        <v>0</v>
      </c>
      <c r="I23" s="52">
        <f t="shared" si="20"/>
        <v>0</v>
      </c>
      <c r="J23" s="51">
        <f t="shared" si="20"/>
        <v>25</v>
      </c>
      <c r="K23" s="52">
        <f t="shared" si="20"/>
        <v>0</v>
      </c>
      <c r="L23" s="52">
        <f t="shared" si="20"/>
        <v>0</v>
      </c>
      <c r="M23" s="51">
        <f>SUM('AP02'!$F23:$L23)</f>
        <v>2536.77472</v>
      </c>
      <c r="N23" s="51">
        <f>O22*('AP02'!$P23-1)</f>
        <v>0</v>
      </c>
      <c r="O23" s="51">
        <f>(O22*'AP02'!$P23)-'AP02'!$G23</f>
        <v>294840</v>
      </c>
      <c r="P23" s="53">
        <f t="shared" si="8"/>
        <v>1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9">
        <f t="shared" si="2"/>
        <v>10</v>
      </c>
      <c r="B24" s="50">
        <f t="shared" si="5"/>
        <v>43545</v>
      </c>
      <c r="C24" s="47">
        <f t="shared" ref="C24:D24" si="21">C23</f>
        <v>0.07</v>
      </c>
      <c r="D24" s="47">
        <f t="shared" si="21"/>
        <v>0.005654</v>
      </c>
      <c r="E24" s="51">
        <f>'AP02'!$F24+'AP02'!$G24</f>
        <v>2507.02536</v>
      </c>
      <c r="F24" s="51">
        <f>(O23*'AP02'!$P24)*'AP02'!$D24</f>
        <v>1667.02536</v>
      </c>
      <c r="G24" s="51">
        <f>(O23*'AP02'!$P24)/($I$5-A23)</f>
        <v>840</v>
      </c>
      <c r="H24" s="52">
        <f t="shared" ref="H24:L24" si="22">H23</f>
        <v>0</v>
      </c>
      <c r="I24" s="52">
        <f t="shared" si="22"/>
        <v>0</v>
      </c>
      <c r="J24" s="51">
        <f t="shared" si="22"/>
        <v>25</v>
      </c>
      <c r="K24" s="52">
        <f t="shared" si="22"/>
        <v>0</v>
      </c>
      <c r="L24" s="52">
        <f t="shared" si="22"/>
        <v>0</v>
      </c>
      <c r="M24" s="51">
        <f>SUM('AP02'!$F24:$L24)</f>
        <v>2532.02536</v>
      </c>
      <c r="N24" s="51">
        <f>O23*('AP02'!$P24-1)</f>
        <v>0</v>
      </c>
      <c r="O24" s="51">
        <f>(O23*'AP02'!$P24)-'AP02'!$G24</f>
        <v>294000</v>
      </c>
      <c r="P24" s="53">
        <f t="shared" si="8"/>
        <v>1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9">
        <f t="shared" si="2"/>
        <v>11</v>
      </c>
      <c r="B25" s="50">
        <f t="shared" si="5"/>
        <v>43576</v>
      </c>
      <c r="C25" s="47">
        <f t="shared" ref="C25:D25" si="23">C24</f>
        <v>0.07</v>
      </c>
      <c r="D25" s="47">
        <f t="shared" si="23"/>
        <v>0.005654</v>
      </c>
      <c r="E25" s="51">
        <f>'AP02'!$F25+'AP02'!$G25</f>
        <v>2502.276</v>
      </c>
      <c r="F25" s="51">
        <f>(O24*'AP02'!$P25)*'AP02'!$D25</f>
        <v>1662.276</v>
      </c>
      <c r="G25" s="51">
        <f>(O24*'AP02'!$P25)/($I$5-A24)</f>
        <v>840</v>
      </c>
      <c r="H25" s="52">
        <f t="shared" ref="H25:L25" si="24">H24</f>
        <v>0</v>
      </c>
      <c r="I25" s="52">
        <f t="shared" si="24"/>
        <v>0</v>
      </c>
      <c r="J25" s="51">
        <f t="shared" si="24"/>
        <v>25</v>
      </c>
      <c r="K25" s="52">
        <f t="shared" si="24"/>
        <v>0</v>
      </c>
      <c r="L25" s="52">
        <f t="shared" si="24"/>
        <v>0</v>
      </c>
      <c r="M25" s="51">
        <f>SUM('AP02'!$F25:$L25)</f>
        <v>2527.276</v>
      </c>
      <c r="N25" s="51">
        <f>O24*('AP02'!$P25-1)</f>
        <v>0</v>
      </c>
      <c r="O25" s="51">
        <f>(O24*'AP02'!$P25)-'AP02'!$G25</f>
        <v>293160</v>
      </c>
      <c r="P25" s="53">
        <f t="shared" si="8"/>
        <v>1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9">
        <f t="shared" si="2"/>
        <v>12</v>
      </c>
      <c r="B26" s="50">
        <f t="shared" si="5"/>
        <v>43606</v>
      </c>
      <c r="C26" s="47">
        <f t="shared" ref="C26:D26" si="25">C25</f>
        <v>0.07</v>
      </c>
      <c r="D26" s="47">
        <f t="shared" si="25"/>
        <v>0.005654</v>
      </c>
      <c r="E26" s="51">
        <f>'AP02'!$F26+'AP02'!$G26</f>
        <v>2497.52664</v>
      </c>
      <c r="F26" s="51">
        <f>(O25*'AP02'!$P26)*'AP02'!$D26</f>
        <v>1657.52664</v>
      </c>
      <c r="G26" s="51">
        <f>(O25*'AP02'!$P26)/($I$5-A25)</f>
        <v>840</v>
      </c>
      <c r="H26" s="52">
        <f t="shared" ref="H26:L26" si="26">H25</f>
        <v>0</v>
      </c>
      <c r="I26" s="52">
        <f t="shared" si="26"/>
        <v>0</v>
      </c>
      <c r="J26" s="51">
        <f t="shared" si="26"/>
        <v>25</v>
      </c>
      <c r="K26" s="52">
        <f t="shared" si="26"/>
        <v>0</v>
      </c>
      <c r="L26" s="52">
        <f t="shared" si="26"/>
        <v>0</v>
      </c>
      <c r="M26" s="51">
        <f>SUM('AP02'!$F26:$L26)</f>
        <v>2522.52664</v>
      </c>
      <c r="N26" s="51">
        <f>O25*('AP02'!$P26-1)</f>
        <v>0</v>
      </c>
      <c r="O26" s="51">
        <f>(O25*'AP02'!$P26)-'AP02'!$G26</f>
        <v>292320</v>
      </c>
      <c r="P26" s="53">
        <f t="shared" si="8"/>
        <v>1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9">
        <f t="shared" si="2"/>
        <v>13</v>
      </c>
      <c r="B27" s="50">
        <f t="shared" si="5"/>
        <v>43637</v>
      </c>
      <c r="C27" s="47">
        <f t="shared" ref="C27:D27" si="27">C26</f>
        <v>0.07</v>
      </c>
      <c r="D27" s="47">
        <f t="shared" si="27"/>
        <v>0.005654</v>
      </c>
      <c r="E27" s="51">
        <f>'AP02'!$F27+'AP02'!$G27</f>
        <v>2492.77728</v>
      </c>
      <c r="F27" s="51">
        <f>(O26*'AP02'!$P27)*'AP02'!$D27</f>
        <v>1652.77728</v>
      </c>
      <c r="G27" s="51">
        <f>(O26*'AP02'!$P27)/($I$5-A26)</f>
        <v>840</v>
      </c>
      <c r="H27" s="52">
        <f t="shared" ref="H27:L27" si="28">H26</f>
        <v>0</v>
      </c>
      <c r="I27" s="52">
        <f t="shared" si="28"/>
        <v>0</v>
      </c>
      <c r="J27" s="51">
        <f t="shared" si="28"/>
        <v>25</v>
      </c>
      <c r="K27" s="52">
        <f t="shared" si="28"/>
        <v>0</v>
      </c>
      <c r="L27" s="52">
        <f t="shared" si="28"/>
        <v>0</v>
      </c>
      <c r="M27" s="51">
        <f>SUM('AP02'!$F27:$L27)</f>
        <v>2517.77728</v>
      </c>
      <c r="N27" s="51">
        <f>O26*('AP02'!$P27-1)</f>
        <v>0</v>
      </c>
      <c r="O27" s="51">
        <f>(O26*'AP02'!$P27)-'AP02'!$G27</f>
        <v>291480</v>
      </c>
      <c r="P27" s="53">
        <f t="shared" si="8"/>
        <v>1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9">
        <f t="shared" si="2"/>
        <v>14</v>
      </c>
      <c r="B28" s="50">
        <f t="shared" si="5"/>
        <v>43667</v>
      </c>
      <c r="C28" s="47">
        <f t="shared" ref="C28:D28" si="29">C27</f>
        <v>0.07</v>
      </c>
      <c r="D28" s="47">
        <f t="shared" si="29"/>
        <v>0.005654</v>
      </c>
      <c r="E28" s="51">
        <f>'AP02'!$F28+'AP02'!$G28</f>
        <v>2488.02792</v>
      </c>
      <c r="F28" s="51">
        <f>(O27*'AP02'!$P28)*'AP02'!$D28</f>
        <v>1648.02792</v>
      </c>
      <c r="G28" s="51">
        <f>(O27*'AP02'!$P28)/($I$5-A27)</f>
        <v>840</v>
      </c>
      <c r="H28" s="52">
        <f t="shared" ref="H28:L28" si="30">H27</f>
        <v>0</v>
      </c>
      <c r="I28" s="52">
        <f t="shared" si="30"/>
        <v>0</v>
      </c>
      <c r="J28" s="51">
        <f t="shared" si="30"/>
        <v>25</v>
      </c>
      <c r="K28" s="52">
        <f t="shared" si="30"/>
        <v>0</v>
      </c>
      <c r="L28" s="52">
        <f t="shared" si="30"/>
        <v>0</v>
      </c>
      <c r="M28" s="51">
        <f>SUM('AP02'!$F28:$L28)</f>
        <v>2513.02792</v>
      </c>
      <c r="N28" s="51">
        <f>O27*('AP02'!$P28-1)</f>
        <v>0</v>
      </c>
      <c r="O28" s="51">
        <f>(O27*'AP02'!$P28)-'AP02'!$G28</f>
        <v>290640</v>
      </c>
      <c r="P28" s="53">
        <f t="shared" si="8"/>
        <v>1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9">
        <f t="shared" si="2"/>
        <v>15</v>
      </c>
      <c r="B29" s="50">
        <f t="shared" si="5"/>
        <v>43698</v>
      </c>
      <c r="C29" s="47">
        <f t="shared" ref="C29:D29" si="31">C28</f>
        <v>0.07</v>
      </c>
      <c r="D29" s="47">
        <f t="shared" si="31"/>
        <v>0.005654</v>
      </c>
      <c r="E29" s="51">
        <f>'AP02'!$F29+'AP02'!$G29</f>
        <v>2483.27856</v>
      </c>
      <c r="F29" s="51">
        <f>(O28*'AP02'!$P29)*'AP02'!$D29</f>
        <v>1643.27856</v>
      </c>
      <c r="G29" s="51">
        <f>(O28*'AP02'!$P29)/($I$5-A28)</f>
        <v>840</v>
      </c>
      <c r="H29" s="52">
        <f t="shared" ref="H29:L29" si="32">H28</f>
        <v>0</v>
      </c>
      <c r="I29" s="52">
        <f t="shared" si="32"/>
        <v>0</v>
      </c>
      <c r="J29" s="51">
        <f t="shared" si="32"/>
        <v>25</v>
      </c>
      <c r="K29" s="52">
        <f t="shared" si="32"/>
        <v>0</v>
      </c>
      <c r="L29" s="52">
        <f t="shared" si="32"/>
        <v>0</v>
      </c>
      <c r="M29" s="51">
        <f>SUM('AP02'!$F29:$L29)</f>
        <v>2508.27856</v>
      </c>
      <c r="N29" s="51">
        <f>O28*('AP02'!$P29-1)</f>
        <v>0</v>
      </c>
      <c r="O29" s="51">
        <f>(O28*'AP02'!$P29)-'AP02'!$G29</f>
        <v>289800</v>
      </c>
      <c r="P29" s="53">
        <f t="shared" si="8"/>
        <v>1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9">
        <f t="shared" si="2"/>
        <v>16</v>
      </c>
      <c r="B30" s="50">
        <f t="shared" si="5"/>
        <v>43729</v>
      </c>
      <c r="C30" s="47">
        <f t="shared" ref="C30:D30" si="33">C29</f>
        <v>0.07</v>
      </c>
      <c r="D30" s="47">
        <f t="shared" si="33"/>
        <v>0.005654</v>
      </c>
      <c r="E30" s="51">
        <f>'AP02'!$F30+'AP02'!$G30</f>
        <v>2478.5292</v>
      </c>
      <c r="F30" s="51">
        <f>(O29*'AP02'!$P30)*'AP02'!$D30</f>
        <v>1638.5292</v>
      </c>
      <c r="G30" s="51">
        <f>(O29*'AP02'!$P30)/($I$5-A29)</f>
        <v>840</v>
      </c>
      <c r="H30" s="52">
        <f t="shared" ref="H30:L30" si="34">H29</f>
        <v>0</v>
      </c>
      <c r="I30" s="52">
        <f t="shared" si="34"/>
        <v>0</v>
      </c>
      <c r="J30" s="51">
        <f t="shared" si="34"/>
        <v>25</v>
      </c>
      <c r="K30" s="52">
        <f t="shared" si="34"/>
        <v>0</v>
      </c>
      <c r="L30" s="52">
        <f t="shared" si="34"/>
        <v>0</v>
      </c>
      <c r="M30" s="51">
        <f>SUM('AP02'!$F30:$L30)</f>
        <v>2503.5292</v>
      </c>
      <c r="N30" s="51">
        <f>O29*('AP02'!$P30-1)</f>
        <v>0</v>
      </c>
      <c r="O30" s="51">
        <f>(O29*'AP02'!$P30)-'AP02'!$G30</f>
        <v>288960</v>
      </c>
      <c r="P30" s="53">
        <f t="shared" si="8"/>
        <v>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9">
        <f t="shared" si="2"/>
        <v>17</v>
      </c>
      <c r="B31" s="50">
        <f t="shared" si="5"/>
        <v>43759</v>
      </c>
      <c r="C31" s="47">
        <f t="shared" ref="C31:D31" si="35">C30</f>
        <v>0.07</v>
      </c>
      <c r="D31" s="47">
        <f t="shared" si="35"/>
        <v>0.005654</v>
      </c>
      <c r="E31" s="51">
        <f>'AP02'!$F31+'AP02'!$G31</f>
        <v>2473.77984</v>
      </c>
      <c r="F31" s="51">
        <f>(O30*'AP02'!$P31)*'AP02'!$D31</f>
        <v>1633.77984</v>
      </c>
      <c r="G31" s="51">
        <f>(O30*'AP02'!$P31)/($I$5-A30)</f>
        <v>840</v>
      </c>
      <c r="H31" s="52">
        <f t="shared" ref="H31:L31" si="36">H30</f>
        <v>0</v>
      </c>
      <c r="I31" s="52">
        <f t="shared" si="36"/>
        <v>0</v>
      </c>
      <c r="J31" s="51">
        <f t="shared" si="36"/>
        <v>25</v>
      </c>
      <c r="K31" s="52">
        <f t="shared" si="36"/>
        <v>0</v>
      </c>
      <c r="L31" s="52">
        <f t="shared" si="36"/>
        <v>0</v>
      </c>
      <c r="M31" s="51">
        <f>SUM('AP02'!$F31:$L31)</f>
        <v>2498.77984</v>
      </c>
      <c r="N31" s="51">
        <f>O30*('AP02'!$P31-1)</f>
        <v>0</v>
      </c>
      <c r="O31" s="51">
        <f>(O30*'AP02'!$P31)-'AP02'!$G31</f>
        <v>288120</v>
      </c>
      <c r="P31" s="53">
        <f t="shared" si="8"/>
        <v>1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9">
        <f t="shared" si="2"/>
        <v>18</v>
      </c>
      <c r="B32" s="50">
        <f t="shared" si="5"/>
        <v>43790</v>
      </c>
      <c r="C32" s="47">
        <f t="shared" ref="C32:D32" si="37">C31</f>
        <v>0.07</v>
      </c>
      <c r="D32" s="47">
        <f t="shared" si="37"/>
        <v>0.005654</v>
      </c>
      <c r="E32" s="51">
        <f>'AP02'!$F32+'AP02'!$G32</f>
        <v>2469.03048</v>
      </c>
      <c r="F32" s="51">
        <f>(O31*'AP02'!$P32)*'AP02'!$D32</f>
        <v>1629.03048</v>
      </c>
      <c r="G32" s="51">
        <f>(O31*'AP02'!$P32)/($I$5-A31)</f>
        <v>840</v>
      </c>
      <c r="H32" s="52">
        <f t="shared" ref="H32:L32" si="38">H31</f>
        <v>0</v>
      </c>
      <c r="I32" s="52">
        <f t="shared" si="38"/>
        <v>0</v>
      </c>
      <c r="J32" s="51">
        <f t="shared" si="38"/>
        <v>25</v>
      </c>
      <c r="K32" s="52">
        <f t="shared" si="38"/>
        <v>0</v>
      </c>
      <c r="L32" s="52">
        <f t="shared" si="38"/>
        <v>0</v>
      </c>
      <c r="M32" s="51">
        <f>SUM('AP02'!$F32:$L32)</f>
        <v>2494.03048</v>
      </c>
      <c r="N32" s="51">
        <f>O31*('AP02'!$P32-1)</f>
        <v>0</v>
      </c>
      <c r="O32" s="51">
        <f>(O31*'AP02'!$P32)-'AP02'!$G32</f>
        <v>287280</v>
      </c>
      <c r="P32" s="53">
        <f t="shared" si="8"/>
        <v>1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9">
        <f t="shared" si="2"/>
        <v>19</v>
      </c>
      <c r="B33" s="50">
        <f t="shared" si="5"/>
        <v>43820</v>
      </c>
      <c r="C33" s="47">
        <f t="shared" ref="C33:D33" si="39">C32</f>
        <v>0.07</v>
      </c>
      <c r="D33" s="47">
        <f t="shared" si="39"/>
        <v>0.005654</v>
      </c>
      <c r="E33" s="51">
        <f>'AP02'!$F33+'AP02'!$G33</f>
        <v>2464.28112</v>
      </c>
      <c r="F33" s="51">
        <f>(O32*'AP02'!$P33)*'AP02'!$D33</f>
        <v>1624.28112</v>
      </c>
      <c r="G33" s="51">
        <f>(O32*'AP02'!$P33)/($I$5-A32)</f>
        <v>840</v>
      </c>
      <c r="H33" s="52">
        <f t="shared" ref="H33:L33" si="40">H32</f>
        <v>0</v>
      </c>
      <c r="I33" s="52">
        <f t="shared" si="40"/>
        <v>0</v>
      </c>
      <c r="J33" s="51">
        <f t="shared" si="40"/>
        <v>25</v>
      </c>
      <c r="K33" s="52">
        <f t="shared" si="40"/>
        <v>0</v>
      </c>
      <c r="L33" s="52">
        <f t="shared" si="40"/>
        <v>0</v>
      </c>
      <c r="M33" s="51">
        <f>SUM('AP02'!$F33:$L33)</f>
        <v>2489.28112</v>
      </c>
      <c r="N33" s="51">
        <f>O32*('AP02'!$P33-1)</f>
        <v>0</v>
      </c>
      <c r="O33" s="51">
        <f>(O32*'AP02'!$P33)-'AP02'!$G33</f>
        <v>286440</v>
      </c>
      <c r="P33" s="53">
        <f t="shared" si="8"/>
        <v>1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9">
        <f t="shared" si="2"/>
        <v>20</v>
      </c>
      <c r="B34" s="50">
        <f t="shared" si="5"/>
        <v>43851</v>
      </c>
      <c r="C34" s="47">
        <f t="shared" ref="C34:D34" si="41">C33</f>
        <v>0.07</v>
      </c>
      <c r="D34" s="47">
        <f t="shared" si="41"/>
        <v>0.005654</v>
      </c>
      <c r="E34" s="51">
        <f>'AP02'!$F34+'AP02'!$G34</f>
        <v>2459.53176</v>
      </c>
      <c r="F34" s="51">
        <f>(O33*'AP02'!$P34)*'AP02'!$D34</f>
        <v>1619.53176</v>
      </c>
      <c r="G34" s="51">
        <f>(O33*'AP02'!$P34)/($I$5-A33)</f>
        <v>840</v>
      </c>
      <c r="H34" s="52">
        <f t="shared" ref="H34:L34" si="42">H33</f>
        <v>0</v>
      </c>
      <c r="I34" s="52">
        <f t="shared" si="42"/>
        <v>0</v>
      </c>
      <c r="J34" s="51">
        <f t="shared" si="42"/>
        <v>25</v>
      </c>
      <c r="K34" s="52">
        <f t="shared" si="42"/>
        <v>0</v>
      </c>
      <c r="L34" s="52">
        <f t="shared" si="42"/>
        <v>0</v>
      </c>
      <c r="M34" s="51">
        <f>SUM('AP02'!$F34:$L34)</f>
        <v>2484.53176</v>
      </c>
      <c r="N34" s="51">
        <f>O33*('AP02'!$P34-1)</f>
        <v>0</v>
      </c>
      <c r="O34" s="51">
        <f>(O33*'AP02'!$P34)-'AP02'!$G34</f>
        <v>285600</v>
      </c>
      <c r="P34" s="53">
        <f t="shared" si="8"/>
        <v>1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9">
        <f t="shared" si="2"/>
        <v>21</v>
      </c>
      <c r="B35" s="50">
        <f t="shared" si="5"/>
        <v>43882</v>
      </c>
      <c r="C35" s="47">
        <f t="shared" ref="C35:D35" si="43">C34</f>
        <v>0.07</v>
      </c>
      <c r="D35" s="47">
        <f t="shared" si="43"/>
        <v>0.005654</v>
      </c>
      <c r="E35" s="51">
        <f>'AP02'!$F35+'AP02'!$G35</f>
        <v>2454.7824</v>
      </c>
      <c r="F35" s="51">
        <f>(O34*'AP02'!$P35)*'AP02'!$D35</f>
        <v>1614.7824</v>
      </c>
      <c r="G35" s="51">
        <f>(O34*'AP02'!$P35)/($I$5-A34)</f>
        <v>840</v>
      </c>
      <c r="H35" s="52">
        <f t="shared" ref="H35:L35" si="44">H34</f>
        <v>0</v>
      </c>
      <c r="I35" s="52">
        <f t="shared" si="44"/>
        <v>0</v>
      </c>
      <c r="J35" s="51">
        <f t="shared" si="44"/>
        <v>25</v>
      </c>
      <c r="K35" s="52">
        <f t="shared" si="44"/>
        <v>0</v>
      </c>
      <c r="L35" s="52">
        <f t="shared" si="44"/>
        <v>0</v>
      </c>
      <c r="M35" s="51">
        <f>SUM('AP02'!$F35:$L35)</f>
        <v>2479.7824</v>
      </c>
      <c r="N35" s="51">
        <f>O34*('AP02'!$P35-1)</f>
        <v>0</v>
      </c>
      <c r="O35" s="51">
        <f>(O34*'AP02'!$P35)-'AP02'!$G35</f>
        <v>284760</v>
      </c>
      <c r="P35" s="53">
        <f t="shared" si="8"/>
        <v>1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9">
        <f t="shared" si="2"/>
        <v>22</v>
      </c>
      <c r="B36" s="50">
        <f t="shared" si="5"/>
        <v>43911</v>
      </c>
      <c r="C36" s="47">
        <v>0.062</v>
      </c>
      <c r="D36" s="47">
        <v>0.005025</v>
      </c>
      <c r="E36" s="51">
        <f>'AP02'!$F36+'AP02'!$G36</f>
        <v>2270.919</v>
      </c>
      <c r="F36" s="51">
        <f>(O35*'AP02'!$P36)*'AP02'!$D36</f>
        <v>1430.919</v>
      </c>
      <c r="G36" s="51">
        <f>(O35*'AP02'!$P36)/($I$5-A35)</f>
        <v>840</v>
      </c>
      <c r="H36" s="52">
        <f t="shared" ref="H36:L36" si="45">H35</f>
        <v>0</v>
      </c>
      <c r="I36" s="52">
        <f t="shared" si="45"/>
        <v>0</v>
      </c>
      <c r="J36" s="51">
        <f t="shared" si="45"/>
        <v>25</v>
      </c>
      <c r="K36" s="52">
        <f t="shared" si="45"/>
        <v>0</v>
      </c>
      <c r="L36" s="52">
        <f t="shared" si="45"/>
        <v>0</v>
      </c>
      <c r="M36" s="51">
        <f>SUM('AP02'!$F36:$L36)</f>
        <v>2295.919</v>
      </c>
      <c r="N36" s="51">
        <f>O35*('AP02'!$P36-1)</f>
        <v>0</v>
      </c>
      <c r="O36" s="51">
        <f>(O35*'AP02'!$P36)-'AP02'!$G36</f>
        <v>283920</v>
      </c>
      <c r="P36" s="53">
        <f t="shared" si="8"/>
        <v>1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9">
        <f t="shared" si="2"/>
        <v>23</v>
      </c>
      <c r="B37" s="50">
        <f t="shared" si="5"/>
        <v>43942</v>
      </c>
      <c r="C37" s="47">
        <v>0.062</v>
      </c>
      <c r="D37" s="47">
        <f t="shared" ref="D37:D41" si="47">D36</f>
        <v>0.005025</v>
      </c>
      <c r="E37" s="51">
        <f>'AP02'!$F37+'AP02'!$G37</f>
        <v>2266.698</v>
      </c>
      <c r="F37" s="51">
        <f>(O36*'AP02'!$P37)*'AP02'!$D37</f>
        <v>1426.698</v>
      </c>
      <c r="G37" s="51">
        <f>(O36*'AP02'!$P37)/($I$5-A36)</f>
        <v>840</v>
      </c>
      <c r="H37" s="52">
        <f t="shared" ref="H37:L37" si="46">H36</f>
        <v>0</v>
      </c>
      <c r="I37" s="52">
        <f t="shared" si="46"/>
        <v>0</v>
      </c>
      <c r="J37" s="51">
        <f t="shared" si="46"/>
        <v>25</v>
      </c>
      <c r="K37" s="52">
        <f t="shared" si="46"/>
        <v>0</v>
      </c>
      <c r="L37" s="52">
        <f t="shared" si="46"/>
        <v>0</v>
      </c>
      <c r="M37" s="51">
        <f>SUM('AP02'!$F37:$L37)</f>
        <v>2291.698</v>
      </c>
      <c r="N37" s="51">
        <f>O36*('AP02'!$P37-1)</f>
        <v>0</v>
      </c>
      <c r="O37" s="51">
        <f>(O36*'AP02'!$P37)-'AP02'!$G37</f>
        <v>283080</v>
      </c>
      <c r="P37" s="53">
        <f t="shared" si="8"/>
        <v>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56">
        <f t="shared" si="2"/>
        <v>24</v>
      </c>
      <c r="B38" s="50">
        <f t="shared" si="5"/>
        <v>43972</v>
      </c>
      <c r="C38" s="47">
        <v>0.062</v>
      </c>
      <c r="D38" s="47">
        <f t="shared" si="47"/>
        <v>0.005025</v>
      </c>
      <c r="E38" s="51">
        <f>'AP02'!$F38+'AP02'!$G38</f>
        <v>2262.477</v>
      </c>
      <c r="F38" s="51">
        <f>(O37*'AP02'!$P38)*'AP02'!$D38</f>
        <v>1422.477</v>
      </c>
      <c r="G38" s="51">
        <f>(O37*'AP02'!$P38)/($I$5-A37)</f>
        <v>840</v>
      </c>
      <c r="H38" s="52">
        <f t="shared" ref="H38:L38" si="48">H37</f>
        <v>0</v>
      </c>
      <c r="I38" s="52">
        <f t="shared" si="48"/>
        <v>0</v>
      </c>
      <c r="J38" s="51">
        <f t="shared" si="48"/>
        <v>25</v>
      </c>
      <c r="K38" s="52">
        <f t="shared" si="48"/>
        <v>0</v>
      </c>
      <c r="L38" s="52">
        <f t="shared" si="48"/>
        <v>0</v>
      </c>
      <c r="M38" s="51">
        <f>SUM('AP02'!$F38:$L38)</f>
        <v>2287.477</v>
      </c>
      <c r="N38" s="51">
        <f>O37*('AP02'!$P38-1)</f>
        <v>0</v>
      </c>
      <c r="O38" s="51">
        <f>(O37*'AP02'!$P38)-'AP02'!$G38</f>
        <v>282240</v>
      </c>
      <c r="P38" s="53">
        <f t="shared" si="8"/>
        <v>1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56">
        <f t="shared" si="2"/>
        <v>25</v>
      </c>
      <c r="B39" s="50">
        <f t="shared" si="5"/>
        <v>44003</v>
      </c>
      <c r="C39" s="47">
        <v>0.062</v>
      </c>
      <c r="D39" s="47">
        <f t="shared" si="47"/>
        <v>0.005025</v>
      </c>
      <c r="E39" s="51">
        <f>'AP02'!$F39+'AP02'!$G39</f>
        <v>2258.256</v>
      </c>
      <c r="F39" s="51">
        <f>(O38*'AP02'!$P39)*'AP02'!$D39</f>
        <v>1418.256</v>
      </c>
      <c r="G39" s="51">
        <f>(O38*'AP02'!$P39)/($I$5-A38)</f>
        <v>840</v>
      </c>
      <c r="H39" s="52">
        <f t="shared" ref="H39:L39" si="49">H38</f>
        <v>0</v>
      </c>
      <c r="I39" s="52">
        <f t="shared" si="49"/>
        <v>0</v>
      </c>
      <c r="J39" s="51">
        <f t="shared" si="49"/>
        <v>25</v>
      </c>
      <c r="K39" s="52">
        <f t="shared" si="49"/>
        <v>0</v>
      </c>
      <c r="L39" s="52">
        <f t="shared" si="49"/>
        <v>0</v>
      </c>
      <c r="M39" s="51">
        <f>SUM('AP02'!$F39:$L39)</f>
        <v>2283.256</v>
      </c>
      <c r="N39" s="51">
        <f>O38*('AP02'!$P39-1)</f>
        <v>0</v>
      </c>
      <c r="O39" s="51">
        <f>(O38*'AP02'!$P39)-'AP02'!$G39</f>
        <v>281400</v>
      </c>
      <c r="P39" s="53">
        <f t="shared" si="8"/>
        <v>1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56">
        <f t="shared" si="2"/>
        <v>26</v>
      </c>
      <c r="B40" s="50">
        <f t="shared" si="5"/>
        <v>44033</v>
      </c>
      <c r="C40" s="47">
        <v>0.062</v>
      </c>
      <c r="D40" s="47">
        <f t="shared" si="47"/>
        <v>0.005025</v>
      </c>
      <c r="E40" s="51">
        <f>'AP02'!$F40+'AP02'!$G40</f>
        <v>2254.035</v>
      </c>
      <c r="F40" s="51">
        <f>(O39*'AP02'!$P40)*'AP02'!$D40</f>
        <v>1414.035</v>
      </c>
      <c r="G40" s="51">
        <f>(O39*'AP02'!$P40)/($I$5-A39)</f>
        <v>840</v>
      </c>
      <c r="H40" s="52">
        <f t="shared" ref="H40:L40" si="50">H39</f>
        <v>0</v>
      </c>
      <c r="I40" s="52">
        <f t="shared" si="50"/>
        <v>0</v>
      </c>
      <c r="J40" s="51">
        <f t="shared" si="50"/>
        <v>25</v>
      </c>
      <c r="K40" s="52">
        <f t="shared" si="50"/>
        <v>0</v>
      </c>
      <c r="L40" s="52">
        <f t="shared" si="50"/>
        <v>0</v>
      </c>
      <c r="M40" s="51">
        <f>SUM('AP02'!$F40:$L40)</f>
        <v>2279.035</v>
      </c>
      <c r="N40" s="51">
        <f>O39*('AP02'!$P40-1)</f>
        <v>0</v>
      </c>
      <c r="O40" s="51">
        <f>(O39*'AP02'!$P40)-'AP02'!$G40</f>
        <v>280560</v>
      </c>
      <c r="P40" s="53">
        <f t="shared" si="8"/>
        <v>1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56">
        <f t="shared" si="2"/>
        <v>27</v>
      </c>
      <c r="B41" s="50">
        <f t="shared" si="5"/>
        <v>44064</v>
      </c>
      <c r="C41" s="47">
        <v>0.062</v>
      </c>
      <c r="D41" s="47">
        <f t="shared" si="47"/>
        <v>0.005025</v>
      </c>
      <c r="E41" s="51">
        <f>'AP02'!$F41+'AP02'!$G41</f>
        <v>2249.814</v>
      </c>
      <c r="F41" s="51">
        <f>(O40*'AP02'!$P41)*'AP02'!$D41</f>
        <v>1409.814</v>
      </c>
      <c r="G41" s="51">
        <f>(O40*'AP02'!$P41)/($I$5-A40)</f>
        <v>840</v>
      </c>
      <c r="H41" s="52">
        <f t="shared" ref="H41:L41" si="51">H40</f>
        <v>0</v>
      </c>
      <c r="I41" s="52">
        <f t="shared" si="51"/>
        <v>0</v>
      </c>
      <c r="J41" s="51">
        <f t="shared" si="51"/>
        <v>25</v>
      </c>
      <c r="K41" s="52">
        <f t="shared" si="51"/>
        <v>0</v>
      </c>
      <c r="L41" s="52">
        <f t="shared" si="51"/>
        <v>0</v>
      </c>
      <c r="M41" s="51">
        <f>SUM('AP02'!$F41:$L41)</f>
        <v>2274.814</v>
      </c>
      <c r="N41" s="51">
        <f>O40*('AP02'!$P41-1)</f>
        <v>0</v>
      </c>
      <c r="O41" s="51">
        <f>(O40*'AP02'!$P41)-'AP02'!$G41</f>
        <v>279720</v>
      </c>
      <c r="P41" s="53">
        <f t="shared" si="8"/>
        <v>1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56">
        <f t="shared" si="2"/>
        <v>28</v>
      </c>
      <c r="B42" s="50">
        <f t="shared" si="5"/>
        <v>44095</v>
      </c>
      <c r="C42" s="47">
        <f t="shared" ref="C42:D42" si="52">C41</f>
        <v>0.062</v>
      </c>
      <c r="D42" s="47">
        <f t="shared" si="52"/>
        <v>0.005025</v>
      </c>
      <c r="E42" s="51">
        <f>'AP02'!$F42+'AP02'!$G42</f>
        <v>2245.593</v>
      </c>
      <c r="F42" s="51">
        <f>(O41*'AP02'!$P42)*'AP02'!$D42</f>
        <v>1405.593</v>
      </c>
      <c r="G42" s="51">
        <f>(O41*'AP02'!$P42)/($I$5-A41)</f>
        <v>840</v>
      </c>
      <c r="H42" s="52">
        <f t="shared" ref="H42:L42" si="53">H41</f>
        <v>0</v>
      </c>
      <c r="I42" s="52">
        <f t="shared" si="53"/>
        <v>0</v>
      </c>
      <c r="J42" s="51">
        <f t="shared" si="53"/>
        <v>25</v>
      </c>
      <c r="K42" s="52">
        <f t="shared" si="53"/>
        <v>0</v>
      </c>
      <c r="L42" s="52">
        <f t="shared" si="53"/>
        <v>0</v>
      </c>
      <c r="M42" s="51">
        <f>SUM('AP02'!$F42:$L42)</f>
        <v>2270.593</v>
      </c>
      <c r="N42" s="51">
        <f>O41*('AP02'!$P42-1)</f>
        <v>0</v>
      </c>
      <c r="O42" s="51">
        <f>(O41*'AP02'!$P42)-'AP02'!$G42</f>
        <v>278880</v>
      </c>
      <c r="P42" s="53">
        <f t="shared" si="8"/>
        <v>1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56">
        <f t="shared" si="2"/>
        <v>29</v>
      </c>
      <c r="B43" s="50">
        <f t="shared" si="5"/>
        <v>44125</v>
      </c>
      <c r="C43" s="47">
        <f t="shared" ref="C43:D43" si="54">C42</f>
        <v>0.062</v>
      </c>
      <c r="D43" s="47">
        <f t="shared" si="54"/>
        <v>0.005025</v>
      </c>
      <c r="E43" s="51">
        <f>'AP02'!$F43+'AP02'!$G43</f>
        <v>2241.372</v>
      </c>
      <c r="F43" s="51">
        <f>(O42*'AP02'!$P43)*'AP02'!$D43</f>
        <v>1401.372</v>
      </c>
      <c r="G43" s="51">
        <f>(O42*'AP02'!$P43)/($I$5-A42)</f>
        <v>840</v>
      </c>
      <c r="H43" s="52">
        <f t="shared" ref="H43:L43" si="55">H42</f>
        <v>0</v>
      </c>
      <c r="I43" s="52">
        <f t="shared" si="55"/>
        <v>0</v>
      </c>
      <c r="J43" s="51">
        <f t="shared" si="55"/>
        <v>25</v>
      </c>
      <c r="K43" s="52">
        <f t="shared" si="55"/>
        <v>0</v>
      </c>
      <c r="L43" s="52">
        <f t="shared" si="55"/>
        <v>0</v>
      </c>
      <c r="M43" s="51">
        <f>SUM('AP02'!$F43:$L43)</f>
        <v>2266.372</v>
      </c>
      <c r="N43" s="51">
        <f>O42*('AP02'!$P43-1)</f>
        <v>0</v>
      </c>
      <c r="O43" s="51">
        <f>(O42*'AP02'!$P43)-'AP02'!$G43</f>
        <v>278040</v>
      </c>
      <c r="P43" s="53">
        <f t="shared" si="8"/>
        <v>1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56">
        <f t="shared" si="2"/>
        <v>30</v>
      </c>
      <c r="B44" s="50">
        <f t="shared" si="5"/>
        <v>44156</v>
      </c>
      <c r="C44" s="47">
        <f t="shared" ref="C44:D44" si="56">C43</f>
        <v>0.062</v>
      </c>
      <c r="D44" s="47">
        <f t="shared" si="56"/>
        <v>0.005025</v>
      </c>
      <c r="E44" s="51">
        <f>'AP02'!$F44+'AP02'!$G44</f>
        <v>2237.151</v>
      </c>
      <c r="F44" s="51">
        <f>(O43*'AP02'!$P44)*'AP02'!$D44</f>
        <v>1397.151</v>
      </c>
      <c r="G44" s="51">
        <f>(O43*'AP02'!$P44)/($I$5-A43)</f>
        <v>840</v>
      </c>
      <c r="H44" s="52">
        <f t="shared" ref="H44:L44" si="57">H43</f>
        <v>0</v>
      </c>
      <c r="I44" s="52">
        <f t="shared" si="57"/>
        <v>0</v>
      </c>
      <c r="J44" s="51">
        <f t="shared" si="57"/>
        <v>25</v>
      </c>
      <c r="K44" s="52">
        <f t="shared" si="57"/>
        <v>0</v>
      </c>
      <c r="L44" s="52">
        <f t="shared" si="57"/>
        <v>0</v>
      </c>
      <c r="M44" s="51">
        <f>SUM('AP02'!$F44:$L44)</f>
        <v>2262.151</v>
      </c>
      <c r="N44" s="51">
        <f>O43*('AP02'!$P44-1)</f>
        <v>0</v>
      </c>
      <c r="O44" s="51">
        <f>(O43*'AP02'!$P44)-'AP02'!$G44</f>
        <v>277200</v>
      </c>
      <c r="P44" s="53">
        <f t="shared" si="8"/>
        <v>1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56">
        <f t="shared" si="2"/>
        <v>31</v>
      </c>
      <c r="B45" s="50">
        <f t="shared" si="5"/>
        <v>44186</v>
      </c>
      <c r="C45" s="47">
        <f t="shared" ref="C45:D45" si="58">C44</f>
        <v>0.062</v>
      </c>
      <c r="D45" s="47">
        <f t="shared" si="58"/>
        <v>0.005025</v>
      </c>
      <c r="E45" s="51">
        <f>'AP02'!$F45+'AP02'!$G45</f>
        <v>2232.93</v>
      </c>
      <c r="F45" s="51">
        <f>(O44*'AP02'!$P45)*'AP02'!$D45</f>
        <v>1392.93</v>
      </c>
      <c r="G45" s="51">
        <f>(O44*'AP02'!$P45)/($I$5-A44)</f>
        <v>840</v>
      </c>
      <c r="H45" s="52">
        <f t="shared" ref="H45:L45" si="59">H44</f>
        <v>0</v>
      </c>
      <c r="I45" s="52">
        <f t="shared" si="59"/>
        <v>0</v>
      </c>
      <c r="J45" s="51">
        <f t="shared" si="59"/>
        <v>25</v>
      </c>
      <c r="K45" s="52">
        <f t="shared" si="59"/>
        <v>0</v>
      </c>
      <c r="L45" s="52">
        <f t="shared" si="59"/>
        <v>0</v>
      </c>
      <c r="M45" s="51">
        <f>SUM('AP02'!$F45:$L45)</f>
        <v>2257.93</v>
      </c>
      <c r="N45" s="51">
        <f>O44*('AP02'!$P45-1)</f>
        <v>0</v>
      </c>
      <c r="O45" s="51">
        <f>(O44*'AP02'!$P45)-'AP02'!$G45</f>
        <v>276360</v>
      </c>
      <c r="P45" s="53">
        <f t="shared" si="8"/>
        <v>1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56">
        <f t="shared" si="2"/>
        <v>32</v>
      </c>
      <c r="B46" s="50">
        <f t="shared" si="5"/>
        <v>44217</v>
      </c>
      <c r="C46" s="47">
        <f t="shared" ref="C46:D46" si="60">C45</f>
        <v>0.062</v>
      </c>
      <c r="D46" s="47">
        <f t="shared" si="60"/>
        <v>0.005025</v>
      </c>
      <c r="E46" s="51">
        <f>'AP02'!$F46+'AP02'!$G46</f>
        <v>2228.709</v>
      </c>
      <c r="F46" s="51">
        <f>(O45*'AP02'!$P46)*'AP02'!$D46</f>
        <v>1388.709</v>
      </c>
      <c r="G46" s="51">
        <f>(O45*'AP02'!$P46)/($I$5-A45)</f>
        <v>840</v>
      </c>
      <c r="H46" s="52">
        <f t="shared" ref="H46:L46" si="61">H45</f>
        <v>0</v>
      </c>
      <c r="I46" s="52">
        <f t="shared" si="61"/>
        <v>0</v>
      </c>
      <c r="J46" s="51">
        <f t="shared" si="61"/>
        <v>25</v>
      </c>
      <c r="K46" s="52">
        <f t="shared" si="61"/>
        <v>0</v>
      </c>
      <c r="L46" s="52">
        <f t="shared" si="61"/>
        <v>0</v>
      </c>
      <c r="M46" s="51">
        <f>SUM('AP02'!$F46:$L46)</f>
        <v>2253.709</v>
      </c>
      <c r="N46" s="51">
        <f>O45*('AP02'!$P46-1)</f>
        <v>0</v>
      </c>
      <c r="O46" s="51">
        <f>(O45*'AP02'!$P46)-'AP02'!$G46</f>
        <v>275520</v>
      </c>
      <c r="P46" s="53">
        <f t="shared" si="8"/>
        <v>1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56">
        <f t="shared" si="2"/>
        <v>33</v>
      </c>
      <c r="B47" s="50">
        <f t="shared" si="5"/>
        <v>44248</v>
      </c>
      <c r="C47" s="47">
        <f t="shared" ref="C47:D47" si="62">C46</f>
        <v>0.062</v>
      </c>
      <c r="D47" s="47">
        <f t="shared" si="62"/>
        <v>0.005025</v>
      </c>
      <c r="E47" s="51">
        <f>'AP02'!$F47+'AP02'!$G47</f>
        <v>2224.488</v>
      </c>
      <c r="F47" s="51">
        <f>(O46*'AP02'!$P47)*'AP02'!$D47</f>
        <v>1384.488</v>
      </c>
      <c r="G47" s="51">
        <f>(O46*'AP02'!$P47)/($I$5-A46)</f>
        <v>840</v>
      </c>
      <c r="H47" s="52">
        <f t="shared" ref="H47:L47" si="63">H46</f>
        <v>0</v>
      </c>
      <c r="I47" s="52">
        <f t="shared" si="63"/>
        <v>0</v>
      </c>
      <c r="J47" s="51">
        <f t="shared" si="63"/>
        <v>25</v>
      </c>
      <c r="K47" s="52">
        <f t="shared" si="63"/>
        <v>0</v>
      </c>
      <c r="L47" s="52">
        <f t="shared" si="63"/>
        <v>0</v>
      </c>
      <c r="M47" s="51">
        <f>SUM('AP02'!$F47:$L47)</f>
        <v>2249.488</v>
      </c>
      <c r="N47" s="51">
        <f>O46*('AP02'!$P47-1)</f>
        <v>0</v>
      </c>
      <c r="O47" s="51">
        <f>(O46*'AP02'!$P47)-'AP02'!$G47</f>
        <v>274680</v>
      </c>
      <c r="P47" s="53">
        <f t="shared" si="8"/>
        <v>1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56">
        <f t="shared" si="2"/>
        <v>34</v>
      </c>
      <c r="B48" s="50">
        <f t="shared" si="5"/>
        <v>44276</v>
      </c>
      <c r="C48" s="47">
        <f t="shared" ref="C48:D48" si="64">C47</f>
        <v>0.062</v>
      </c>
      <c r="D48" s="47">
        <f t="shared" si="64"/>
        <v>0.005025</v>
      </c>
      <c r="E48" s="51">
        <f>'AP02'!$F48+'AP02'!$G48</f>
        <v>2220.267</v>
      </c>
      <c r="F48" s="51">
        <f>(O47*'AP02'!$P48)*'AP02'!$D48</f>
        <v>1380.267</v>
      </c>
      <c r="G48" s="51">
        <f>(O47*'AP02'!$P48)/($I$5-A47)</f>
        <v>840</v>
      </c>
      <c r="H48" s="52">
        <f t="shared" ref="H48:L48" si="65">H47</f>
        <v>0</v>
      </c>
      <c r="I48" s="52">
        <f t="shared" si="65"/>
        <v>0</v>
      </c>
      <c r="J48" s="51">
        <f t="shared" si="65"/>
        <v>25</v>
      </c>
      <c r="K48" s="52">
        <f t="shared" si="65"/>
        <v>0</v>
      </c>
      <c r="L48" s="52">
        <f t="shared" si="65"/>
        <v>0</v>
      </c>
      <c r="M48" s="51">
        <f>SUM('AP02'!$F48:$L48)</f>
        <v>2245.267</v>
      </c>
      <c r="N48" s="51">
        <f>O47*('AP02'!$P48-1)</f>
        <v>0</v>
      </c>
      <c r="O48" s="51">
        <f>(O47*'AP02'!$P48)-'AP02'!$G48</f>
        <v>273840</v>
      </c>
      <c r="P48" s="53">
        <f t="shared" si="8"/>
        <v>1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56">
        <f t="shared" si="2"/>
        <v>35</v>
      </c>
      <c r="B49" s="50">
        <f t="shared" si="5"/>
        <v>44307</v>
      </c>
      <c r="C49" s="47">
        <f t="shared" ref="C49:D49" si="66">C48</f>
        <v>0.062</v>
      </c>
      <c r="D49" s="47">
        <f t="shared" si="66"/>
        <v>0.005025</v>
      </c>
      <c r="E49" s="51">
        <f>'AP02'!$F49+'AP02'!$G49</f>
        <v>2216.046</v>
      </c>
      <c r="F49" s="51">
        <f>(O48*'AP02'!$P49)*'AP02'!$D49</f>
        <v>1376.046</v>
      </c>
      <c r="G49" s="51">
        <f>(O48*'AP02'!$P49)/($I$5-A48)</f>
        <v>840</v>
      </c>
      <c r="H49" s="52">
        <f t="shared" ref="H49:L49" si="67">H48</f>
        <v>0</v>
      </c>
      <c r="I49" s="52">
        <f t="shared" si="67"/>
        <v>0</v>
      </c>
      <c r="J49" s="51">
        <f t="shared" si="67"/>
        <v>25</v>
      </c>
      <c r="K49" s="52">
        <f t="shared" si="67"/>
        <v>0</v>
      </c>
      <c r="L49" s="52">
        <f t="shared" si="67"/>
        <v>0</v>
      </c>
      <c r="M49" s="51">
        <f>SUM('AP02'!$F49:$L49)</f>
        <v>2241.046</v>
      </c>
      <c r="N49" s="51">
        <f>O48*('AP02'!$P49-1)</f>
        <v>0</v>
      </c>
      <c r="O49" s="51">
        <f>(O48*'AP02'!$P49)-'AP02'!$G49</f>
        <v>273000</v>
      </c>
      <c r="P49" s="53">
        <f t="shared" si="8"/>
        <v>1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56">
        <f t="shared" si="2"/>
        <v>36</v>
      </c>
      <c r="B50" s="50">
        <f t="shared" si="5"/>
        <v>44337</v>
      </c>
      <c r="C50" s="47">
        <f t="shared" ref="C50:D50" si="68">C49</f>
        <v>0.062</v>
      </c>
      <c r="D50" s="47">
        <f t="shared" si="68"/>
        <v>0.005025</v>
      </c>
      <c r="E50" s="51">
        <f>'AP02'!$F50+'AP02'!$G50</f>
        <v>2211.825</v>
      </c>
      <c r="F50" s="51">
        <f>(O49*'AP02'!$P50)*'AP02'!$D50</f>
        <v>1371.825</v>
      </c>
      <c r="G50" s="51">
        <f>(O49*'AP02'!$P50)/($I$5-A49)</f>
        <v>840</v>
      </c>
      <c r="H50" s="52">
        <f t="shared" ref="H50:L50" si="69">H49</f>
        <v>0</v>
      </c>
      <c r="I50" s="52">
        <f t="shared" si="69"/>
        <v>0</v>
      </c>
      <c r="J50" s="51">
        <f t="shared" si="69"/>
        <v>25</v>
      </c>
      <c r="K50" s="52">
        <f t="shared" si="69"/>
        <v>0</v>
      </c>
      <c r="L50" s="52">
        <f t="shared" si="69"/>
        <v>0</v>
      </c>
      <c r="M50" s="51">
        <f>SUM('AP02'!$F50:$L50)</f>
        <v>2236.825</v>
      </c>
      <c r="N50" s="51">
        <f>O49*('AP02'!$P50-1)</f>
        <v>0</v>
      </c>
      <c r="O50" s="51">
        <f>(O49*'AP02'!$P50)-'AP02'!$G50</f>
        <v>272160</v>
      </c>
      <c r="P50" s="53">
        <f t="shared" si="8"/>
        <v>1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56">
        <f t="shared" si="2"/>
        <v>37</v>
      </c>
      <c r="B51" s="50">
        <f t="shared" si="5"/>
        <v>44368</v>
      </c>
      <c r="C51" s="47">
        <f t="shared" ref="C51:D51" si="70">C50</f>
        <v>0.062</v>
      </c>
      <c r="D51" s="47">
        <f t="shared" si="70"/>
        <v>0.005025</v>
      </c>
      <c r="E51" s="51">
        <f>'AP02'!$F51+'AP02'!$G51</f>
        <v>2207.604</v>
      </c>
      <c r="F51" s="51">
        <f>(O50*'AP02'!$P51)*'AP02'!$D51</f>
        <v>1367.604</v>
      </c>
      <c r="G51" s="51">
        <f>(O50*'AP02'!$P51)/($I$5-A50)</f>
        <v>840</v>
      </c>
      <c r="H51" s="52">
        <f t="shared" ref="H51:L51" si="71">H50</f>
        <v>0</v>
      </c>
      <c r="I51" s="52">
        <f t="shared" si="71"/>
        <v>0</v>
      </c>
      <c r="J51" s="51">
        <f t="shared" si="71"/>
        <v>25</v>
      </c>
      <c r="K51" s="52">
        <f t="shared" si="71"/>
        <v>0</v>
      </c>
      <c r="L51" s="52">
        <f t="shared" si="71"/>
        <v>0</v>
      </c>
      <c r="M51" s="51">
        <f>SUM('AP02'!$F51:$L51)</f>
        <v>2232.604</v>
      </c>
      <c r="N51" s="51">
        <f>O50*('AP02'!$P51-1)</f>
        <v>0</v>
      </c>
      <c r="O51" s="51">
        <f>(O50*'AP02'!$P51)-'AP02'!$G51</f>
        <v>271320</v>
      </c>
      <c r="P51" s="53">
        <f t="shared" si="8"/>
        <v>1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56">
        <f t="shared" si="2"/>
        <v>38</v>
      </c>
      <c r="B52" s="50">
        <f t="shared" si="5"/>
        <v>44398</v>
      </c>
      <c r="C52" s="47">
        <f t="shared" ref="C52:D52" si="72">C51</f>
        <v>0.062</v>
      </c>
      <c r="D52" s="47">
        <f t="shared" si="72"/>
        <v>0.005025</v>
      </c>
      <c r="E52" s="51">
        <f>'AP02'!$F52+'AP02'!$G52</f>
        <v>2203.383</v>
      </c>
      <c r="F52" s="51">
        <f>(O51*'AP02'!$P52)*'AP02'!$D52</f>
        <v>1363.383</v>
      </c>
      <c r="G52" s="51">
        <f>(O51*'AP02'!$P52)/($I$5-A51)</f>
        <v>840</v>
      </c>
      <c r="H52" s="52">
        <f t="shared" ref="H52:L52" si="73">H51</f>
        <v>0</v>
      </c>
      <c r="I52" s="52">
        <f t="shared" si="73"/>
        <v>0</v>
      </c>
      <c r="J52" s="51">
        <f t="shared" si="73"/>
        <v>25</v>
      </c>
      <c r="K52" s="52">
        <f t="shared" si="73"/>
        <v>0</v>
      </c>
      <c r="L52" s="52">
        <f t="shared" si="73"/>
        <v>0</v>
      </c>
      <c r="M52" s="51">
        <f>SUM('AP02'!$F52:$L52)</f>
        <v>2228.383</v>
      </c>
      <c r="N52" s="51">
        <f>O51*('AP02'!$P52-1)</f>
        <v>0</v>
      </c>
      <c r="O52" s="51">
        <f>(O51*'AP02'!$P52)-'AP02'!$G52</f>
        <v>270480</v>
      </c>
      <c r="P52" s="53">
        <f t="shared" si="8"/>
        <v>1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56">
        <f t="shared" si="2"/>
        <v>39</v>
      </c>
      <c r="B53" s="50">
        <f t="shared" si="5"/>
        <v>44429</v>
      </c>
      <c r="C53" s="47">
        <f t="shared" ref="C53:D53" si="74">C52</f>
        <v>0.062</v>
      </c>
      <c r="D53" s="47">
        <f t="shared" si="74"/>
        <v>0.005025</v>
      </c>
      <c r="E53" s="51">
        <f>'AP02'!$F53+'AP02'!$G53</f>
        <v>2199.162</v>
      </c>
      <c r="F53" s="51">
        <f>(O52*'AP02'!$P53)*'AP02'!$D53</f>
        <v>1359.162</v>
      </c>
      <c r="G53" s="51">
        <f>(O52*'AP02'!$P53)/($I$5-A52)</f>
        <v>840</v>
      </c>
      <c r="H53" s="52">
        <f t="shared" ref="H53:L53" si="75">H52</f>
        <v>0</v>
      </c>
      <c r="I53" s="52">
        <f t="shared" si="75"/>
        <v>0</v>
      </c>
      <c r="J53" s="51">
        <f t="shared" si="75"/>
        <v>25</v>
      </c>
      <c r="K53" s="52">
        <f t="shared" si="75"/>
        <v>0</v>
      </c>
      <c r="L53" s="52">
        <f t="shared" si="75"/>
        <v>0</v>
      </c>
      <c r="M53" s="51">
        <f>SUM('AP02'!$F53:$L53)</f>
        <v>2224.162</v>
      </c>
      <c r="N53" s="51">
        <f>O52*('AP02'!$P53-1)</f>
        <v>0</v>
      </c>
      <c r="O53" s="51">
        <f>(O52*'AP02'!$P53)-'AP02'!$G53</f>
        <v>269640</v>
      </c>
      <c r="P53" s="53">
        <f t="shared" si="8"/>
        <v>1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56">
        <f t="shared" si="2"/>
        <v>40</v>
      </c>
      <c r="B54" s="50">
        <f t="shared" si="5"/>
        <v>44460</v>
      </c>
      <c r="C54" s="47">
        <f t="shared" ref="C54:D54" si="76">C53</f>
        <v>0.062</v>
      </c>
      <c r="D54" s="47">
        <f t="shared" si="76"/>
        <v>0.005025</v>
      </c>
      <c r="E54" s="51">
        <f>'AP02'!$F54+'AP02'!$G54</f>
        <v>2194.941</v>
      </c>
      <c r="F54" s="51">
        <f>(O53*'AP02'!$P54)*'AP02'!$D54</f>
        <v>1354.941</v>
      </c>
      <c r="G54" s="51">
        <f>(O53*'AP02'!$P54)/($I$5-A53)</f>
        <v>840</v>
      </c>
      <c r="H54" s="52">
        <f t="shared" ref="H54:L54" si="77">H53</f>
        <v>0</v>
      </c>
      <c r="I54" s="52">
        <f t="shared" si="77"/>
        <v>0</v>
      </c>
      <c r="J54" s="51">
        <f t="shared" si="77"/>
        <v>25</v>
      </c>
      <c r="K54" s="52">
        <f t="shared" si="77"/>
        <v>0</v>
      </c>
      <c r="L54" s="52">
        <f t="shared" si="77"/>
        <v>0</v>
      </c>
      <c r="M54" s="51">
        <f>SUM('AP02'!$F54:$L54)</f>
        <v>2219.941</v>
      </c>
      <c r="N54" s="51">
        <f>O53*('AP02'!$P54-1)</f>
        <v>0</v>
      </c>
      <c r="O54" s="51">
        <f>(O53*'AP02'!$P54)-'AP02'!$G54</f>
        <v>268800</v>
      </c>
      <c r="P54" s="53">
        <f t="shared" si="8"/>
        <v>1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56">
        <f t="shared" si="2"/>
        <v>41</v>
      </c>
      <c r="B55" s="50">
        <f t="shared" si="5"/>
        <v>44490</v>
      </c>
      <c r="C55" s="47">
        <f t="shared" ref="C55:D55" si="78">C54</f>
        <v>0.062</v>
      </c>
      <c r="D55" s="47">
        <f t="shared" si="78"/>
        <v>0.005025</v>
      </c>
      <c r="E55" s="51">
        <f>'AP02'!$F55+'AP02'!$G55</f>
        <v>2190.72</v>
      </c>
      <c r="F55" s="51">
        <f>(O54*'AP02'!$P55)*'AP02'!$D55</f>
        <v>1350.72</v>
      </c>
      <c r="G55" s="51">
        <f>(O54*'AP02'!$P55)/($I$5-A54)</f>
        <v>840</v>
      </c>
      <c r="H55" s="52">
        <f t="shared" ref="H55:L55" si="79">H54</f>
        <v>0</v>
      </c>
      <c r="I55" s="52">
        <f t="shared" si="79"/>
        <v>0</v>
      </c>
      <c r="J55" s="51">
        <f t="shared" si="79"/>
        <v>25</v>
      </c>
      <c r="K55" s="52">
        <f t="shared" si="79"/>
        <v>0</v>
      </c>
      <c r="L55" s="52">
        <f t="shared" si="79"/>
        <v>0</v>
      </c>
      <c r="M55" s="51">
        <f>SUM('AP02'!$F55:$L55)</f>
        <v>2215.72</v>
      </c>
      <c r="N55" s="51">
        <f>O54*('AP02'!$P55-1)</f>
        <v>0</v>
      </c>
      <c r="O55" s="51">
        <f>(O54*'AP02'!$P55)-'AP02'!$G55</f>
        <v>267960</v>
      </c>
      <c r="P55" s="53">
        <f t="shared" si="8"/>
        <v>1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56">
        <f t="shared" si="2"/>
        <v>42</v>
      </c>
      <c r="B56" s="50">
        <f t="shared" si="5"/>
        <v>44521</v>
      </c>
      <c r="C56" s="47">
        <f t="shared" ref="C56:D56" si="80">C55</f>
        <v>0.062</v>
      </c>
      <c r="D56" s="47">
        <f t="shared" si="80"/>
        <v>0.005025</v>
      </c>
      <c r="E56" s="51">
        <f>'AP02'!$F56+'AP02'!$G56</f>
        <v>2186.499</v>
      </c>
      <c r="F56" s="51">
        <f>(O55*'AP02'!$P56)*'AP02'!$D56</f>
        <v>1346.499</v>
      </c>
      <c r="G56" s="51">
        <f>(O55*'AP02'!$P56)/($I$5-A55)</f>
        <v>840</v>
      </c>
      <c r="H56" s="52">
        <f t="shared" ref="H56:L56" si="81">H55</f>
        <v>0</v>
      </c>
      <c r="I56" s="52">
        <f t="shared" si="81"/>
        <v>0</v>
      </c>
      <c r="J56" s="51">
        <f t="shared" si="81"/>
        <v>25</v>
      </c>
      <c r="K56" s="52">
        <f t="shared" si="81"/>
        <v>0</v>
      </c>
      <c r="L56" s="52">
        <f t="shared" si="81"/>
        <v>0</v>
      </c>
      <c r="M56" s="51">
        <f>SUM('AP02'!$F56:$L56)</f>
        <v>2211.499</v>
      </c>
      <c r="N56" s="51">
        <f>O55*('AP02'!$P56-1)</f>
        <v>0</v>
      </c>
      <c r="O56" s="51">
        <f>(O55*'AP02'!$P56)-'AP02'!$G56</f>
        <v>267120</v>
      </c>
      <c r="P56" s="53">
        <f t="shared" si="8"/>
        <v>1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56">
        <f t="shared" si="2"/>
        <v>43</v>
      </c>
      <c r="B57" s="50">
        <f t="shared" si="5"/>
        <v>44551</v>
      </c>
      <c r="C57" s="47">
        <f t="shared" ref="C57:D57" si="82">C56</f>
        <v>0.062</v>
      </c>
      <c r="D57" s="47">
        <f t="shared" si="82"/>
        <v>0.005025</v>
      </c>
      <c r="E57" s="51">
        <f>'AP02'!$F57+'AP02'!$G57</f>
        <v>2182.278</v>
      </c>
      <c r="F57" s="51">
        <f>(O56*'AP02'!$P57)*'AP02'!$D57</f>
        <v>1342.278</v>
      </c>
      <c r="G57" s="51">
        <f>(O56*'AP02'!$P57)/($I$5-A56)</f>
        <v>840</v>
      </c>
      <c r="H57" s="52">
        <f t="shared" ref="H57:L57" si="83">H56</f>
        <v>0</v>
      </c>
      <c r="I57" s="52">
        <f t="shared" si="83"/>
        <v>0</v>
      </c>
      <c r="J57" s="51">
        <f t="shared" si="83"/>
        <v>25</v>
      </c>
      <c r="K57" s="52">
        <f t="shared" si="83"/>
        <v>0</v>
      </c>
      <c r="L57" s="52">
        <f t="shared" si="83"/>
        <v>0</v>
      </c>
      <c r="M57" s="51">
        <f>SUM('AP02'!$F57:$L57)</f>
        <v>2207.278</v>
      </c>
      <c r="N57" s="51">
        <f>O56*('AP02'!$P57-1)</f>
        <v>0</v>
      </c>
      <c r="O57" s="51">
        <f>(O56*'AP02'!$P57)-'AP02'!$G57</f>
        <v>266280</v>
      </c>
      <c r="P57" s="53">
        <f t="shared" si="8"/>
        <v>1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56">
        <f t="shared" si="2"/>
        <v>44</v>
      </c>
      <c r="B58" s="50">
        <f t="shared" si="5"/>
        <v>44582</v>
      </c>
      <c r="C58" s="47">
        <f t="shared" ref="C58:D58" si="84">C57</f>
        <v>0.062</v>
      </c>
      <c r="D58" s="47">
        <f t="shared" si="84"/>
        <v>0.005025</v>
      </c>
      <c r="E58" s="51">
        <f>'AP02'!$F58+'AP02'!$G58</f>
        <v>2180.659778</v>
      </c>
      <c r="F58" s="51">
        <f>(O57*'AP02'!$P58)*'AP02'!$D58</f>
        <v>1339.655978</v>
      </c>
      <c r="G58" s="51">
        <f>(O57*'AP02'!$P58)/($I$5-A57)</f>
        <v>841.0038</v>
      </c>
      <c r="H58" s="52">
        <f t="shared" ref="H58:L58" si="85">H57</f>
        <v>0</v>
      </c>
      <c r="I58" s="52">
        <f t="shared" si="85"/>
        <v>0</v>
      </c>
      <c r="J58" s="51">
        <f t="shared" si="85"/>
        <v>25</v>
      </c>
      <c r="K58" s="52">
        <f t="shared" si="85"/>
        <v>0</v>
      </c>
      <c r="L58" s="52">
        <f t="shared" si="85"/>
        <v>0</v>
      </c>
      <c r="M58" s="51">
        <f>SUM('AP02'!$F58:$L58)</f>
        <v>2205.659778</v>
      </c>
      <c r="N58" s="51">
        <f>O57*('AP02'!$P58-1)</f>
        <v>318.2046</v>
      </c>
      <c r="O58" s="51">
        <f>(O57*'AP02'!$P58)-'AP02'!$G58</f>
        <v>265757.2008</v>
      </c>
      <c r="P58" s="53">
        <v>1.001195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56">
        <f t="shared" si="2"/>
        <v>45</v>
      </c>
      <c r="B59" s="50">
        <f t="shared" si="5"/>
        <v>44613</v>
      </c>
      <c r="C59" s="47">
        <f t="shared" ref="C59:D59" si="86">C58</f>
        <v>0.062</v>
      </c>
      <c r="D59" s="47">
        <f t="shared" si="86"/>
        <v>0.005025</v>
      </c>
      <c r="E59" s="51">
        <f>'AP02'!$F59+'AP02'!$G59</f>
        <v>2178.264115</v>
      </c>
      <c r="F59" s="51">
        <f>(O58*'AP02'!$P59)*'AP02'!$D59</f>
        <v>1336.553031</v>
      </c>
      <c r="G59" s="51">
        <f>(O58*'AP02'!$P59)/($I$5-A58)</f>
        <v>841.7110842</v>
      </c>
      <c r="H59" s="52">
        <f t="shared" ref="H59:L59" si="87">H58</f>
        <v>0</v>
      </c>
      <c r="I59" s="52">
        <f t="shared" si="87"/>
        <v>0</v>
      </c>
      <c r="J59" s="51">
        <f t="shared" si="87"/>
        <v>25</v>
      </c>
      <c r="K59" s="52">
        <f t="shared" si="87"/>
        <v>0</v>
      </c>
      <c r="L59" s="52">
        <f t="shared" si="87"/>
        <v>0</v>
      </c>
      <c r="M59" s="51">
        <f>SUM('AP02'!$F59:$L59)</f>
        <v>2203.264115</v>
      </c>
      <c r="N59" s="51">
        <f>O58*('AP02'!$P59-1)</f>
        <v>223.5018059</v>
      </c>
      <c r="O59" s="51">
        <f>(O58*'AP02'!$P59)-'AP02'!$G59</f>
        <v>265138.9915</v>
      </c>
      <c r="P59" s="53">
        <v>1.000841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56">
        <f t="shared" si="2"/>
        <v>46</v>
      </c>
      <c r="B60" s="50">
        <f t="shared" si="5"/>
        <v>44641</v>
      </c>
      <c r="C60" s="47">
        <f t="shared" ref="C60:D60" si="88">C59</f>
        <v>0.062</v>
      </c>
      <c r="D60" s="47">
        <f t="shared" si="88"/>
        <v>0.005025</v>
      </c>
      <c r="E60" s="51">
        <f>'AP02'!$F60+'AP02'!$G60</f>
        <v>2174.034517</v>
      </c>
      <c r="F60" s="51">
        <f>(O59*'AP02'!$P60)*'AP02'!$D60</f>
        <v>1332.323432</v>
      </c>
      <c r="G60" s="51">
        <f>(O59*'AP02'!$P60)/($I$5-A59)</f>
        <v>841.7110842</v>
      </c>
      <c r="H60" s="52">
        <f t="shared" ref="H60:L60" si="89">H59</f>
        <v>0</v>
      </c>
      <c r="I60" s="52">
        <f t="shared" si="89"/>
        <v>0</v>
      </c>
      <c r="J60" s="51">
        <f t="shared" si="89"/>
        <v>25</v>
      </c>
      <c r="K60" s="52">
        <f t="shared" si="89"/>
        <v>0</v>
      </c>
      <c r="L60" s="52">
        <f t="shared" si="89"/>
        <v>0</v>
      </c>
      <c r="M60" s="51">
        <f>SUM('AP02'!$F60:$L60)</f>
        <v>2199.034517</v>
      </c>
      <c r="N60" s="51">
        <f>O59*('AP02'!$P60-1)</f>
        <v>0</v>
      </c>
      <c r="O60" s="51">
        <f>(O59*'AP02'!$P60)-'AP02'!$G60</f>
        <v>264297.2804</v>
      </c>
      <c r="P60" s="53">
        <v>1.0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56">
        <f t="shared" si="2"/>
        <v>47</v>
      </c>
      <c r="B61" s="50">
        <f t="shared" si="5"/>
        <v>44672</v>
      </c>
      <c r="C61" s="47">
        <f t="shared" ref="C61:D61" si="90">C60</f>
        <v>0.062</v>
      </c>
      <c r="D61" s="47">
        <f t="shared" si="90"/>
        <v>0.005025</v>
      </c>
      <c r="E61" s="51">
        <f>'AP02'!$F61+'AP02'!$G61</f>
        <v>2172.6734</v>
      </c>
      <c r="F61" s="51">
        <f>(O60*'AP02'!$P61)*'AP02'!$D61</f>
        <v>1329.849574</v>
      </c>
      <c r="G61" s="51">
        <f>(O60*'AP02'!$P61)/($I$5-A60)</f>
        <v>842.8238262</v>
      </c>
      <c r="H61" s="52">
        <f t="shared" ref="H61:L61" si="91">H60</f>
        <v>0</v>
      </c>
      <c r="I61" s="52">
        <f t="shared" si="91"/>
        <v>0</v>
      </c>
      <c r="J61" s="51">
        <f t="shared" si="91"/>
        <v>25</v>
      </c>
      <c r="K61" s="52">
        <f t="shared" si="91"/>
        <v>0</v>
      </c>
      <c r="L61" s="52">
        <f t="shared" si="91"/>
        <v>0</v>
      </c>
      <c r="M61" s="51">
        <f>SUM('AP02'!$F61:$L61)</f>
        <v>2197.6734</v>
      </c>
      <c r="N61" s="51">
        <f>O60*('AP02'!$P61-1)</f>
        <v>349.4010047</v>
      </c>
      <c r="O61" s="51">
        <f>(O60*'AP02'!$P61)-'AP02'!$G61</f>
        <v>263803.8576</v>
      </c>
      <c r="P61" s="53">
        <v>1.001322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56">
        <f t="shared" si="2"/>
        <v>48</v>
      </c>
      <c r="B62" s="50">
        <f t="shared" si="5"/>
        <v>44702</v>
      </c>
      <c r="C62" s="47">
        <f t="shared" ref="C62:D62" si="92">C61</f>
        <v>0.062</v>
      </c>
      <c r="D62" s="47">
        <f t="shared" si="92"/>
        <v>0.005025</v>
      </c>
      <c r="E62" s="51">
        <f>'AP02'!$F62+'AP02'!$G62</f>
        <v>2171.261517</v>
      </c>
      <c r="F62" s="51">
        <f>(O61*'AP02'!$P62)*'AP02'!$D62</f>
        <v>1327.340334</v>
      </c>
      <c r="G62" s="51">
        <f>(O61*'AP02'!$P62)/($I$5-A61)</f>
        <v>843.9211829</v>
      </c>
      <c r="H62" s="52">
        <f t="shared" ref="H62:L62" si="93">H61</f>
        <v>0</v>
      </c>
      <c r="I62" s="52">
        <f t="shared" si="93"/>
        <v>0</v>
      </c>
      <c r="J62" s="51">
        <f t="shared" si="93"/>
        <v>25</v>
      </c>
      <c r="K62" s="52">
        <f t="shared" si="93"/>
        <v>0</v>
      </c>
      <c r="L62" s="52">
        <f t="shared" si="93"/>
        <v>0</v>
      </c>
      <c r="M62" s="51">
        <f>SUM('AP02'!$F62:$L62)</f>
        <v>2196.261517</v>
      </c>
      <c r="N62" s="51">
        <f>O61*('AP02'!$P62-1)</f>
        <v>343.4726226</v>
      </c>
      <c r="O62" s="51">
        <f>(O61*'AP02'!$P62)-'AP02'!$G62</f>
        <v>263303.4091</v>
      </c>
      <c r="P62" s="53">
        <v>1.001302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56">
        <f t="shared" si="2"/>
        <v>49</v>
      </c>
      <c r="B63" s="50">
        <f t="shared" si="5"/>
        <v>44733</v>
      </c>
      <c r="C63" s="47">
        <f t="shared" ref="C63:E63" si="94">C62</f>
        <v>0.062</v>
      </c>
      <c r="D63" s="47">
        <f t="shared" si="94"/>
        <v>0.005025</v>
      </c>
      <c r="E63" s="51">
        <f t="shared" si="94"/>
        <v>2171.261517</v>
      </c>
      <c r="F63" s="51">
        <f>(O62*'AP02'!$P63)*'AP02'!$D63</f>
        <v>1324.504762</v>
      </c>
      <c r="G63" s="51">
        <f>(O62*'AP02'!$P63)/($I$5-A62)</f>
        <v>844.8174272</v>
      </c>
      <c r="H63" s="52">
        <f t="shared" ref="H63:L63" si="95">H62</f>
        <v>0</v>
      </c>
      <c r="I63" s="52">
        <f t="shared" si="95"/>
        <v>0</v>
      </c>
      <c r="J63" s="51">
        <f t="shared" si="95"/>
        <v>25</v>
      </c>
      <c r="K63" s="52">
        <f t="shared" si="95"/>
        <v>0</v>
      </c>
      <c r="L63" s="52">
        <f t="shared" si="95"/>
        <v>0</v>
      </c>
      <c r="M63" s="51">
        <f>SUM('AP02'!$F63:$L63)</f>
        <v>2194.322189</v>
      </c>
      <c r="N63" s="51">
        <f>O62*('AP02'!$P63-1)</f>
        <v>279.6282204</v>
      </c>
      <c r="O63" s="51">
        <f>(O62*'AP02'!$P63)-'AP02'!$G63</f>
        <v>262738.2198</v>
      </c>
      <c r="P63" s="53">
        <v>1.001062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56">
        <f t="shared" si="2"/>
        <v>50</v>
      </c>
      <c r="B64" s="50">
        <f t="shared" si="5"/>
        <v>44763</v>
      </c>
      <c r="C64" s="47">
        <f t="shared" ref="C64:E64" si="96">C63</f>
        <v>0.062</v>
      </c>
      <c r="D64" s="47">
        <f t="shared" si="96"/>
        <v>0.005025</v>
      </c>
      <c r="E64" s="51">
        <f t="shared" si="96"/>
        <v>2171.261517</v>
      </c>
      <c r="F64" s="51">
        <f>(O63*'AP02'!$P64)*'AP02'!$D64</f>
        <v>1322.798414</v>
      </c>
      <c r="G64" s="51">
        <f>(O63*'AP02'!$P64)/($I$5-A63)</f>
        <v>846.4420111</v>
      </c>
      <c r="H64" s="52">
        <f t="shared" ref="H64:L64" si="97">H63</f>
        <v>0</v>
      </c>
      <c r="I64" s="52">
        <f t="shared" si="97"/>
        <v>0</v>
      </c>
      <c r="J64" s="51">
        <f t="shared" si="97"/>
        <v>25</v>
      </c>
      <c r="K64" s="52">
        <f t="shared" si="97"/>
        <v>0</v>
      </c>
      <c r="L64" s="52">
        <f t="shared" si="97"/>
        <v>0</v>
      </c>
      <c r="M64" s="51">
        <f>SUM('AP02'!$F64:$L64)</f>
        <v>2194.240425</v>
      </c>
      <c r="N64" s="51">
        <f>O63*('AP02'!$P64-1)</f>
        <v>505.2455968</v>
      </c>
      <c r="O64" s="51">
        <f>(O63*'AP02'!$P64)-'AP02'!$G64</f>
        <v>262397.0234</v>
      </c>
      <c r="P64" s="53">
        <v>1.001923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56">
        <f t="shared" si="2"/>
        <v>51</v>
      </c>
      <c r="B65" s="50">
        <f t="shared" si="5"/>
        <v>44794</v>
      </c>
      <c r="C65" s="47">
        <f t="shared" ref="C65:E65" si="98">C64</f>
        <v>0.062</v>
      </c>
      <c r="D65" s="47">
        <f t="shared" si="98"/>
        <v>0.005025</v>
      </c>
      <c r="E65" s="51">
        <f t="shared" si="98"/>
        <v>2171.261517</v>
      </c>
      <c r="F65" s="51">
        <f>(O64*'AP02'!$P65)*'AP02'!$D65</f>
        <v>1321.300802</v>
      </c>
      <c r="G65" s="51">
        <f>(O64*'AP02'!$P65)/($I$5-A64)</f>
        <v>848.2110749</v>
      </c>
      <c r="H65" s="52">
        <f t="shared" ref="H65:L65" si="99">H64</f>
        <v>0</v>
      </c>
      <c r="I65" s="52">
        <f t="shared" si="99"/>
        <v>0</v>
      </c>
      <c r="J65" s="51">
        <f t="shared" si="99"/>
        <v>25</v>
      </c>
      <c r="K65" s="52">
        <f t="shared" si="99"/>
        <v>0</v>
      </c>
      <c r="L65" s="52">
        <f t="shared" si="99"/>
        <v>0</v>
      </c>
      <c r="M65" s="51">
        <f>SUM('AP02'!$F65:$L65)</f>
        <v>2194.511877</v>
      </c>
      <c r="N65" s="51">
        <f>O64*('AP02'!$P65-1)</f>
        <v>548.409779</v>
      </c>
      <c r="O65" s="51">
        <f>(O64*'AP02'!$P65)-'AP02'!$G65</f>
        <v>262097.2221</v>
      </c>
      <c r="P65" s="53">
        <v>1.00209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56">
        <f t="shared" si="2"/>
        <v>52</v>
      </c>
      <c r="B66" s="50">
        <f t="shared" si="5"/>
        <v>44825</v>
      </c>
      <c r="C66" s="47">
        <f t="shared" ref="C66:E66" si="100">C65</f>
        <v>0.062</v>
      </c>
      <c r="D66" s="47">
        <f t="shared" si="100"/>
        <v>0.005025</v>
      </c>
      <c r="E66" s="51">
        <f t="shared" si="100"/>
        <v>2171.261517</v>
      </c>
      <c r="F66" s="51">
        <f>(O65*'AP02'!$P66)*'AP02'!$D66</f>
        <v>1319.398674</v>
      </c>
      <c r="G66" s="51">
        <f>(O65*'AP02'!$P66)/($I$5-A65)</f>
        <v>849.7310691</v>
      </c>
      <c r="H66" s="52">
        <f t="shared" ref="H66:L66" si="101">H65</f>
        <v>0</v>
      </c>
      <c r="I66" s="52">
        <f t="shared" si="101"/>
        <v>0</v>
      </c>
      <c r="J66" s="51">
        <f t="shared" si="101"/>
        <v>25</v>
      </c>
      <c r="K66" s="52">
        <f t="shared" si="101"/>
        <v>0</v>
      </c>
      <c r="L66" s="52">
        <f t="shared" si="101"/>
        <v>0</v>
      </c>
      <c r="M66" s="51">
        <f>SUM('AP02'!$F66:$L66)</f>
        <v>2194.129743</v>
      </c>
      <c r="N66" s="51">
        <f>O65*('AP02'!$P66-1)</f>
        <v>469.6782221</v>
      </c>
      <c r="O66" s="51">
        <f>(O65*'AP02'!$P66)-'AP02'!$G66</f>
        <v>261717.1693</v>
      </c>
      <c r="P66" s="53">
        <v>1.001792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56">
        <f t="shared" si="2"/>
        <v>53</v>
      </c>
      <c r="B67" s="50">
        <f t="shared" si="5"/>
        <v>44855</v>
      </c>
      <c r="C67" s="47">
        <f t="shared" ref="C67:E67" si="102">C66</f>
        <v>0.062</v>
      </c>
      <c r="D67" s="47">
        <f t="shared" si="102"/>
        <v>0.005025</v>
      </c>
      <c r="E67" s="51">
        <f t="shared" si="102"/>
        <v>2171.261517</v>
      </c>
      <c r="F67" s="51">
        <f>(O66*'AP02'!$P67)*'AP02'!$D67</f>
        <v>1317.543352</v>
      </c>
      <c r="G67" s="51">
        <f>(O66*'AP02'!$P67)/($I$5-A66)</f>
        <v>851.2911754</v>
      </c>
      <c r="H67" s="52">
        <f t="shared" ref="H67:L67" si="103">H66</f>
        <v>0</v>
      </c>
      <c r="I67" s="52">
        <f t="shared" si="103"/>
        <v>0</v>
      </c>
      <c r="J67" s="51">
        <f t="shared" si="103"/>
        <v>25</v>
      </c>
      <c r="K67" s="52">
        <f t="shared" si="103"/>
        <v>0</v>
      </c>
      <c r="L67" s="52">
        <f t="shared" si="103"/>
        <v>0</v>
      </c>
      <c r="M67" s="51">
        <f>SUM('AP02'!$F67:$L67)</f>
        <v>2193.834527</v>
      </c>
      <c r="N67" s="51">
        <f>O66*('AP02'!$P67-1)</f>
        <v>480.5127228</v>
      </c>
      <c r="O67" s="51">
        <f>(O66*'AP02'!$P67)-'AP02'!$G67</f>
        <v>261346.3908</v>
      </c>
      <c r="P67" s="53">
        <v>1.001836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56">
        <f t="shared" si="2"/>
        <v>54</v>
      </c>
      <c r="B68" s="50">
        <f t="shared" si="5"/>
        <v>44886</v>
      </c>
      <c r="C68" s="47">
        <f t="shared" ref="C68:E68" si="104">C67</f>
        <v>0.062</v>
      </c>
      <c r="D68" s="47">
        <f t="shared" si="104"/>
        <v>0.005025</v>
      </c>
      <c r="E68" s="51">
        <f t="shared" si="104"/>
        <v>2171.261517</v>
      </c>
      <c r="F68" s="51">
        <f>(O67*'AP02'!$P68)*'AP02'!$D68</f>
        <v>1314.758797</v>
      </c>
      <c r="G68" s="51">
        <f>(O67*'AP02'!$P68)/($I$5-A67)</f>
        <v>852.2590934</v>
      </c>
      <c r="H68" s="52">
        <f t="shared" ref="H68:L68" si="105">H67</f>
        <v>0</v>
      </c>
      <c r="I68" s="52">
        <f t="shared" si="105"/>
        <v>0</v>
      </c>
      <c r="J68" s="51">
        <f t="shared" si="105"/>
        <v>25</v>
      </c>
      <c r="K68" s="52">
        <f t="shared" si="105"/>
        <v>0</v>
      </c>
      <c r="L68" s="52">
        <f t="shared" si="105"/>
        <v>0</v>
      </c>
      <c r="M68" s="51">
        <f>SUM('AP02'!$F68:$L68)</f>
        <v>2192.01789</v>
      </c>
      <c r="N68" s="51">
        <f>O67*('AP02'!$P68-1)</f>
        <v>297.1508464</v>
      </c>
      <c r="O68" s="51">
        <f>(O67*'AP02'!$P68)-'AP02'!$G68</f>
        <v>260791.2826</v>
      </c>
      <c r="P68" s="53">
        <v>1.001137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56">
        <f t="shared" si="2"/>
        <v>55</v>
      </c>
      <c r="B69" s="50">
        <f t="shared" si="5"/>
        <v>44916</v>
      </c>
      <c r="C69" s="47">
        <f t="shared" ref="C69:E69" si="106">C68</f>
        <v>0.062</v>
      </c>
      <c r="D69" s="47">
        <f t="shared" si="106"/>
        <v>0.005025</v>
      </c>
      <c r="E69" s="51">
        <f t="shared" si="106"/>
        <v>2171.261517</v>
      </c>
      <c r="F69" s="51">
        <f>(O68*'AP02'!$P69)*'AP02'!$D69</f>
        <v>1313.219022</v>
      </c>
      <c r="G69" s="51">
        <f>(O68*'AP02'!$P69)/($I$5-A68)</f>
        <v>854.0428717</v>
      </c>
      <c r="H69" s="52">
        <f t="shared" ref="H69:L69" si="107">H68</f>
        <v>0</v>
      </c>
      <c r="I69" s="52">
        <f t="shared" si="107"/>
        <v>0</v>
      </c>
      <c r="J69" s="51">
        <f t="shared" si="107"/>
        <v>25</v>
      </c>
      <c r="K69" s="52">
        <f t="shared" si="107"/>
        <v>0</v>
      </c>
      <c r="L69" s="52">
        <f t="shared" si="107"/>
        <v>0</v>
      </c>
      <c r="M69" s="51">
        <f>SUM('AP02'!$F69:$L69)</f>
        <v>2192.261893</v>
      </c>
      <c r="N69" s="51">
        <f>O68*('AP02'!$P69-1)</f>
        <v>545.8361545</v>
      </c>
      <c r="O69" s="51">
        <f>(O68*'AP02'!$P69)-'AP02'!$G69</f>
        <v>260483.0759</v>
      </c>
      <c r="P69" s="53">
        <v>1.002093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56">
        <f t="shared" si="2"/>
        <v>56</v>
      </c>
      <c r="B70" s="50">
        <f t="shared" si="5"/>
        <v>44947</v>
      </c>
      <c r="C70" s="47">
        <f t="shared" ref="C70:E70" si="108">C69</f>
        <v>0.062</v>
      </c>
      <c r="D70" s="47">
        <f t="shared" si="108"/>
        <v>0.005025</v>
      </c>
      <c r="E70" s="51">
        <f t="shared" si="108"/>
        <v>2171.261517</v>
      </c>
      <c r="F70" s="51">
        <f>(O69*'AP02'!$P70)*'AP02'!$D70</f>
        <v>1312.081971</v>
      </c>
      <c r="G70" s="51">
        <f>(O69*'AP02'!$P70)/($I$5-A69)</f>
        <v>856.101115</v>
      </c>
      <c r="H70" s="52">
        <f t="shared" ref="H70:L70" si="109">H69</f>
        <v>0</v>
      </c>
      <c r="I70" s="52">
        <f t="shared" si="109"/>
        <v>0</v>
      </c>
      <c r="J70" s="51">
        <f t="shared" si="109"/>
        <v>25</v>
      </c>
      <c r="K70" s="52">
        <f t="shared" si="109"/>
        <v>0</v>
      </c>
      <c r="L70" s="52">
        <f t="shared" si="109"/>
        <v>0</v>
      </c>
      <c r="M70" s="51">
        <f>SUM('AP02'!$F70:$L70)</f>
        <v>2193.183086</v>
      </c>
      <c r="N70" s="51">
        <f>O69*('AP02'!$P70-1)</f>
        <v>627.7642129</v>
      </c>
      <c r="O70" s="51">
        <f>(O69*'AP02'!$P70)-'AP02'!$G70</f>
        <v>260254.739</v>
      </c>
      <c r="P70" s="53">
        <v>1.00241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56">
        <f t="shared" si="2"/>
        <v>57</v>
      </c>
      <c r="B71" s="50">
        <f t="shared" si="5"/>
        <v>44978</v>
      </c>
      <c r="C71" s="47">
        <f t="shared" ref="C71:E71" si="110">C70</f>
        <v>0.062</v>
      </c>
      <c r="D71" s="47">
        <f t="shared" si="110"/>
        <v>0.005025</v>
      </c>
      <c r="E71" s="51">
        <f t="shared" si="110"/>
        <v>2171.261517</v>
      </c>
      <c r="F71" s="51">
        <f>(O70*'AP02'!$P71)*'AP02'!$D71</f>
        <v>1309.72604</v>
      </c>
      <c r="G71" s="51">
        <f>(O70*'AP02'!$P71)/($I$5-A70)</f>
        <v>857.3749935</v>
      </c>
      <c r="H71" s="52">
        <f t="shared" ref="H71:L71" si="111">H70</f>
        <v>0</v>
      </c>
      <c r="I71" s="52">
        <f t="shared" si="111"/>
        <v>0</v>
      </c>
      <c r="J71" s="51">
        <f t="shared" si="111"/>
        <v>25</v>
      </c>
      <c r="K71" s="52">
        <f t="shared" si="111"/>
        <v>0</v>
      </c>
      <c r="L71" s="52">
        <f t="shared" si="111"/>
        <v>0</v>
      </c>
      <c r="M71" s="51">
        <f>SUM('AP02'!$F71:$L71)</f>
        <v>2192.101034</v>
      </c>
      <c r="N71" s="51">
        <f>O70*('AP02'!$P71-1)</f>
        <v>387.2590516</v>
      </c>
      <c r="O71" s="51">
        <f>(O70*'AP02'!$P71)-'AP02'!$G71</f>
        <v>259784.623</v>
      </c>
      <c r="P71" s="53">
        <v>1.001488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56">
        <f t="shared" si="2"/>
        <v>58</v>
      </c>
      <c r="B72" s="50">
        <f t="shared" si="5"/>
        <v>45006</v>
      </c>
      <c r="C72" s="47">
        <f t="shared" ref="C72:E72" si="112">C71</f>
        <v>0.062</v>
      </c>
      <c r="D72" s="47">
        <f t="shared" si="112"/>
        <v>0.005025</v>
      </c>
      <c r="E72" s="51">
        <f t="shared" si="112"/>
        <v>2171.261517</v>
      </c>
      <c r="F72" s="51">
        <f>(O71*'AP02'!$P72)*'AP02'!$D72</f>
        <v>1306.845858</v>
      </c>
      <c r="G72" s="51">
        <f>(O71*'AP02'!$P72)/($I$5-A71)</f>
        <v>858.3129617</v>
      </c>
      <c r="H72" s="52">
        <f t="shared" ref="H72:L72" si="113">H71</f>
        <v>0</v>
      </c>
      <c r="I72" s="52">
        <f t="shared" si="113"/>
        <v>0</v>
      </c>
      <c r="J72" s="51">
        <f t="shared" si="113"/>
        <v>25</v>
      </c>
      <c r="K72" s="52">
        <f t="shared" si="113"/>
        <v>0</v>
      </c>
      <c r="L72" s="52">
        <f t="shared" si="113"/>
        <v>0</v>
      </c>
      <c r="M72" s="51">
        <f>SUM('AP02'!$F72:$L72)</f>
        <v>2190.158819</v>
      </c>
      <c r="N72" s="51">
        <f>O71*('AP02'!$P72-1)</f>
        <v>284.2043776</v>
      </c>
      <c r="O72" s="51">
        <f>(O71*'AP02'!$P72)-'AP02'!$G72</f>
        <v>259210.5144</v>
      </c>
      <c r="P72" s="53">
        <v>1.001094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56">
        <f t="shared" si="2"/>
        <v>59</v>
      </c>
      <c r="B73" s="50">
        <f t="shared" si="5"/>
        <v>45037</v>
      </c>
      <c r="C73" s="47">
        <f t="shared" ref="C73:E73" si="114">C72</f>
        <v>0.062</v>
      </c>
      <c r="D73" s="47">
        <f t="shared" si="114"/>
        <v>0.005025</v>
      </c>
      <c r="E73" s="51">
        <f t="shared" si="114"/>
        <v>2171.261517</v>
      </c>
      <c r="F73" s="51">
        <f>(O72*'AP02'!$P73)*'AP02'!$D73</f>
        <v>1305.253826</v>
      </c>
      <c r="G73" s="51">
        <f>(O72*'AP02'!$P73)/($I$5-A72)</f>
        <v>860.1059775</v>
      </c>
      <c r="H73" s="52">
        <f t="shared" ref="H73:L73" si="115">H72</f>
        <v>0</v>
      </c>
      <c r="I73" s="52">
        <f t="shared" si="115"/>
        <v>0</v>
      </c>
      <c r="J73" s="51">
        <f t="shared" si="115"/>
        <v>25</v>
      </c>
      <c r="K73" s="52">
        <f t="shared" si="115"/>
        <v>0</v>
      </c>
      <c r="L73" s="52">
        <f t="shared" si="115"/>
        <v>0</v>
      </c>
      <c r="M73" s="51">
        <f>SUM('AP02'!$F73:$L73)</f>
        <v>2190.359804</v>
      </c>
      <c r="N73" s="51">
        <f>O72*('AP02'!$P73-1)</f>
        <v>541.4907647</v>
      </c>
      <c r="O73" s="51">
        <f>(O72*'AP02'!$P73)-'AP02'!$G73</f>
        <v>258891.8992</v>
      </c>
      <c r="P73" s="53">
        <v>1.002089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56">
        <f t="shared" si="2"/>
        <v>60</v>
      </c>
      <c r="B74" s="50">
        <f t="shared" si="5"/>
        <v>45067</v>
      </c>
      <c r="C74" s="47">
        <f t="shared" ref="C74:E74" si="116">C73</f>
        <v>0.062</v>
      </c>
      <c r="D74" s="47">
        <f t="shared" si="116"/>
        <v>0.005025</v>
      </c>
      <c r="E74" s="51">
        <f t="shared" si="116"/>
        <v>2171.261517</v>
      </c>
      <c r="F74" s="51">
        <f>(O73*'AP02'!$P74)*'AP02'!$D74</f>
        <v>1302.388837</v>
      </c>
      <c r="G74" s="51">
        <f>(O73*'AP02'!$P74)/($I$5-A73)</f>
        <v>861.0692962</v>
      </c>
      <c r="H74" s="52">
        <f t="shared" ref="H74:L74" si="117">H73</f>
        <v>0</v>
      </c>
      <c r="I74" s="52">
        <f t="shared" si="117"/>
        <v>0</v>
      </c>
      <c r="J74" s="51">
        <f t="shared" si="117"/>
        <v>25</v>
      </c>
      <c r="K74" s="52">
        <f t="shared" si="117"/>
        <v>0</v>
      </c>
      <c r="L74" s="52">
        <f t="shared" si="117"/>
        <v>0</v>
      </c>
      <c r="M74" s="51">
        <f>SUM('AP02'!$F74:$L74)</f>
        <v>2188.458133</v>
      </c>
      <c r="N74" s="51">
        <f>O73*('AP02'!$P74-1)</f>
        <v>289.9589271</v>
      </c>
      <c r="O74" s="51">
        <f>(O73*'AP02'!$P74)-'AP02'!$G74</f>
        <v>258320.7889</v>
      </c>
      <c r="P74" s="53">
        <v>1.00112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56">
        <f t="shared" si="2"/>
        <v>61</v>
      </c>
      <c r="B75" s="50">
        <f t="shared" si="5"/>
        <v>45098</v>
      </c>
      <c r="C75" s="47">
        <f t="shared" ref="C75:E75" si="118">C74</f>
        <v>0.062</v>
      </c>
      <c r="D75" s="47">
        <f t="shared" si="118"/>
        <v>0.005025</v>
      </c>
      <c r="E75" s="51">
        <f t="shared" si="118"/>
        <v>2171.261517</v>
      </c>
      <c r="F75" s="51">
        <f>(O74*'AP02'!$P75)*'AP02'!$D75</f>
        <v>1300.386793</v>
      </c>
      <c r="G75" s="51">
        <f>(O74*'AP02'!$P75)/($I$5-A74)</f>
        <v>862.6114713</v>
      </c>
      <c r="H75" s="52">
        <f t="shared" ref="H75:L75" si="119">H74</f>
        <v>0</v>
      </c>
      <c r="I75" s="52">
        <f t="shared" si="119"/>
        <v>0</v>
      </c>
      <c r="J75" s="51">
        <f t="shared" si="119"/>
        <v>25</v>
      </c>
      <c r="K75" s="52">
        <f t="shared" si="119"/>
        <v>0</v>
      </c>
      <c r="L75" s="52">
        <f t="shared" si="119"/>
        <v>0</v>
      </c>
      <c r="M75" s="51">
        <f>SUM('AP02'!$F75:$L75)</f>
        <v>2187.998264</v>
      </c>
      <c r="N75" s="51">
        <f>O74*('AP02'!$P75-1)</f>
        <v>462.6525329</v>
      </c>
      <c r="O75" s="51">
        <f>(O74*'AP02'!$P75)-'AP02'!$G75</f>
        <v>257920.8299</v>
      </c>
      <c r="P75" s="53">
        <v>1.001791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56">
        <f t="shared" si="2"/>
        <v>62</v>
      </c>
      <c r="B76" s="50">
        <f t="shared" si="5"/>
        <v>45128</v>
      </c>
      <c r="C76" s="47">
        <f t="shared" ref="C76:E76" si="120">C75</f>
        <v>0.062</v>
      </c>
      <c r="D76" s="47">
        <f t="shared" si="120"/>
        <v>0.005025</v>
      </c>
      <c r="E76" s="51">
        <f t="shared" si="120"/>
        <v>2171.261517</v>
      </c>
      <c r="F76" s="51">
        <f>(O75*'AP02'!$P76)*'AP02'!$D76</f>
        <v>1298.648163</v>
      </c>
      <c r="G76" s="51">
        <f>(O75*'AP02'!$P76)/($I$5-A75)</f>
        <v>864.3392821</v>
      </c>
      <c r="H76" s="52">
        <f t="shared" ref="H76:L76" si="121">H75</f>
        <v>0</v>
      </c>
      <c r="I76" s="52">
        <f t="shared" si="121"/>
        <v>0</v>
      </c>
      <c r="J76" s="51">
        <f t="shared" si="121"/>
        <v>25</v>
      </c>
      <c r="K76" s="52">
        <f t="shared" si="121"/>
        <v>0</v>
      </c>
      <c r="L76" s="52">
        <f t="shared" si="121"/>
        <v>0</v>
      </c>
      <c r="M76" s="51">
        <f>SUM('AP02'!$F76:$L76)</f>
        <v>2187.987445</v>
      </c>
      <c r="N76" s="51">
        <f>O75*('AP02'!$P76-1)</f>
        <v>516.6154223</v>
      </c>
      <c r="O76" s="51">
        <f>(O75*'AP02'!$P76)-'AP02'!$G76</f>
        <v>257573.1061</v>
      </c>
      <c r="P76" s="53">
        <v>1.002003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113">
        <f t="shared" si="2"/>
        <v>63</v>
      </c>
      <c r="B77" s="114">
        <f t="shared" si="5"/>
        <v>45159</v>
      </c>
      <c r="C77" s="115">
        <f>I7</f>
        <v>0.0775</v>
      </c>
      <c r="D77" s="115">
        <f>I6</f>
        <v>0.0062</v>
      </c>
      <c r="E77" s="51">
        <f>E76</f>
        <v>2171.261517</v>
      </c>
      <c r="F77" s="51">
        <f>(O76*'AP02'!$P77)*'AP02'!$D77</f>
        <v>1599.476444</v>
      </c>
      <c r="G77" s="51">
        <f>(O76*'AP02'!$P77)/($I$5-A76)</f>
        <v>865.7049382</v>
      </c>
      <c r="H77" s="52">
        <f t="shared" ref="H77:L77" si="122">H76</f>
        <v>0</v>
      </c>
      <c r="I77" s="52">
        <f t="shared" si="122"/>
        <v>0</v>
      </c>
      <c r="J77" s="51">
        <f t="shared" si="122"/>
        <v>25</v>
      </c>
      <c r="K77" s="52">
        <f t="shared" si="122"/>
        <v>0</v>
      </c>
      <c r="L77" s="52">
        <f t="shared" si="122"/>
        <v>0</v>
      </c>
      <c r="M77" s="51">
        <f>SUM('AP02'!$F77:$L77)</f>
        <v>2490.181382</v>
      </c>
      <c r="N77" s="51">
        <f>O76*('AP02'!$P77-1)</f>
        <v>406.9655076</v>
      </c>
      <c r="O77" s="51">
        <f>(O76*'AP02'!$P77)-'AP02'!$G77</f>
        <v>257114.3666</v>
      </c>
      <c r="P77" s="53">
        <v>1.00158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56">
        <f t="shared" si="2"/>
        <v>64</v>
      </c>
      <c r="B78" s="50">
        <f t="shared" si="5"/>
        <v>45190</v>
      </c>
      <c r="C78" s="116">
        <f t="shared" ref="C78:E78" si="123">C77</f>
        <v>0.0775</v>
      </c>
      <c r="D78" s="116">
        <f t="shared" si="123"/>
        <v>0.0062</v>
      </c>
      <c r="E78" s="51">
        <f t="shared" si="123"/>
        <v>2171.261517</v>
      </c>
      <c r="F78" s="51">
        <f>(O77*'AP02'!$P78)*'AP02'!$D78</f>
        <v>1596.943399</v>
      </c>
      <c r="G78" s="51">
        <f>(O77*'AP02'!$P78)/($I$5-A77)</f>
        <v>867.2441615</v>
      </c>
      <c r="H78" s="52">
        <f t="shared" ref="H78:L78" si="124">H77</f>
        <v>0</v>
      </c>
      <c r="I78" s="52">
        <f t="shared" si="124"/>
        <v>0</v>
      </c>
      <c r="J78" s="51">
        <f t="shared" si="124"/>
        <v>25</v>
      </c>
      <c r="K78" s="52">
        <f t="shared" si="124"/>
        <v>0</v>
      </c>
      <c r="L78" s="52">
        <f t="shared" si="124"/>
        <v>0</v>
      </c>
      <c r="M78" s="51">
        <f>SUM('AP02'!$F78:$L78)</f>
        <v>2489.187561</v>
      </c>
      <c r="N78" s="51">
        <f>O77*('AP02'!$P78-1)</f>
        <v>457.1493439</v>
      </c>
      <c r="O78" s="51">
        <f>(O77*'AP02'!$P78)-'AP02'!$G78</f>
        <v>256704.2718</v>
      </c>
      <c r="P78" s="53">
        <v>1.001778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56">
        <f t="shared" si="2"/>
        <v>65</v>
      </c>
      <c r="B79" s="50">
        <f t="shared" si="5"/>
        <v>45220</v>
      </c>
      <c r="C79" s="116">
        <f t="shared" ref="C79:C374" si="126">C78</f>
        <v>0.0775</v>
      </c>
      <c r="D79" s="116">
        <f>((1+'AP02'!$C79)^(1/12))-1</f>
        <v>0.006239681461</v>
      </c>
      <c r="E79" s="51">
        <f t="shared" ref="E79:E374" si="127">E78</f>
        <v>2171.261517</v>
      </c>
      <c r="F79" s="51">
        <f>(O78*'AP02'!$P79)*'AP02'!$D79</f>
        <v>1603.594902</v>
      </c>
      <c r="G79" s="51">
        <f>(O78*'AP02'!$P79)/($I$5-A78)</f>
        <v>868.2414923</v>
      </c>
      <c r="H79" s="52">
        <f t="shared" ref="H79:L79" si="125">H78</f>
        <v>0</v>
      </c>
      <c r="I79" s="52">
        <f t="shared" si="125"/>
        <v>0</v>
      </c>
      <c r="J79" s="51">
        <f t="shared" si="125"/>
        <v>25</v>
      </c>
      <c r="K79" s="52">
        <f t="shared" si="125"/>
        <v>0</v>
      </c>
      <c r="L79" s="52">
        <f t="shared" si="125"/>
        <v>0</v>
      </c>
      <c r="M79" s="51">
        <f>SUM('AP02'!$F79:$L79)</f>
        <v>2496.836394</v>
      </c>
      <c r="N79" s="51">
        <f>O78*('AP02'!$P79-1)</f>
        <v>295.2099126</v>
      </c>
      <c r="O79" s="51">
        <f>(O78*'AP02'!$P79)-'AP02'!$G79</f>
        <v>256131.2402</v>
      </c>
      <c r="P79" s="53">
        <v>1.00115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56">
        <f t="shared" si="2"/>
        <v>66</v>
      </c>
      <c r="B80" s="50">
        <f t="shared" si="5"/>
        <v>45251</v>
      </c>
      <c r="C80" s="116">
        <f t="shared" si="126"/>
        <v>0.0775</v>
      </c>
      <c r="D80" s="116">
        <f>((1+'AP02'!$C80)^(1/12))-1</f>
        <v>0.006239681461</v>
      </c>
      <c r="E80" s="51">
        <f t="shared" si="127"/>
        <v>2171.261517</v>
      </c>
      <c r="F80" s="51">
        <f>(O79*'AP02'!$P80)*'AP02'!$D80</f>
        <v>1598.971646</v>
      </c>
      <c r="G80" s="51">
        <f>(O79*'AP02'!$P80)/($I$5-A79)</f>
        <v>868.6730084</v>
      </c>
      <c r="H80" s="52">
        <f t="shared" ref="H80:L80" si="128">H79</f>
        <v>0</v>
      </c>
      <c r="I80" s="52">
        <f t="shared" si="128"/>
        <v>0</v>
      </c>
      <c r="J80" s="51">
        <f t="shared" si="128"/>
        <v>25</v>
      </c>
      <c r="K80" s="52">
        <f t="shared" si="128"/>
        <v>0</v>
      </c>
      <c r="L80" s="52">
        <f t="shared" si="128"/>
        <v>0</v>
      </c>
      <c r="M80" s="51">
        <f>SUM('AP02'!$F80:$L80)</f>
        <v>2492.644654</v>
      </c>
      <c r="N80" s="51">
        <f>O79*('AP02'!$P80-1)</f>
        <v>127.2972264</v>
      </c>
      <c r="O80" s="51">
        <f>(O79*'AP02'!$P80)-'AP02'!$G80</f>
        <v>255389.8645</v>
      </c>
      <c r="P80" s="53">
        <v>1.000497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56">
        <f t="shared" si="2"/>
        <v>67</v>
      </c>
      <c r="B81" s="50">
        <f t="shared" si="5"/>
        <v>45281</v>
      </c>
      <c r="C81" s="116">
        <f t="shared" si="126"/>
        <v>0.0775</v>
      </c>
      <c r="D81" s="116">
        <f>((1+'AP02'!$C81)^(1/12))-1</f>
        <v>0.006239681461</v>
      </c>
      <c r="E81" s="51">
        <f t="shared" si="127"/>
        <v>2171.261517</v>
      </c>
      <c r="F81" s="51">
        <f>(O80*'AP02'!$P81)*'AP02'!$D81</f>
        <v>1595.586368</v>
      </c>
      <c r="G81" s="51">
        <f>(O80*'AP02'!$P81)/($I$5-A80)</f>
        <v>869.7823038</v>
      </c>
      <c r="H81" s="52">
        <f t="shared" ref="H81:L81" si="129">H80</f>
        <v>0</v>
      </c>
      <c r="I81" s="52">
        <f t="shared" si="129"/>
        <v>0</v>
      </c>
      <c r="J81" s="51">
        <f t="shared" si="129"/>
        <v>25</v>
      </c>
      <c r="K81" s="52">
        <f t="shared" si="129"/>
        <v>0</v>
      </c>
      <c r="L81" s="52">
        <f t="shared" si="129"/>
        <v>0</v>
      </c>
      <c r="M81" s="51">
        <f>SUM('AP02'!$F81:$L81)</f>
        <v>2490.368672</v>
      </c>
      <c r="N81" s="51">
        <f>O80*('AP02'!$P81-1)</f>
        <v>326.1328569</v>
      </c>
      <c r="O81" s="51">
        <f>(O80*'AP02'!$P81)-'AP02'!$G81</f>
        <v>254846.215</v>
      </c>
      <c r="P81" s="53">
        <v>1.001277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56">
        <f t="shared" si="2"/>
        <v>68</v>
      </c>
      <c r="B82" s="50">
        <f t="shared" si="5"/>
        <v>45312</v>
      </c>
      <c r="C82" s="116">
        <f t="shared" si="126"/>
        <v>0.0775</v>
      </c>
      <c r="D82" s="116">
        <f>((1+'AP02'!$C82)^(1/12))-1</f>
        <v>0.006239681461</v>
      </c>
      <c r="E82" s="51">
        <f t="shared" si="127"/>
        <v>2171.261517</v>
      </c>
      <c r="F82" s="51">
        <f>(O81*'AP02'!$P82)*'AP02'!$D82</f>
        <v>1590.897037</v>
      </c>
      <c r="G82" s="51">
        <f>(O81*'AP02'!$P82)/($I$5-A81)</f>
        <v>870.1858828</v>
      </c>
      <c r="H82" s="52">
        <f t="shared" ref="H82:L82" si="130">H81</f>
        <v>0</v>
      </c>
      <c r="I82" s="52">
        <f t="shared" si="130"/>
        <v>0</v>
      </c>
      <c r="J82" s="51">
        <f t="shared" si="130"/>
        <v>25</v>
      </c>
      <c r="K82" s="52">
        <f t="shared" si="130"/>
        <v>0</v>
      </c>
      <c r="L82" s="52">
        <f t="shared" si="130"/>
        <v>0</v>
      </c>
      <c r="M82" s="51">
        <f>SUM('AP02'!$F82:$L82)</f>
        <v>2486.08292</v>
      </c>
      <c r="N82" s="51">
        <f>O81*('AP02'!$P82-1)</f>
        <v>118.2486438</v>
      </c>
      <c r="O82" s="51">
        <f>(O81*'AP02'!$P82)-'AP02'!$G82</f>
        <v>254094.2778</v>
      </c>
      <c r="P82" s="53">
        <v>1.000464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56">
        <f t="shared" si="2"/>
        <v>69</v>
      </c>
      <c r="B83" s="50">
        <f t="shared" si="5"/>
        <v>45343</v>
      </c>
      <c r="C83" s="116">
        <f t="shared" si="126"/>
        <v>0.0775</v>
      </c>
      <c r="D83" s="116">
        <f>((1+'AP02'!$C83)^(1/12))-1</f>
        <v>0.006239681461</v>
      </c>
      <c r="E83" s="51">
        <f t="shared" si="127"/>
        <v>2171.261517</v>
      </c>
      <c r="F83" s="51">
        <f>(O82*'AP02'!$P83)*'AP02'!$D83</f>
        <v>1586.065076</v>
      </c>
      <c r="G83" s="51">
        <f>(O82*'AP02'!$P83)/($I$5-A82)</f>
        <v>870.5139429</v>
      </c>
      <c r="H83" s="52">
        <f t="shared" ref="H83:L83" si="131">H82</f>
        <v>0</v>
      </c>
      <c r="I83" s="52">
        <f t="shared" si="131"/>
        <v>0</v>
      </c>
      <c r="J83" s="51">
        <f t="shared" si="131"/>
        <v>25</v>
      </c>
      <c r="K83" s="52">
        <f t="shared" si="131"/>
        <v>0</v>
      </c>
      <c r="L83" s="52">
        <f t="shared" si="131"/>
        <v>0</v>
      </c>
      <c r="M83" s="51">
        <f>SUM('AP02'!$F83:$L83)</f>
        <v>2481.579018</v>
      </c>
      <c r="N83" s="51">
        <f>O82*('AP02'!$P83-1)</f>
        <v>95.79354272</v>
      </c>
      <c r="O83" s="51">
        <f>(O82*'AP02'!$P83)-'AP02'!$G83</f>
        <v>253319.5574</v>
      </c>
      <c r="P83" s="53">
        <v>1.000377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59">
        <f t="shared" si="2"/>
        <v>70</v>
      </c>
      <c r="B84" s="60">
        <f t="shared" si="5"/>
        <v>45372</v>
      </c>
      <c r="C84" s="117">
        <f t="shared" si="126"/>
        <v>0.0775</v>
      </c>
      <c r="D84" s="117">
        <f>((1+'AP02'!$C84)^(1/12))-1</f>
        <v>0.006239681461</v>
      </c>
      <c r="E84" s="62">
        <f t="shared" si="127"/>
        <v>2171.261517</v>
      </c>
      <c r="F84" s="62">
        <f>(O83*'AP02'!$P84)*'AP02'!$D84</f>
        <v>1581.657596</v>
      </c>
      <c r="G84" s="62">
        <f>(O83*'AP02'!$P84)/($I$5-A83)</f>
        <v>871.0780359</v>
      </c>
      <c r="H84" s="63">
        <f t="shared" ref="H84:L84" si="132">H83</f>
        <v>0</v>
      </c>
      <c r="I84" s="63">
        <f t="shared" si="132"/>
        <v>0</v>
      </c>
      <c r="J84" s="62">
        <f t="shared" si="132"/>
        <v>25</v>
      </c>
      <c r="K84" s="63">
        <f t="shared" si="132"/>
        <v>0</v>
      </c>
      <c r="L84" s="63">
        <f t="shared" si="132"/>
        <v>0</v>
      </c>
      <c r="M84" s="62">
        <f>SUM('AP02'!$F84:$L84)</f>
        <v>2477.735632</v>
      </c>
      <c r="N84" s="62">
        <f>O83*('AP02'!$P84-1)</f>
        <v>164.1510732</v>
      </c>
      <c r="O84" s="62">
        <f>(O83*'AP02'!$P84)-'AP02'!$G84</f>
        <v>252612.6304</v>
      </c>
      <c r="P84" s="64">
        <v>1.000648</v>
      </c>
      <c r="Q84" s="4"/>
      <c r="R84" s="65">
        <f>'AP02'!$O84+0.02</f>
        <v>252612.6504</v>
      </c>
      <c r="S84" s="4">
        <v>3103.77</v>
      </c>
      <c r="T84" s="65">
        <f>R84+S84-'AP02'!$G84</f>
        <v>254845.3424</v>
      </c>
      <c r="U84" s="4"/>
      <c r="V84" s="4"/>
      <c r="W84" s="4"/>
      <c r="X84" s="4"/>
      <c r="Y84" s="4"/>
      <c r="Z84" s="4"/>
    </row>
    <row r="85" ht="18.75" customHeight="1">
      <c r="A85" s="59">
        <f t="shared" si="2"/>
        <v>71</v>
      </c>
      <c r="B85" s="60">
        <f t="shared" si="5"/>
        <v>45403</v>
      </c>
      <c r="C85" s="117">
        <f t="shared" si="126"/>
        <v>0.0775</v>
      </c>
      <c r="D85" s="117">
        <f>((1+'AP02'!$C85)^(1/12))-1</f>
        <v>0.006239681461</v>
      </c>
      <c r="E85" s="62">
        <f t="shared" si="127"/>
        <v>2171.261517</v>
      </c>
      <c r="F85" s="62">
        <f>(O84*'AP02'!$P85)*'AP02'!$D85</f>
        <v>1577.212214</v>
      </c>
      <c r="G85" s="62">
        <f>(O84*'AP02'!$P85)/($I$5-A84)</f>
        <v>871.6250729</v>
      </c>
      <c r="H85" s="63">
        <f t="shared" ref="H85:L85" si="133">H84</f>
        <v>0</v>
      </c>
      <c r="I85" s="63">
        <f t="shared" si="133"/>
        <v>0</v>
      </c>
      <c r="J85" s="62">
        <f t="shared" si="133"/>
        <v>25</v>
      </c>
      <c r="K85" s="63">
        <f t="shared" si="133"/>
        <v>0</v>
      </c>
      <c r="L85" s="63">
        <f t="shared" si="133"/>
        <v>0</v>
      </c>
      <c r="M85" s="62">
        <f>SUM('AP02'!$F85:$L85)</f>
        <v>2473.837287</v>
      </c>
      <c r="N85" s="62">
        <f>O84*('AP02'!$P85-1)</f>
        <v>158.6407319</v>
      </c>
      <c r="O85" s="62">
        <f>(O84*'AP02'!$P85)+'AP02'!$F85</f>
        <v>254348.4834</v>
      </c>
      <c r="P85" s="64">
        <v>1.000628</v>
      </c>
      <c r="Q85" s="4"/>
      <c r="R85" s="65">
        <f>(R84*'AP02'!$P85)+(S84*'AP02'!$P85)</f>
        <v>255877.0103</v>
      </c>
      <c r="S85" s="4">
        <f>2115.97+871.08+51.45+40.27+25</f>
        <v>3103.77</v>
      </c>
      <c r="T85" s="4"/>
      <c r="U85" s="4"/>
      <c r="V85" s="4"/>
      <c r="W85" s="4"/>
      <c r="X85" s="4"/>
      <c r="Y85" s="4"/>
      <c r="Z85" s="4"/>
    </row>
    <row r="86" ht="18.75" customHeight="1">
      <c r="A86" s="56">
        <f t="shared" si="2"/>
        <v>72</v>
      </c>
      <c r="B86" s="50">
        <f t="shared" si="5"/>
        <v>45433</v>
      </c>
      <c r="C86" s="116">
        <f t="shared" si="126"/>
        <v>0.0775</v>
      </c>
      <c r="D86" s="116">
        <f>((1+'AP02'!$C86)^(1/12))-1</f>
        <v>0.006239681461</v>
      </c>
      <c r="E86" s="51">
        <f t="shared" si="127"/>
        <v>2171.261517</v>
      </c>
      <c r="F86" s="51">
        <f>(O85*'AP02'!$P86)*'AP02'!$D86</f>
        <v>1587.629617</v>
      </c>
      <c r="G86" s="51">
        <f>(O85*'AP02'!$P86)/($I$5-A85)</f>
        <v>880.4180341</v>
      </c>
      <c r="H86" s="52">
        <f t="shared" ref="H86:L86" si="134">H85</f>
        <v>0</v>
      </c>
      <c r="I86" s="52">
        <f t="shared" si="134"/>
        <v>0</v>
      </c>
      <c r="J86" s="51">
        <f t="shared" si="134"/>
        <v>25</v>
      </c>
      <c r="K86" s="52">
        <f t="shared" si="134"/>
        <v>0</v>
      </c>
      <c r="L86" s="52">
        <f t="shared" si="134"/>
        <v>0</v>
      </c>
      <c r="M86" s="51">
        <f>SUM('AP02'!$F86:$L86)</f>
        <v>2493.047651</v>
      </c>
      <c r="N86" s="51">
        <f>O85*('AP02'!$P86-1)</f>
        <v>92.32849946</v>
      </c>
      <c r="O86" s="51">
        <f>(O85*'AP02'!$P86)+'AP02'!$F86</f>
        <v>256028.4415</v>
      </c>
      <c r="P86" s="53">
        <v>1.000363</v>
      </c>
      <c r="Q86" s="4"/>
      <c r="R86" s="65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56">
        <f t="shared" si="2"/>
        <v>73</v>
      </c>
      <c r="B87" s="50">
        <f t="shared" si="5"/>
        <v>45464</v>
      </c>
      <c r="C87" s="116">
        <f t="shared" si="126"/>
        <v>0.0775</v>
      </c>
      <c r="D87" s="116">
        <f>((1+'AP02'!$C87)^(1/12))-1</f>
        <v>0.006239681461</v>
      </c>
      <c r="E87" s="51">
        <f t="shared" si="127"/>
        <v>2171.261517</v>
      </c>
      <c r="F87" s="51">
        <f>(O86*'AP02'!$P87)*'AP02'!$D87</f>
        <v>1599.00725</v>
      </c>
      <c r="G87" s="51">
        <f>(O86*'AP02'!$P87)/($I$5-A86)</f>
        <v>889.8064016</v>
      </c>
      <c r="H87" s="52">
        <f t="shared" ref="H87:L87" si="135">H86</f>
        <v>0</v>
      </c>
      <c r="I87" s="52">
        <f t="shared" si="135"/>
        <v>0</v>
      </c>
      <c r="J87" s="51">
        <f t="shared" si="135"/>
        <v>25</v>
      </c>
      <c r="K87" s="52">
        <f t="shared" si="135"/>
        <v>0</v>
      </c>
      <c r="L87" s="52">
        <f t="shared" si="135"/>
        <v>0</v>
      </c>
      <c r="M87" s="51">
        <f>SUM('AP02'!$F87:$L87)</f>
        <v>2513.813652</v>
      </c>
      <c r="N87" s="51">
        <f>O86*('AP02'!$P87-1)</f>
        <v>235.8021946</v>
      </c>
      <c r="O87" s="51">
        <f>(O86*'AP02'!$P87)-'AP02'!$G87</f>
        <v>255374.4373</v>
      </c>
      <c r="P87" s="53">
        <v>1.000921</v>
      </c>
      <c r="Q87" s="4"/>
      <c r="R87" s="65">
        <v>254994.68</v>
      </c>
      <c r="S87" s="4"/>
      <c r="T87" s="4"/>
      <c r="U87" s="4"/>
      <c r="V87" s="4"/>
      <c r="W87" s="4"/>
      <c r="X87" s="4"/>
      <c r="Y87" s="4"/>
      <c r="Z87" s="4"/>
    </row>
    <row r="88" ht="18.75" customHeight="1">
      <c r="A88" s="56">
        <f t="shared" si="2"/>
        <v>74</v>
      </c>
      <c r="B88" s="50">
        <f t="shared" si="5"/>
        <v>45494</v>
      </c>
      <c r="C88" s="116">
        <f t="shared" si="126"/>
        <v>0.0775</v>
      </c>
      <c r="D88" s="116">
        <f>((1+'AP02'!$C88)^(1/12))-1</f>
        <v>0.006239681461</v>
      </c>
      <c r="E88" s="51">
        <f t="shared" si="127"/>
        <v>2171.261517</v>
      </c>
      <c r="F88" s="51">
        <f>(O87*'AP02'!$P88)*'AP02'!$D88</f>
        <v>1594.495668</v>
      </c>
      <c r="G88" s="51">
        <f>(O87*'AP02'!$P88)/($I$5-A87)</f>
        <v>890.3874452</v>
      </c>
      <c r="H88" s="52">
        <f t="shared" ref="H88:L88" si="136">H87</f>
        <v>0</v>
      </c>
      <c r="I88" s="52">
        <f t="shared" si="136"/>
        <v>0</v>
      </c>
      <c r="J88" s="51">
        <f t="shared" si="136"/>
        <v>25</v>
      </c>
      <c r="K88" s="52">
        <f t="shared" si="136"/>
        <v>0</v>
      </c>
      <c r="L88" s="52">
        <f t="shared" si="136"/>
        <v>0</v>
      </c>
      <c r="M88" s="51">
        <f>SUM('AP02'!$F88:$L88)</f>
        <v>2509.883113</v>
      </c>
      <c r="N88" s="51">
        <f>O87*('AP02'!$P88-1)</f>
        <v>166.7595075</v>
      </c>
      <c r="O88" s="51">
        <f>(O87*'AP02'!$P88)-'AP02'!$G88</f>
        <v>254650.8093</v>
      </c>
      <c r="P88" s="53">
        <v>1.000653</v>
      </c>
      <c r="Q88" s="4"/>
      <c r="R88" s="65">
        <f>R87-R84</f>
        <v>2382.029592</v>
      </c>
      <c r="S88" s="4"/>
      <c r="T88" s="4"/>
      <c r="U88" s="4"/>
      <c r="V88" s="4"/>
      <c r="W88" s="4"/>
      <c r="X88" s="4"/>
      <c r="Y88" s="4"/>
      <c r="Z88" s="4"/>
    </row>
    <row r="89" ht="18.75" customHeight="1">
      <c r="A89" s="56">
        <f t="shared" si="2"/>
        <v>75</v>
      </c>
      <c r="B89" s="50">
        <f t="shared" si="5"/>
        <v>45525</v>
      </c>
      <c r="C89" s="116">
        <f t="shared" si="126"/>
        <v>0.0775</v>
      </c>
      <c r="D89" s="116">
        <f>((1+'AP02'!$C89)^(1/12))-1</f>
        <v>0.006239681461</v>
      </c>
      <c r="E89" s="51">
        <f t="shared" si="127"/>
        <v>2171.261517</v>
      </c>
      <c r="F89" s="51">
        <f>(O88*'AP02'!$P89)*'AP02'!$D89</f>
        <v>1590.064904</v>
      </c>
      <c r="G89" s="51">
        <f>(O88*'AP02'!$P89)/($I$5-A88)</f>
        <v>891.0178395</v>
      </c>
      <c r="H89" s="52">
        <f t="shared" ref="H89:L89" si="137">H88</f>
        <v>0</v>
      </c>
      <c r="I89" s="52">
        <f t="shared" si="137"/>
        <v>0</v>
      </c>
      <c r="J89" s="51">
        <f t="shared" si="137"/>
        <v>25</v>
      </c>
      <c r="K89" s="52">
        <f t="shared" si="137"/>
        <v>0</v>
      </c>
      <c r="L89" s="52">
        <f t="shared" si="137"/>
        <v>0</v>
      </c>
      <c r="M89" s="51">
        <f>SUM('AP02'!$F89:$L89)</f>
        <v>2506.082743</v>
      </c>
      <c r="N89" s="51">
        <f>O88*('AP02'!$P89-1)</f>
        <v>180.292773</v>
      </c>
      <c r="O89" s="51">
        <f>(O88*'AP02'!$P89)-'AP02'!$G89</f>
        <v>253940.0843</v>
      </c>
      <c r="P89" s="53">
        <v>1.000708</v>
      </c>
      <c r="Q89" s="4"/>
      <c r="R89" s="65">
        <f>R88-2115.97</f>
        <v>266.0595922</v>
      </c>
      <c r="S89" s="4"/>
      <c r="T89" s="4"/>
      <c r="U89" s="4"/>
      <c r="V89" s="4"/>
      <c r="W89" s="4"/>
      <c r="X89" s="4"/>
      <c r="Y89" s="4"/>
      <c r="Z89" s="4"/>
    </row>
    <row r="90" ht="18.75" customHeight="1">
      <c r="A90" s="56">
        <f t="shared" si="2"/>
        <v>76</v>
      </c>
      <c r="B90" s="50">
        <f t="shared" si="5"/>
        <v>45556</v>
      </c>
      <c r="C90" s="116">
        <f t="shared" si="126"/>
        <v>0.0775</v>
      </c>
      <c r="D90" s="116">
        <f>((1+'AP02'!$C90)^(1/12))-1</f>
        <v>0.006239681461</v>
      </c>
      <c r="E90" s="51">
        <f t="shared" si="127"/>
        <v>2171.261517</v>
      </c>
      <c r="F90" s="51">
        <f>(O89*'AP02'!$P90)*'AP02'!$D90</f>
        <v>1585.685692</v>
      </c>
      <c r="G90" s="51">
        <f>(O89*'AP02'!$P90)/($I$5-A89)</f>
        <v>891.6816478</v>
      </c>
      <c r="H90" s="52">
        <f t="shared" ref="H90:L90" si="138">H89</f>
        <v>0</v>
      </c>
      <c r="I90" s="52">
        <f t="shared" si="138"/>
        <v>0</v>
      </c>
      <c r="J90" s="51">
        <f t="shared" si="138"/>
        <v>25</v>
      </c>
      <c r="K90" s="52">
        <f t="shared" si="138"/>
        <v>0</v>
      </c>
      <c r="L90" s="52">
        <f t="shared" si="138"/>
        <v>0</v>
      </c>
      <c r="M90" s="51">
        <f>SUM('AP02'!$F90:$L90)</f>
        <v>2502.36734</v>
      </c>
      <c r="N90" s="51">
        <f>O89*('AP02'!$P90-1)</f>
        <v>189.1853628</v>
      </c>
      <c r="O90" s="51">
        <f>(O89*'AP02'!$P90)-'AP02'!$G90</f>
        <v>253237.588</v>
      </c>
      <c r="P90" s="53">
        <v>1.000745</v>
      </c>
      <c r="Q90" s="4"/>
      <c r="R90" s="4">
        <f>51.45+40.27+51.94+40.3+50</f>
        <v>233.96</v>
      </c>
      <c r="S90" s="4"/>
      <c r="T90" s="4"/>
      <c r="U90" s="4"/>
      <c r="V90" s="4"/>
      <c r="W90" s="4"/>
      <c r="X90" s="4"/>
      <c r="Y90" s="4"/>
      <c r="Z90" s="4"/>
    </row>
    <row r="91" ht="18.75" customHeight="1">
      <c r="A91" s="56">
        <f t="shared" si="2"/>
        <v>77</v>
      </c>
      <c r="B91" s="50">
        <f t="shared" si="5"/>
        <v>45586</v>
      </c>
      <c r="C91" s="116">
        <f t="shared" si="126"/>
        <v>0.0775</v>
      </c>
      <c r="D91" s="116">
        <f>((1+'AP02'!$C91)^(1/12))-1</f>
        <v>0.006239681461</v>
      </c>
      <c r="E91" s="51">
        <f t="shared" si="127"/>
        <v>2171.261517</v>
      </c>
      <c r="F91" s="51">
        <f>(O90*'AP02'!$P91)*'AP02'!$D91</f>
        <v>1581.172664</v>
      </c>
      <c r="G91" s="51">
        <f>(O90*'AP02'!$P91)/($I$5-A90)</f>
        <v>892.2746161</v>
      </c>
      <c r="H91" s="52">
        <f t="shared" ref="H91:L91" si="139">H90</f>
        <v>0</v>
      </c>
      <c r="I91" s="52">
        <f t="shared" si="139"/>
        <v>0</v>
      </c>
      <c r="J91" s="51">
        <f t="shared" si="139"/>
        <v>25</v>
      </c>
      <c r="K91" s="52">
        <f t="shared" si="139"/>
        <v>0</v>
      </c>
      <c r="L91" s="52">
        <f t="shared" si="139"/>
        <v>0</v>
      </c>
      <c r="M91" s="51">
        <f>SUM('AP02'!$F91:$L91)</f>
        <v>2498.44728</v>
      </c>
      <c r="N91" s="51">
        <f>O90*('AP02'!$P91-1)</f>
        <v>168.402996</v>
      </c>
      <c r="O91" s="51">
        <f>(O90*'AP02'!$P91)-'AP02'!$G91</f>
        <v>252513.7164</v>
      </c>
      <c r="P91" s="53">
        <v>1.000665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56">
        <f t="shared" si="2"/>
        <v>78</v>
      </c>
      <c r="B92" s="50">
        <f t="shared" si="5"/>
        <v>45617</v>
      </c>
      <c r="C92" s="116">
        <f t="shared" si="126"/>
        <v>0.0775</v>
      </c>
      <c r="D92" s="116">
        <f>((1+'AP02'!$C92)^(1/12))-1</f>
        <v>0.006239681461</v>
      </c>
      <c r="E92" s="51">
        <f t="shared" si="127"/>
        <v>2171.261517</v>
      </c>
      <c r="F92" s="51">
        <f>(O91*'AP02'!$P92)*'AP02'!$D92</f>
        <v>1576.744317</v>
      </c>
      <c r="G92" s="51">
        <f>(O91*'AP02'!$P92)/($I$5-A91)</f>
        <v>892.9197306</v>
      </c>
      <c r="H92" s="52">
        <f t="shared" ref="H92:L92" si="140">H91</f>
        <v>0</v>
      </c>
      <c r="I92" s="52">
        <f t="shared" si="140"/>
        <v>0</v>
      </c>
      <c r="J92" s="51">
        <f t="shared" si="140"/>
        <v>25</v>
      </c>
      <c r="K92" s="52">
        <f t="shared" si="140"/>
        <v>0</v>
      </c>
      <c r="L92" s="52">
        <f t="shared" si="140"/>
        <v>0</v>
      </c>
      <c r="M92" s="51">
        <f>SUM('AP02'!$F92:$L92)</f>
        <v>2494.664048</v>
      </c>
      <c r="N92" s="51">
        <f>O91*('AP02'!$P92-1)</f>
        <v>182.5674169</v>
      </c>
      <c r="O92" s="51">
        <f>(O91*'AP02'!$P92)-'AP02'!$G92</f>
        <v>251803.364</v>
      </c>
      <c r="P92" s="53">
        <v>1.000723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56">
        <f t="shared" si="2"/>
        <v>79</v>
      </c>
      <c r="B93" s="50">
        <f t="shared" si="5"/>
        <v>45647</v>
      </c>
      <c r="C93" s="116">
        <f t="shared" si="126"/>
        <v>0.0775</v>
      </c>
      <c r="D93" s="116">
        <f>((1+'AP02'!$C93)^(1/12))-1</f>
        <v>0.006239681461</v>
      </c>
      <c r="E93" s="51">
        <f t="shared" si="127"/>
        <v>2171.261517</v>
      </c>
      <c r="F93" s="51">
        <f>(O92*'AP02'!$P93)*'AP02'!$D93</f>
        <v>1572.742384</v>
      </c>
      <c r="G93" s="51">
        <f>(O92*'AP02'!$P93)/($I$5-A92)</f>
        <v>893.8117575</v>
      </c>
      <c r="H93" s="52">
        <f t="shared" ref="H93:L93" si="141">H92</f>
        <v>0</v>
      </c>
      <c r="I93" s="52">
        <f t="shared" si="141"/>
        <v>0</v>
      </c>
      <c r="J93" s="51">
        <f t="shared" si="141"/>
        <v>25</v>
      </c>
      <c r="K93" s="52">
        <f t="shared" si="141"/>
        <v>0</v>
      </c>
      <c r="L93" s="52">
        <f t="shared" si="141"/>
        <v>0</v>
      </c>
      <c r="M93" s="51">
        <f>SUM('AP02'!$F93:$L93)</f>
        <v>2491.554142</v>
      </c>
      <c r="N93" s="51">
        <f>O92*('AP02'!$P93-1)</f>
        <v>251.5515607</v>
      </c>
      <c r="O93" s="51">
        <f>(O92*'AP02'!$P93)-'AP02'!$G93</f>
        <v>251161.1038</v>
      </c>
      <c r="P93" s="53">
        <v>1.000999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56">
        <f t="shared" si="2"/>
        <v>80</v>
      </c>
      <c r="B94" s="50">
        <f t="shared" si="5"/>
        <v>45678</v>
      </c>
      <c r="C94" s="116">
        <f t="shared" si="126"/>
        <v>0.0775</v>
      </c>
      <c r="D94" s="116">
        <f>((1+'AP02'!$C94)^(1/12))-1</f>
        <v>0.006239681461</v>
      </c>
      <c r="E94" s="51">
        <f t="shared" si="127"/>
        <v>2171.261517</v>
      </c>
      <c r="F94" s="51">
        <f>(O93*'AP02'!$P94)*'AP02'!$D94</f>
        <v>1568.419016</v>
      </c>
      <c r="G94" s="51">
        <f>(O93*'AP02'!$P94)/($I$5-A93)</f>
        <v>894.5268069</v>
      </c>
      <c r="H94" s="52">
        <f t="shared" ref="H94:L94" si="142">H93</f>
        <v>0</v>
      </c>
      <c r="I94" s="52">
        <f t="shared" si="142"/>
        <v>0</v>
      </c>
      <c r="J94" s="51">
        <f t="shared" si="142"/>
        <v>25</v>
      </c>
      <c r="K94" s="52">
        <f t="shared" si="142"/>
        <v>0</v>
      </c>
      <c r="L94" s="52">
        <f t="shared" si="142"/>
        <v>0</v>
      </c>
      <c r="M94" s="51">
        <f>SUM('AP02'!$F94:$L94)</f>
        <v>2487.945823</v>
      </c>
      <c r="N94" s="51">
        <f>O93*('AP02'!$P94-1)</f>
        <v>200.9288831</v>
      </c>
      <c r="O94" s="51">
        <f>(O93*'AP02'!$P94)-'AP02'!$G94</f>
        <v>250467.5059</v>
      </c>
      <c r="P94" s="53">
        <v>1.0008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56">
        <f t="shared" si="2"/>
        <v>81</v>
      </c>
      <c r="B95" s="50">
        <f t="shared" si="5"/>
        <v>45709</v>
      </c>
      <c r="C95" s="116">
        <f t="shared" si="126"/>
        <v>0.0775</v>
      </c>
      <c r="D95" s="116">
        <f>((1+'AP02'!$C95)^(1/12))-1</f>
        <v>0.006239681461</v>
      </c>
      <c r="E95" s="51">
        <f t="shared" si="127"/>
        <v>2171.261517</v>
      </c>
      <c r="F95" s="51">
        <f>(O94*'AP02'!$P95)*'AP02'!$D95</f>
        <v>1565.513031</v>
      </c>
      <c r="G95" s="51">
        <f>(O94*'AP02'!$P95)/($I$5-A94)</f>
        <v>896.0582367</v>
      </c>
      <c r="H95" s="52">
        <f t="shared" ref="H95:L95" si="143">H94</f>
        <v>0</v>
      </c>
      <c r="I95" s="52">
        <f t="shared" si="143"/>
        <v>0</v>
      </c>
      <c r="J95" s="51">
        <f t="shared" si="143"/>
        <v>25</v>
      </c>
      <c r="K95" s="52">
        <f t="shared" si="143"/>
        <v>0</v>
      </c>
      <c r="L95" s="52">
        <f t="shared" si="143"/>
        <v>0</v>
      </c>
      <c r="M95" s="51">
        <f>SUM('AP02'!$F95:$L95)</f>
        <v>2486.571268</v>
      </c>
      <c r="N95" s="51">
        <f>O94*('AP02'!$P95-1)</f>
        <v>428.8003701</v>
      </c>
      <c r="O95" s="51">
        <f>(O94*'AP02'!$P95)-'AP02'!$G95</f>
        <v>250000.2481</v>
      </c>
      <c r="P95" s="53">
        <v>1.001712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56">
        <f t="shared" si="2"/>
        <v>82</v>
      </c>
      <c r="B96" s="67">
        <f t="shared" si="5"/>
        <v>45737</v>
      </c>
      <c r="C96" s="118">
        <f t="shared" si="126"/>
        <v>0.0775</v>
      </c>
      <c r="D96" s="118">
        <f>((1+'AP02'!$C96)^(1/12))-1</f>
        <v>0.006239681461</v>
      </c>
      <c r="E96" s="69">
        <f t="shared" si="127"/>
        <v>2171.261517</v>
      </c>
      <c r="F96" s="69">
        <f>(O95*'AP02'!$P96)*'AP02'!$D96</f>
        <v>1561.080935</v>
      </c>
      <c r="G96" s="69">
        <f>(O95*'AP02'!$P96)/($I$5-A95)</f>
        <v>896.724008</v>
      </c>
      <c r="H96" s="57">
        <f t="shared" ref="H96:L96" si="144">H95</f>
        <v>0</v>
      </c>
      <c r="I96" s="57">
        <f t="shared" si="144"/>
        <v>0</v>
      </c>
      <c r="J96" s="69">
        <f t="shared" si="144"/>
        <v>25</v>
      </c>
      <c r="K96" s="57">
        <f t="shared" si="144"/>
        <v>0</v>
      </c>
      <c r="L96" s="57">
        <f t="shared" si="144"/>
        <v>0</v>
      </c>
      <c r="M96" s="69">
        <f>SUM('AP02'!$F96:$L96)</f>
        <v>2482.804943</v>
      </c>
      <c r="N96" s="69">
        <f>O95*('AP02'!$P96-1)</f>
        <v>185.7501843</v>
      </c>
      <c r="O96" s="69">
        <f>(O95*'AP02'!$P96)-'AP02'!$G96</f>
        <v>249289.2742</v>
      </c>
      <c r="P96" s="71">
        <v>1.000743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72">
        <f t="shared" si="2"/>
        <v>83</v>
      </c>
      <c r="B97" s="73">
        <f t="shared" si="5"/>
        <v>45768</v>
      </c>
      <c r="C97" s="119">
        <f t="shared" si="126"/>
        <v>0.0775</v>
      </c>
      <c r="D97" s="119">
        <f>((1+'AP02'!$C97)^(1/12))-1</f>
        <v>0.006239681461</v>
      </c>
      <c r="E97" s="75">
        <f t="shared" si="127"/>
        <v>2171.261517</v>
      </c>
      <c r="F97" s="75">
        <f>(O96*'AP02'!$P97)*'AP02'!$D97</f>
        <v>1558.111323</v>
      </c>
      <c r="G97" s="75">
        <f>(O96*'AP02'!$P97)/($I$5-A96)</f>
        <v>898.2376781</v>
      </c>
      <c r="H97" s="76">
        <f t="shared" ref="H97:L97" si="145">H96</f>
        <v>0</v>
      </c>
      <c r="I97" s="76">
        <f t="shared" si="145"/>
        <v>0</v>
      </c>
      <c r="J97" s="75">
        <f t="shared" si="145"/>
        <v>25</v>
      </c>
      <c r="K97" s="76">
        <f t="shared" si="145"/>
        <v>0</v>
      </c>
      <c r="L97" s="76">
        <f t="shared" si="145"/>
        <v>0</v>
      </c>
      <c r="M97" s="75">
        <f>SUM('AP02'!$F97:$L97)</f>
        <v>2481.349001</v>
      </c>
      <c r="N97" s="75">
        <f>O96*('AP02'!$P97-1)</f>
        <v>420.8002949</v>
      </c>
      <c r="O97" s="120">
        <f>(O96*'AP02'!$P97)-'AP02'!$G97</f>
        <v>248811.8368</v>
      </c>
      <c r="P97" s="78">
        <v>1.001688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80">
        <f t="shared" si="2"/>
        <v>84</v>
      </c>
      <c r="B98" s="42">
        <f t="shared" si="5"/>
        <v>45798</v>
      </c>
      <c r="C98" s="121">
        <f t="shared" si="126"/>
        <v>0.0775</v>
      </c>
      <c r="D98" s="121">
        <f>((1+'AP02'!$C98)^(1/12))-1</f>
        <v>0.006239681461</v>
      </c>
      <c r="E98" s="45">
        <f t="shared" si="127"/>
        <v>2171.261517</v>
      </c>
      <c r="F98" s="45">
        <f>(O97*'AP02'!$P98)*'AP02'!$D98</f>
        <v>1552.506606</v>
      </c>
      <c r="G98" s="45">
        <f>(O97*'AP02'!$P98)/($I$5-A97)</f>
        <v>898.2376781</v>
      </c>
      <c r="H98" s="82">
        <f t="shared" ref="H98:L98" si="146">H97</f>
        <v>0</v>
      </c>
      <c r="I98" s="82">
        <f t="shared" si="146"/>
        <v>0</v>
      </c>
      <c r="J98" s="45">
        <f t="shared" si="146"/>
        <v>25</v>
      </c>
      <c r="K98" s="82">
        <f t="shared" si="146"/>
        <v>0</v>
      </c>
      <c r="L98" s="82">
        <f t="shared" si="146"/>
        <v>0</v>
      </c>
      <c r="M98" s="45">
        <f>SUM('AP02'!$F98:$L98)</f>
        <v>2475.744284</v>
      </c>
      <c r="N98" s="45">
        <f>O97*('AP02'!$P98-1)</f>
        <v>0</v>
      </c>
      <c r="O98" s="45">
        <f>(O97*'AP02'!$P98)-'AP02'!$G98</f>
        <v>247913.5992</v>
      </c>
      <c r="P98" s="83">
        <v>1.0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56">
        <f t="shared" si="2"/>
        <v>85</v>
      </c>
      <c r="B99" s="50">
        <f t="shared" si="5"/>
        <v>45829</v>
      </c>
      <c r="C99" s="116">
        <f t="shared" si="126"/>
        <v>0.0775</v>
      </c>
      <c r="D99" s="116">
        <f>((1+'AP02'!$C99)^(1/12))-1</f>
        <v>0.006239681461</v>
      </c>
      <c r="E99" s="51">
        <f t="shared" si="127"/>
        <v>2171.261517</v>
      </c>
      <c r="F99" s="51">
        <f>(O98*'AP02'!$P99)*'AP02'!$D99</f>
        <v>1546.901889</v>
      </c>
      <c r="G99" s="51">
        <f>(O98*'AP02'!$P99)/($I$5-A98)</f>
        <v>898.2376781</v>
      </c>
      <c r="H99" s="52">
        <f t="shared" ref="H99:L99" si="147">H98</f>
        <v>0</v>
      </c>
      <c r="I99" s="52">
        <f t="shared" si="147"/>
        <v>0</v>
      </c>
      <c r="J99" s="51">
        <f t="shared" si="147"/>
        <v>25</v>
      </c>
      <c r="K99" s="52">
        <f t="shared" si="147"/>
        <v>0</v>
      </c>
      <c r="L99" s="52">
        <f t="shared" si="147"/>
        <v>0</v>
      </c>
      <c r="M99" s="51">
        <f>SUM('AP02'!$F99:$L99)</f>
        <v>2470.139567</v>
      </c>
      <c r="N99" s="51">
        <f>O98*('AP02'!$P99-1)</f>
        <v>0</v>
      </c>
      <c r="O99" s="51">
        <f>(O98*'AP02'!$P99)-'AP02'!$G99</f>
        <v>247015.3615</v>
      </c>
      <c r="P99" s="53">
        <f t="shared" ref="P99:P374" si="149">P98</f>
        <v>1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56">
        <f t="shared" si="2"/>
        <v>86</v>
      </c>
      <c r="B100" s="50">
        <f t="shared" si="5"/>
        <v>45859</v>
      </c>
      <c r="C100" s="116">
        <f t="shared" si="126"/>
        <v>0.0775</v>
      </c>
      <c r="D100" s="116">
        <f>((1+'AP02'!$C100)^(1/12))-1</f>
        <v>0.006239681461</v>
      </c>
      <c r="E100" s="51">
        <f t="shared" si="127"/>
        <v>2171.261517</v>
      </c>
      <c r="F100" s="51">
        <f>(O99*'AP02'!$P100)*'AP02'!$D100</f>
        <v>1541.297172</v>
      </c>
      <c r="G100" s="51">
        <f>(O99*'AP02'!$P100)/($I$5-A99)</f>
        <v>898.2376781</v>
      </c>
      <c r="H100" s="52">
        <f t="shared" ref="H100:L100" si="148">H99</f>
        <v>0</v>
      </c>
      <c r="I100" s="52">
        <f t="shared" si="148"/>
        <v>0</v>
      </c>
      <c r="J100" s="51">
        <f t="shared" si="148"/>
        <v>25</v>
      </c>
      <c r="K100" s="52">
        <f t="shared" si="148"/>
        <v>0</v>
      </c>
      <c r="L100" s="52">
        <f t="shared" si="148"/>
        <v>0</v>
      </c>
      <c r="M100" s="51">
        <f>SUM('AP02'!$F100:$L100)</f>
        <v>2464.53485</v>
      </c>
      <c r="N100" s="51">
        <f>O99*('AP02'!$P100-1)</f>
        <v>0</v>
      </c>
      <c r="O100" s="51">
        <f>(O99*'AP02'!$P100)-'AP02'!$G100</f>
        <v>246117.1238</v>
      </c>
      <c r="P100" s="53">
        <f t="shared" si="149"/>
        <v>1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56">
        <f t="shared" si="2"/>
        <v>87</v>
      </c>
      <c r="B101" s="50">
        <f t="shared" si="5"/>
        <v>45890</v>
      </c>
      <c r="C101" s="116">
        <f t="shared" si="126"/>
        <v>0.0775</v>
      </c>
      <c r="D101" s="116">
        <f>((1+'AP02'!$C101)^(1/12))-1</f>
        <v>0.006239681461</v>
      </c>
      <c r="E101" s="51">
        <f t="shared" si="127"/>
        <v>2171.261517</v>
      </c>
      <c r="F101" s="51">
        <f>(O100*'AP02'!$P101)*'AP02'!$D101</f>
        <v>1535.692455</v>
      </c>
      <c r="G101" s="51">
        <f>(O100*'AP02'!$P101)/($I$5-A100)</f>
        <v>898.2376781</v>
      </c>
      <c r="H101" s="52">
        <f t="shared" ref="H101:L101" si="150">H100</f>
        <v>0</v>
      </c>
      <c r="I101" s="52">
        <f t="shared" si="150"/>
        <v>0</v>
      </c>
      <c r="J101" s="51">
        <f t="shared" si="150"/>
        <v>25</v>
      </c>
      <c r="K101" s="52">
        <f t="shared" si="150"/>
        <v>0</v>
      </c>
      <c r="L101" s="52">
        <f t="shared" si="150"/>
        <v>0</v>
      </c>
      <c r="M101" s="51">
        <f>SUM('AP02'!$F101:$L101)</f>
        <v>2458.930133</v>
      </c>
      <c r="N101" s="51">
        <f>O100*('AP02'!$P101-1)</f>
        <v>0</v>
      </c>
      <c r="O101" s="51">
        <f>(O100*'AP02'!$P101)-'AP02'!$G101</f>
        <v>245218.8861</v>
      </c>
      <c r="P101" s="53">
        <f t="shared" si="149"/>
        <v>1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56">
        <f t="shared" si="2"/>
        <v>88</v>
      </c>
      <c r="B102" s="50">
        <f t="shared" si="5"/>
        <v>45921</v>
      </c>
      <c r="C102" s="116">
        <f t="shared" si="126"/>
        <v>0.0775</v>
      </c>
      <c r="D102" s="116">
        <f>((1+'AP02'!$C102)^(1/12))-1</f>
        <v>0.006239681461</v>
      </c>
      <c r="E102" s="51">
        <f t="shared" si="127"/>
        <v>2171.261517</v>
      </c>
      <c r="F102" s="51">
        <f>(O101*'AP02'!$P102)*'AP02'!$D102</f>
        <v>1530.087738</v>
      </c>
      <c r="G102" s="51">
        <f>(O101*'AP02'!$P102)/($I$5-A101)</f>
        <v>898.2376781</v>
      </c>
      <c r="H102" s="52">
        <f t="shared" ref="H102:L102" si="151">H101</f>
        <v>0</v>
      </c>
      <c r="I102" s="52">
        <f t="shared" si="151"/>
        <v>0</v>
      </c>
      <c r="J102" s="51">
        <f t="shared" si="151"/>
        <v>25</v>
      </c>
      <c r="K102" s="52">
        <f t="shared" si="151"/>
        <v>0</v>
      </c>
      <c r="L102" s="52">
        <f t="shared" si="151"/>
        <v>0</v>
      </c>
      <c r="M102" s="51">
        <f>SUM('AP02'!$F102:$L102)</f>
        <v>2453.325416</v>
      </c>
      <c r="N102" s="51">
        <f>O101*('AP02'!$P102-1)</f>
        <v>0</v>
      </c>
      <c r="O102" s="51">
        <f>(O101*'AP02'!$P102)-'AP02'!$G102</f>
        <v>244320.6485</v>
      </c>
      <c r="P102" s="53">
        <f t="shared" si="149"/>
        <v>1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6">
        <f t="shared" si="2"/>
        <v>89</v>
      </c>
      <c r="B103" s="50">
        <f t="shared" si="5"/>
        <v>45951</v>
      </c>
      <c r="C103" s="116">
        <f t="shared" si="126"/>
        <v>0.0775</v>
      </c>
      <c r="D103" s="116">
        <f>((1+'AP02'!$C103)^(1/12))-1</f>
        <v>0.006239681461</v>
      </c>
      <c r="E103" s="51">
        <f t="shared" si="127"/>
        <v>2171.261517</v>
      </c>
      <c r="F103" s="51">
        <f>(O102*'AP02'!$P103)*'AP02'!$D103</f>
        <v>1524.483021</v>
      </c>
      <c r="G103" s="51">
        <f>(O102*'AP02'!$P103)/($I$5-A102)</f>
        <v>898.2376781</v>
      </c>
      <c r="H103" s="52">
        <f t="shared" ref="H103:L103" si="152">H102</f>
        <v>0</v>
      </c>
      <c r="I103" s="52">
        <f t="shared" si="152"/>
        <v>0</v>
      </c>
      <c r="J103" s="51">
        <f t="shared" si="152"/>
        <v>25</v>
      </c>
      <c r="K103" s="52">
        <f t="shared" si="152"/>
        <v>0</v>
      </c>
      <c r="L103" s="52">
        <f t="shared" si="152"/>
        <v>0</v>
      </c>
      <c r="M103" s="51">
        <f>SUM('AP02'!$F103:$L103)</f>
        <v>2447.720699</v>
      </c>
      <c r="N103" s="51">
        <f>O102*('AP02'!$P103-1)</f>
        <v>0</v>
      </c>
      <c r="O103" s="51">
        <f>(O102*'AP02'!$P103)-'AP02'!$G103</f>
        <v>243422.4108</v>
      </c>
      <c r="P103" s="53">
        <f t="shared" si="149"/>
        <v>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56">
        <f t="shared" si="2"/>
        <v>90</v>
      </c>
      <c r="B104" s="50">
        <f t="shared" si="5"/>
        <v>45982</v>
      </c>
      <c r="C104" s="116">
        <f t="shared" si="126"/>
        <v>0.0775</v>
      </c>
      <c r="D104" s="116">
        <f>((1+'AP02'!$C104)^(1/12))-1</f>
        <v>0.006239681461</v>
      </c>
      <c r="E104" s="51">
        <f t="shared" si="127"/>
        <v>2171.261517</v>
      </c>
      <c r="F104" s="51">
        <f>(O103*'AP02'!$P104)*'AP02'!$D104</f>
        <v>1518.878304</v>
      </c>
      <c r="G104" s="51">
        <f>(O103*'AP02'!$P104)/($I$5-A103)</f>
        <v>898.2376781</v>
      </c>
      <c r="H104" s="52">
        <f t="shared" ref="H104:L104" si="153">H103</f>
        <v>0</v>
      </c>
      <c r="I104" s="52">
        <f t="shared" si="153"/>
        <v>0</v>
      </c>
      <c r="J104" s="51">
        <f t="shared" si="153"/>
        <v>25</v>
      </c>
      <c r="K104" s="52">
        <f t="shared" si="153"/>
        <v>0</v>
      </c>
      <c r="L104" s="52">
        <f t="shared" si="153"/>
        <v>0</v>
      </c>
      <c r="M104" s="51">
        <f>SUM('AP02'!$F104:$L104)</f>
        <v>2442.115982</v>
      </c>
      <c r="N104" s="51">
        <f>O103*('AP02'!$P104-1)</f>
        <v>0</v>
      </c>
      <c r="O104" s="51">
        <f>(O103*'AP02'!$P104)-'AP02'!$G104</f>
        <v>242524.1731</v>
      </c>
      <c r="P104" s="53">
        <f t="shared" si="149"/>
        <v>1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56">
        <f t="shared" si="2"/>
        <v>91</v>
      </c>
      <c r="B105" s="50">
        <f t="shared" si="5"/>
        <v>46012</v>
      </c>
      <c r="C105" s="116">
        <f t="shared" si="126"/>
        <v>0.0775</v>
      </c>
      <c r="D105" s="116">
        <f>((1+'AP02'!$C105)^(1/12))-1</f>
        <v>0.006239681461</v>
      </c>
      <c r="E105" s="51">
        <f t="shared" si="127"/>
        <v>2171.261517</v>
      </c>
      <c r="F105" s="51">
        <f>(O104*'AP02'!$P105)*'AP02'!$D105</f>
        <v>1513.273587</v>
      </c>
      <c r="G105" s="51">
        <f>(O104*'AP02'!$P105)/($I$5-A104)</f>
        <v>898.2376781</v>
      </c>
      <c r="H105" s="52">
        <f t="shared" ref="H105:L105" si="154">H104</f>
        <v>0</v>
      </c>
      <c r="I105" s="52">
        <f t="shared" si="154"/>
        <v>0</v>
      </c>
      <c r="J105" s="51">
        <f t="shared" si="154"/>
        <v>25</v>
      </c>
      <c r="K105" s="52">
        <f t="shared" si="154"/>
        <v>0</v>
      </c>
      <c r="L105" s="52">
        <f t="shared" si="154"/>
        <v>0</v>
      </c>
      <c r="M105" s="51">
        <f>SUM('AP02'!$F105:$L105)</f>
        <v>2436.511265</v>
      </c>
      <c r="N105" s="51">
        <f>O104*('AP02'!$P105-1)</f>
        <v>0</v>
      </c>
      <c r="O105" s="51">
        <f>(O104*'AP02'!$P105)-'AP02'!$G105</f>
        <v>241625.9354</v>
      </c>
      <c r="P105" s="53">
        <f t="shared" si="149"/>
        <v>1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56">
        <f t="shared" si="2"/>
        <v>92</v>
      </c>
      <c r="B106" s="50">
        <f t="shared" si="5"/>
        <v>46043</v>
      </c>
      <c r="C106" s="116">
        <f t="shared" si="126"/>
        <v>0.0775</v>
      </c>
      <c r="D106" s="116">
        <f>((1+'AP02'!$C106)^(1/12))-1</f>
        <v>0.006239681461</v>
      </c>
      <c r="E106" s="51">
        <f t="shared" si="127"/>
        <v>2171.261517</v>
      </c>
      <c r="F106" s="51">
        <f>(O105*'AP02'!$P106)*'AP02'!$D106</f>
        <v>1507.66887</v>
      </c>
      <c r="G106" s="51">
        <f>(O105*'AP02'!$P106)/($I$5-A105)</f>
        <v>898.2376781</v>
      </c>
      <c r="H106" s="52">
        <f t="shared" ref="H106:L106" si="155">H105</f>
        <v>0</v>
      </c>
      <c r="I106" s="52">
        <f t="shared" si="155"/>
        <v>0</v>
      </c>
      <c r="J106" s="51">
        <f t="shared" si="155"/>
        <v>25</v>
      </c>
      <c r="K106" s="52">
        <f t="shared" si="155"/>
        <v>0</v>
      </c>
      <c r="L106" s="52">
        <f t="shared" si="155"/>
        <v>0</v>
      </c>
      <c r="M106" s="51">
        <f>SUM('AP02'!$F106:$L106)</f>
        <v>2430.906548</v>
      </c>
      <c r="N106" s="51">
        <f>O105*('AP02'!$P106-1)</f>
        <v>0</v>
      </c>
      <c r="O106" s="51">
        <f>(O105*'AP02'!$P106)-'AP02'!$G106</f>
        <v>240727.6977</v>
      </c>
      <c r="P106" s="53">
        <f t="shared" si="149"/>
        <v>1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56">
        <f t="shared" si="2"/>
        <v>93</v>
      </c>
      <c r="B107" s="50">
        <f t="shared" si="5"/>
        <v>46074</v>
      </c>
      <c r="C107" s="116">
        <f t="shared" si="126"/>
        <v>0.0775</v>
      </c>
      <c r="D107" s="116">
        <f>((1+'AP02'!$C107)^(1/12))-1</f>
        <v>0.006239681461</v>
      </c>
      <c r="E107" s="51">
        <f t="shared" si="127"/>
        <v>2171.261517</v>
      </c>
      <c r="F107" s="51">
        <f>(O106*'AP02'!$P107)*'AP02'!$D107</f>
        <v>1502.064153</v>
      </c>
      <c r="G107" s="51">
        <f>(O106*'AP02'!$P107)/($I$5-A106)</f>
        <v>898.2376781</v>
      </c>
      <c r="H107" s="52">
        <f t="shared" ref="H107:L107" si="156">H106</f>
        <v>0</v>
      </c>
      <c r="I107" s="52">
        <f t="shared" si="156"/>
        <v>0</v>
      </c>
      <c r="J107" s="51">
        <f t="shared" si="156"/>
        <v>25</v>
      </c>
      <c r="K107" s="52">
        <f t="shared" si="156"/>
        <v>0</v>
      </c>
      <c r="L107" s="52">
        <f t="shared" si="156"/>
        <v>0</v>
      </c>
      <c r="M107" s="51">
        <f>SUM('AP02'!$F107:$L107)</f>
        <v>2425.301831</v>
      </c>
      <c r="N107" s="51">
        <f>O106*('AP02'!$P107-1)</f>
        <v>0</v>
      </c>
      <c r="O107" s="51">
        <f>(O106*'AP02'!$P107)-'AP02'!$G107</f>
        <v>239829.4601</v>
      </c>
      <c r="P107" s="53">
        <f t="shared" si="149"/>
        <v>1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56">
        <f t="shared" si="2"/>
        <v>94</v>
      </c>
      <c r="B108" s="50">
        <f t="shared" si="5"/>
        <v>46102</v>
      </c>
      <c r="C108" s="116">
        <f t="shared" si="126"/>
        <v>0.0775</v>
      </c>
      <c r="D108" s="116">
        <f>((1+'AP02'!$C108)^(1/12))-1</f>
        <v>0.006239681461</v>
      </c>
      <c r="E108" s="51">
        <f t="shared" si="127"/>
        <v>2171.261517</v>
      </c>
      <c r="F108" s="51">
        <f>(O107*'AP02'!$P108)*'AP02'!$D108</f>
        <v>1496.459436</v>
      </c>
      <c r="G108" s="51">
        <f>(O107*'AP02'!$P108)/($I$5-A107)</f>
        <v>898.2376781</v>
      </c>
      <c r="H108" s="52">
        <f t="shared" ref="H108:L108" si="157">H107</f>
        <v>0</v>
      </c>
      <c r="I108" s="52">
        <f t="shared" si="157"/>
        <v>0</v>
      </c>
      <c r="J108" s="51">
        <f t="shared" si="157"/>
        <v>25</v>
      </c>
      <c r="K108" s="52">
        <f t="shared" si="157"/>
        <v>0</v>
      </c>
      <c r="L108" s="52">
        <f t="shared" si="157"/>
        <v>0</v>
      </c>
      <c r="M108" s="51">
        <f>SUM('AP02'!$F108:$L108)</f>
        <v>2419.697114</v>
      </c>
      <c r="N108" s="51">
        <f>O107*('AP02'!$P108-1)</f>
        <v>0</v>
      </c>
      <c r="O108" s="51">
        <f>(O107*'AP02'!$P108)-'AP02'!$G108</f>
        <v>238931.2224</v>
      </c>
      <c r="P108" s="53">
        <f t="shared" si="149"/>
        <v>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56">
        <f t="shared" si="2"/>
        <v>95</v>
      </c>
      <c r="B109" s="50">
        <f t="shared" si="5"/>
        <v>46133</v>
      </c>
      <c r="C109" s="116">
        <f t="shared" si="126"/>
        <v>0.0775</v>
      </c>
      <c r="D109" s="116">
        <f>((1+'AP02'!$C109)^(1/12))-1</f>
        <v>0.006239681461</v>
      </c>
      <c r="E109" s="51">
        <f t="shared" si="127"/>
        <v>2171.261517</v>
      </c>
      <c r="F109" s="51">
        <f>(O108*'AP02'!$P109)*'AP02'!$D109</f>
        <v>1490.854719</v>
      </c>
      <c r="G109" s="51">
        <f>(O108*'AP02'!$P109)/($I$5-A108)</f>
        <v>898.2376781</v>
      </c>
      <c r="H109" s="52">
        <f t="shared" ref="H109:L109" si="158">H108</f>
        <v>0</v>
      </c>
      <c r="I109" s="52">
        <f t="shared" si="158"/>
        <v>0</v>
      </c>
      <c r="J109" s="51">
        <f t="shared" si="158"/>
        <v>25</v>
      </c>
      <c r="K109" s="52">
        <f t="shared" si="158"/>
        <v>0</v>
      </c>
      <c r="L109" s="52">
        <f t="shared" si="158"/>
        <v>0</v>
      </c>
      <c r="M109" s="51">
        <f>SUM('AP02'!$F109:$L109)</f>
        <v>2414.092397</v>
      </c>
      <c r="N109" s="51">
        <f>O108*('AP02'!$P109-1)</f>
        <v>0</v>
      </c>
      <c r="O109" s="51">
        <f>(O108*'AP02'!$P109)-'AP02'!$G109</f>
        <v>238032.9847</v>
      </c>
      <c r="P109" s="53">
        <f t="shared" si="149"/>
        <v>1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56">
        <f t="shared" si="2"/>
        <v>96</v>
      </c>
      <c r="B110" s="50">
        <f t="shared" si="5"/>
        <v>46163</v>
      </c>
      <c r="C110" s="116">
        <f t="shared" si="126"/>
        <v>0.0775</v>
      </c>
      <c r="D110" s="116">
        <f>((1+'AP02'!$C110)^(1/12))-1</f>
        <v>0.006239681461</v>
      </c>
      <c r="E110" s="51">
        <f t="shared" si="127"/>
        <v>2171.261517</v>
      </c>
      <c r="F110" s="51">
        <f>(O109*'AP02'!$P110)*'AP02'!$D110</f>
        <v>1485.250002</v>
      </c>
      <c r="G110" s="51">
        <f>(O109*'AP02'!$P110)/($I$5-A109)</f>
        <v>898.2376781</v>
      </c>
      <c r="H110" s="52">
        <f t="shared" ref="H110:L110" si="159">H109</f>
        <v>0</v>
      </c>
      <c r="I110" s="52">
        <f t="shared" si="159"/>
        <v>0</v>
      </c>
      <c r="J110" s="51">
        <f t="shared" si="159"/>
        <v>25</v>
      </c>
      <c r="K110" s="52">
        <f t="shared" si="159"/>
        <v>0</v>
      </c>
      <c r="L110" s="52">
        <f t="shared" si="159"/>
        <v>0</v>
      </c>
      <c r="M110" s="51">
        <f>SUM('AP02'!$F110:$L110)</f>
        <v>2408.48768</v>
      </c>
      <c r="N110" s="51">
        <f>O109*('AP02'!$P110-1)</f>
        <v>0</v>
      </c>
      <c r="O110" s="51">
        <f>(O109*'AP02'!$P110)-'AP02'!$G110</f>
        <v>237134.747</v>
      </c>
      <c r="P110" s="53">
        <f t="shared" si="149"/>
        <v>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56">
        <f t="shared" si="2"/>
        <v>97</v>
      </c>
      <c r="B111" s="50">
        <f t="shared" si="5"/>
        <v>46194</v>
      </c>
      <c r="C111" s="116">
        <f t="shared" si="126"/>
        <v>0.0775</v>
      </c>
      <c r="D111" s="116">
        <f>((1+'AP02'!$C111)^(1/12))-1</f>
        <v>0.006239681461</v>
      </c>
      <c r="E111" s="51">
        <f t="shared" si="127"/>
        <v>2171.261517</v>
      </c>
      <c r="F111" s="51">
        <f>(O110*'AP02'!$P111)*'AP02'!$D111</f>
        <v>1479.645285</v>
      </c>
      <c r="G111" s="51">
        <f>(O110*'AP02'!$P111)/($I$5-A110)</f>
        <v>898.2376781</v>
      </c>
      <c r="H111" s="52">
        <f t="shared" ref="H111:L111" si="160">H110</f>
        <v>0</v>
      </c>
      <c r="I111" s="52">
        <f t="shared" si="160"/>
        <v>0</v>
      </c>
      <c r="J111" s="51">
        <f t="shared" si="160"/>
        <v>25</v>
      </c>
      <c r="K111" s="52">
        <f t="shared" si="160"/>
        <v>0</v>
      </c>
      <c r="L111" s="52">
        <f t="shared" si="160"/>
        <v>0</v>
      </c>
      <c r="M111" s="51">
        <f>SUM('AP02'!$F111:$L111)</f>
        <v>2402.882963</v>
      </c>
      <c r="N111" s="51">
        <f>O110*('AP02'!$P111-1)</f>
        <v>0</v>
      </c>
      <c r="O111" s="51">
        <f>(O110*'AP02'!$P111)-'AP02'!$G111</f>
        <v>236236.5094</v>
      </c>
      <c r="P111" s="53">
        <f t="shared" si="149"/>
        <v>1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56">
        <f t="shared" si="2"/>
        <v>98</v>
      </c>
      <c r="B112" s="50">
        <f t="shared" si="5"/>
        <v>46224</v>
      </c>
      <c r="C112" s="116">
        <f t="shared" si="126"/>
        <v>0.0775</v>
      </c>
      <c r="D112" s="116">
        <f>((1+'AP02'!$C112)^(1/12))-1</f>
        <v>0.006239681461</v>
      </c>
      <c r="E112" s="51">
        <f t="shared" si="127"/>
        <v>2171.261517</v>
      </c>
      <c r="F112" s="51">
        <f>(O111*'AP02'!$P112)*'AP02'!$D112</f>
        <v>1474.040568</v>
      </c>
      <c r="G112" s="51">
        <f>(O111*'AP02'!$P112)/($I$5-A111)</f>
        <v>898.2376781</v>
      </c>
      <c r="H112" s="52">
        <f t="shared" ref="H112:L112" si="161">H111</f>
        <v>0</v>
      </c>
      <c r="I112" s="52">
        <f t="shared" si="161"/>
        <v>0</v>
      </c>
      <c r="J112" s="51">
        <f t="shared" si="161"/>
        <v>25</v>
      </c>
      <c r="K112" s="52">
        <f t="shared" si="161"/>
        <v>0</v>
      </c>
      <c r="L112" s="52">
        <f t="shared" si="161"/>
        <v>0</v>
      </c>
      <c r="M112" s="51">
        <f>SUM('AP02'!$F112:$L112)</f>
        <v>2397.278246</v>
      </c>
      <c r="N112" s="51">
        <f>O111*('AP02'!$P112-1)</f>
        <v>0</v>
      </c>
      <c r="O112" s="51">
        <f>(O111*'AP02'!$P112)-'AP02'!$G112</f>
        <v>235338.2717</v>
      </c>
      <c r="P112" s="53">
        <f t="shared" si="149"/>
        <v>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56">
        <f t="shared" si="2"/>
        <v>99</v>
      </c>
      <c r="B113" s="50">
        <f t="shared" si="5"/>
        <v>46255</v>
      </c>
      <c r="C113" s="116">
        <f t="shared" si="126"/>
        <v>0.0775</v>
      </c>
      <c r="D113" s="116">
        <f>((1+'AP02'!$C113)^(1/12))-1</f>
        <v>0.006239681461</v>
      </c>
      <c r="E113" s="51">
        <f t="shared" si="127"/>
        <v>2171.261517</v>
      </c>
      <c r="F113" s="51">
        <f>(O112*'AP02'!$P113)*'AP02'!$D113</f>
        <v>1468.435851</v>
      </c>
      <c r="G113" s="51">
        <f>(O112*'AP02'!$P113)/($I$5-A112)</f>
        <v>898.2376781</v>
      </c>
      <c r="H113" s="52">
        <f t="shared" ref="H113:L113" si="162">H112</f>
        <v>0</v>
      </c>
      <c r="I113" s="52">
        <f t="shared" si="162"/>
        <v>0</v>
      </c>
      <c r="J113" s="51">
        <f t="shared" si="162"/>
        <v>25</v>
      </c>
      <c r="K113" s="52">
        <f t="shared" si="162"/>
        <v>0</v>
      </c>
      <c r="L113" s="52">
        <f t="shared" si="162"/>
        <v>0</v>
      </c>
      <c r="M113" s="51">
        <f>SUM('AP02'!$F113:$L113)</f>
        <v>2391.673529</v>
      </c>
      <c r="N113" s="51">
        <f>O112*('AP02'!$P113-1)</f>
        <v>0</v>
      </c>
      <c r="O113" s="51">
        <f>(O112*'AP02'!$P113)-'AP02'!$G113</f>
        <v>234440.034</v>
      </c>
      <c r="P113" s="53">
        <f t="shared" si="149"/>
        <v>1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56">
        <f t="shared" si="2"/>
        <v>100</v>
      </c>
      <c r="B114" s="50">
        <f t="shared" si="5"/>
        <v>46286</v>
      </c>
      <c r="C114" s="116">
        <f t="shared" si="126"/>
        <v>0.0775</v>
      </c>
      <c r="D114" s="116">
        <f>((1+'AP02'!$C114)^(1/12))-1</f>
        <v>0.006239681461</v>
      </c>
      <c r="E114" s="51">
        <f t="shared" si="127"/>
        <v>2171.261517</v>
      </c>
      <c r="F114" s="51">
        <f>(O113*'AP02'!$P114)*'AP02'!$D114</f>
        <v>1462.831134</v>
      </c>
      <c r="G114" s="51">
        <f>(O113*'AP02'!$P114)/($I$5-A113)</f>
        <v>898.2376781</v>
      </c>
      <c r="H114" s="52">
        <f t="shared" ref="H114:L114" si="163">H113</f>
        <v>0</v>
      </c>
      <c r="I114" s="52">
        <f t="shared" si="163"/>
        <v>0</v>
      </c>
      <c r="J114" s="51">
        <f t="shared" si="163"/>
        <v>25</v>
      </c>
      <c r="K114" s="52">
        <f t="shared" si="163"/>
        <v>0</v>
      </c>
      <c r="L114" s="52">
        <f t="shared" si="163"/>
        <v>0</v>
      </c>
      <c r="M114" s="51">
        <f>SUM('AP02'!$F114:$L114)</f>
        <v>2386.068812</v>
      </c>
      <c r="N114" s="51">
        <f>O113*('AP02'!$P114-1)</f>
        <v>0</v>
      </c>
      <c r="O114" s="51">
        <f>(O113*'AP02'!$P114)-'AP02'!$G114</f>
        <v>233541.7963</v>
      </c>
      <c r="P114" s="53">
        <f t="shared" si="149"/>
        <v>1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56">
        <f t="shared" si="2"/>
        <v>101</v>
      </c>
      <c r="B115" s="50">
        <f t="shared" si="5"/>
        <v>46316</v>
      </c>
      <c r="C115" s="116">
        <f t="shared" si="126"/>
        <v>0.0775</v>
      </c>
      <c r="D115" s="116">
        <f>((1+'AP02'!$C115)^(1/12))-1</f>
        <v>0.006239681461</v>
      </c>
      <c r="E115" s="51">
        <f t="shared" si="127"/>
        <v>2171.261517</v>
      </c>
      <c r="F115" s="51">
        <f>(O114*'AP02'!$P115)*'AP02'!$D115</f>
        <v>1457.226417</v>
      </c>
      <c r="G115" s="51">
        <f>(O114*'AP02'!$P115)/($I$5-A114)</f>
        <v>898.2376781</v>
      </c>
      <c r="H115" s="52">
        <f t="shared" ref="H115:L115" si="164">H114</f>
        <v>0</v>
      </c>
      <c r="I115" s="52">
        <f t="shared" si="164"/>
        <v>0</v>
      </c>
      <c r="J115" s="51">
        <f t="shared" si="164"/>
        <v>25</v>
      </c>
      <c r="K115" s="52">
        <f t="shared" si="164"/>
        <v>0</v>
      </c>
      <c r="L115" s="52">
        <f t="shared" si="164"/>
        <v>0</v>
      </c>
      <c r="M115" s="51">
        <f>SUM('AP02'!$F115:$L115)</f>
        <v>2380.464095</v>
      </c>
      <c r="N115" s="51">
        <f>O114*('AP02'!$P115-1)</f>
        <v>0</v>
      </c>
      <c r="O115" s="51">
        <f>(O114*'AP02'!$P115)-'AP02'!$G115</f>
        <v>232643.5586</v>
      </c>
      <c r="P115" s="53">
        <f t="shared" si="149"/>
        <v>1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56">
        <f t="shared" si="2"/>
        <v>102</v>
      </c>
      <c r="B116" s="50">
        <f t="shared" si="5"/>
        <v>46347</v>
      </c>
      <c r="C116" s="116">
        <f t="shared" si="126"/>
        <v>0.0775</v>
      </c>
      <c r="D116" s="116">
        <f>((1+'AP02'!$C116)^(1/12))-1</f>
        <v>0.006239681461</v>
      </c>
      <c r="E116" s="51">
        <f t="shared" si="127"/>
        <v>2171.261517</v>
      </c>
      <c r="F116" s="51">
        <f>(O115*'AP02'!$P116)*'AP02'!$D116</f>
        <v>1451.6217</v>
      </c>
      <c r="G116" s="51">
        <f>(O115*'AP02'!$P116)/($I$5-A115)</f>
        <v>898.2376781</v>
      </c>
      <c r="H116" s="52">
        <f t="shared" ref="H116:L116" si="165">H115</f>
        <v>0</v>
      </c>
      <c r="I116" s="52">
        <f t="shared" si="165"/>
        <v>0</v>
      </c>
      <c r="J116" s="51">
        <f t="shared" si="165"/>
        <v>25</v>
      </c>
      <c r="K116" s="52">
        <f t="shared" si="165"/>
        <v>0</v>
      </c>
      <c r="L116" s="52">
        <f t="shared" si="165"/>
        <v>0</v>
      </c>
      <c r="M116" s="51">
        <f>SUM('AP02'!$F116:$L116)</f>
        <v>2374.859378</v>
      </c>
      <c r="N116" s="51">
        <f>O115*('AP02'!$P116-1)</f>
        <v>0</v>
      </c>
      <c r="O116" s="51">
        <f>(O115*'AP02'!$P116)-'AP02'!$G116</f>
        <v>231745.321</v>
      </c>
      <c r="P116" s="53">
        <f t="shared" si="149"/>
        <v>1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56">
        <f t="shared" si="2"/>
        <v>103</v>
      </c>
      <c r="B117" s="50">
        <f t="shared" si="5"/>
        <v>46377</v>
      </c>
      <c r="C117" s="116">
        <f t="shared" si="126"/>
        <v>0.0775</v>
      </c>
      <c r="D117" s="116">
        <f>((1+'AP02'!$C117)^(1/12))-1</f>
        <v>0.006239681461</v>
      </c>
      <c r="E117" s="51">
        <f t="shared" si="127"/>
        <v>2171.261517</v>
      </c>
      <c r="F117" s="51">
        <f>(O116*'AP02'!$P117)*'AP02'!$D117</f>
        <v>1446.016983</v>
      </c>
      <c r="G117" s="51">
        <f>(O116*'AP02'!$P117)/($I$5-A116)</f>
        <v>898.2376781</v>
      </c>
      <c r="H117" s="52">
        <f t="shared" ref="H117:L117" si="166">H116</f>
        <v>0</v>
      </c>
      <c r="I117" s="52">
        <f t="shared" si="166"/>
        <v>0</v>
      </c>
      <c r="J117" s="51">
        <f t="shared" si="166"/>
        <v>25</v>
      </c>
      <c r="K117" s="52">
        <f t="shared" si="166"/>
        <v>0</v>
      </c>
      <c r="L117" s="52">
        <f t="shared" si="166"/>
        <v>0</v>
      </c>
      <c r="M117" s="51">
        <f>SUM('AP02'!$F117:$L117)</f>
        <v>2369.254661</v>
      </c>
      <c r="N117" s="51">
        <f>O116*('AP02'!$P117-1)</f>
        <v>0</v>
      </c>
      <c r="O117" s="51">
        <f>(O116*'AP02'!$P117)-'AP02'!$G117</f>
        <v>230847.0833</v>
      </c>
      <c r="P117" s="53">
        <f t="shared" si="149"/>
        <v>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56">
        <f t="shared" si="2"/>
        <v>104</v>
      </c>
      <c r="B118" s="50">
        <f t="shared" si="5"/>
        <v>46408</v>
      </c>
      <c r="C118" s="116">
        <f t="shared" si="126"/>
        <v>0.0775</v>
      </c>
      <c r="D118" s="116">
        <f>((1+'AP02'!$C118)^(1/12))-1</f>
        <v>0.006239681461</v>
      </c>
      <c r="E118" s="51">
        <f t="shared" si="127"/>
        <v>2171.261517</v>
      </c>
      <c r="F118" s="51">
        <f>(O117*'AP02'!$P118)*'AP02'!$D118</f>
        <v>1440.412266</v>
      </c>
      <c r="G118" s="51">
        <f>(O117*'AP02'!$P118)/($I$5-A117)</f>
        <v>898.2376781</v>
      </c>
      <c r="H118" s="52">
        <f t="shared" ref="H118:L118" si="167">H117</f>
        <v>0</v>
      </c>
      <c r="I118" s="52">
        <f t="shared" si="167"/>
        <v>0</v>
      </c>
      <c r="J118" s="51">
        <f t="shared" si="167"/>
        <v>25</v>
      </c>
      <c r="K118" s="52">
        <f t="shared" si="167"/>
        <v>0</v>
      </c>
      <c r="L118" s="52">
        <f t="shared" si="167"/>
        <v>0</v>
      </c>
      <c r="M118" s="51">
        <f>SUM('AP02'!$F118:$L118)</f>
        <v>2363.649944</v>
      </c>
      <c r="N118" s="51">
        <f>O117*('AP02'!$P118-1)</f>
        <v>0</v>
      </c>
      <c r="O118" s="51">
        <f>(O117*'AP02'!$P118)-'AP02'!$G118</f>
        <v>229948.8456</v>
      </c>
      <c r="P118" s="53">
        <f t="shared" si="149"/>
        <v>1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56">
        <f t="shared" si="2"/>
        <v>105</v>
      </c>
      <c r="B119" s="50">
        <f t="shared" si="5"/>
        <v>46439</v>
      </c>
      <c r="C119" s="116">
        <f t="shared" si="126"/>
        <v>0.0775</v>
      </c>
      <c r="D119" s="116">
        <f>((1+'AP02'!$C119)^(1/12))-1</f>
        <v>0.006239681461</v>
      </c>
      <c r="E119" s="51">
        <f t="shared" si="127"/>
        <v>2171.261517</v>
      </c>
      <c r="F119" s="51">
        <f>(O118*'AP02'!$P119)*'AP02'!$D119</f>
        <v>1434.807549</v>
      </c>
      <c r="G119" s="51">
        <f>(O118*'AP02'!$P119)/($I$5-A118)</f>
        <v>898.2376781</v>
      </c>
      <c r="H119" s="52">
        <f t="shared" ref="H119:L119" si="168">H118</f>
        <v>0</v>
      </c>
      <c r="I119" s="52">
        <f t="shared" si="168"/>
        <v>0</v>
      </c>
      <c r="J119" s="51">
        <f t="shared" si="168"/>
        <v>25</v>
      </c>
      <c r="K119" s="52">
        <f t="shared" si="168"/>
        <v>0</v>
      </c>
      <c r="L119" s="52">
        <f t="shared" si="168"/>
        <v>0</v>
      </c>
      <c r="M119" s="51">
        <f>SUM('AP02'!$F119:$L119)</f>
        <v>2358.045227</v>
      </c>
      <c r="N119" s="51">
        <f>O118*('AP02'!$P119-1)</f>
        <v>0</v>
      </c>
      <c r="O119" s="51">
        <f>(O118*'AP02'!$P119)-'AP02'!$G119</f>
        <v>229050.6079</v>
      </c>
      <c r="P119" s="53">
        <f t="shared" si="149"/>
        <v>1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6">
        <f t="shared" si="2"/>
        <v>106</v>
      </c>
      <c r="B120" s="50">
        <f t="shared" si="5"/>
        <v>46467</v>
      </c>
      <c r="C120" s="116">
        <f t="shared" si="126"/>
        <v>0.0775</v>
      </c>
      <c r="D120" s="116">
        <f>((1+'AP02'!$C120)^(1/12))-1</f>
        <v>0.006239681461</v>
      </c>
      <c r="E120" s="51">
        <f t="shared" si="127"/>
        <v>2171.261517</v>
      </c>
      <c r="F120" s="51">
        <f>(O119*'AP02'!$P120)*'AP02'!$D120</f>
        <v>1429.202832</v>
      </c>
      <c r="G120" s="51">
        <f>(O119*'AP02'!$P120)/($I$5-A119)</f>
        <v>898.2376781</v>
      </c>
      <c r="H120" s="52">
        <f t="shared" ref="H120:L120" si="169">H119</f>
        <v>0</v>
      </c>
      <c r="I120" s="52">
        <f t="shared" si="169"/>
        <v>0</v>
      </c>
      <c r="J120" s="51">
        <f t="shared" si="169"/>
        <v>25</v>
      </c>
      <c r="K120" s="52">
        <f t="shared" si="169"/>
        <v>0</v>
      </c>
      <c r="L120" s="52">
        <f t="shared" si="169"/>
        <v>0</v>
      </c>
      <c r="M120" s="51">
        <f>SUM('AP02'!$F120:$L120)</f>
        <v>2352.44051</v>
      </c>
      <c r="N120" s="51">
        <f>O119*('AP02'!$P120-1)</f>
        <v>0</v>
      </c>
      <c r="O120" s="51">
        <f>(O119*'AP02'!$P120)-'AP02'!$G120</f>
        <v>228152.3702</v>
      </c>
      <c r="P120" s="53">
        <f t="shared" si="149"/>
        <v>1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56">
        <f t="shared" si="2"/>
        <v>107</v>
      </c>
      <c r="B121" s="50">
        <f t="shared" si="5"/>
        <v>46498</v>
      </c>
      <c r="C121" s="116">
        <f t="shared" si="126"/>
        <v>0.0775</v>
      </c>
      <c r="D121" s="116">
        <f>((1+'AP02'!$C121)^(1/12))-1</f>
        <v>0.006239681461</v>
      </c>
      <c r="E121" s="51">
        <f t="shared" si="127"/>
        <v>2171.261517</v>
      </c>
      <c r="F121" s="51">
        <f>(O120*'AP02'!$P121)*'AP02'!$D121</f>
        <v>1423.598115</v>
      </c>
      <c r="G121" s="51">
        <f>(O120*'AP02'!$P121)/($I$5-A120)</f>
        <v>898.2376781</v>
      </c>
      <c r="H121" s="52">
        <f t="shared" ref="H121:L121" si="170">H120</f>
        <v>0</v>
      </c>
      <c r="I121" s="52">
        <f t="shared" si="170"/>
        <v>0</v>
      </c>
      <c r="J121" s="51">
        <f t="shared" si="170"/>
        <v>25</v>
      </c>
      <c r="K121" s="52">
        <f t="shared" si="170"/>
        <v>0</v>
      </c>
      <c r="L121" s="52">
        <f t="shared" si="170"/>
        <v>0</v>
      </c>
      <c r="M121" s="51">
        <f>SUM('AP02'!$F121:$L121)</f>
        <v>2346.835793</v>
      </c>
      <c r="N121" s="51">
        <f>O120*('AP02'!$P121-1)</f>
        <v>0</v>
      </c>
      <c r="O121" s="51">
        <f>(O120*'AP02'!$P121)-'AP02'!$G121</f>
        <v>227254.1326</v>
      </c>
      <c r="P121" s="53">
        <f t="shared" si="149"/>
        <v>1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56">
        <f t="shared" si="2"/>
        <v>108</v>
      </c>
      <c r="B122" s="50">
        <f t="shared" si="5"/>
        <v>46528</v>
      </c>
      <c r="C122" s="116">
        <f t="shared" si="126"/>
        <v>0.0775</v>
      </c>
      <c r="D122" s="116">
        <f>((1+'AP02'!$C122)^(1/12))-1</f>
        <v>0.006239681461</v>
      </c>
      <c r="E122" s="51">
        <f t="shared" si="127"/>
        <v>2171.261517</v>
      </c>
      <c r="F122" s="51">
        <f>(O121*'AP02'!$P122)*'AP02'!$D122</f>
        <v>1417.993398</v>
      </c>
      <c r="G122" s="51">
        <f>(O121*'AP02'!$P122)/($I$5-A121)</f>
        <v>898.2376781</v>
      </c>
      <c r="H122" s="52">
        <f t="shared" ref="H122:L122" si="171">H121</f>
        <v>0</v>
      </c>
      <c r="I122" s="52">
        <f t="shared" si="171"/>
        <v>0</v>
      </c>
      <c r="J122" s="51">
        <f t="shared" si="171"/>
        <v>25</v>
      </c>
      <c r="K122" s="52">
        <f t="shared" si="171"/>
        <v>0</v>
      </c>
      <c r="L122" s="52">
        <f t="shared" si="171"/>
        <v>0</v>
      </c>
      <c r="M122" s="51">
        <f>SUM('AP02'!$F122:$L122)</f>
        <v>2341.231076</v>
      </c>
      <c r="N122" s="51">
        <f>O121*('AP02'!$P122-1)</f>
        <v>0</v>
      </c>
      <c r="O122" s="51">
        <f>(O121*'AP02'!$P122)-'AP02'!$G122</f>
        <v>226355.8949</v>
      </c>
      <c r="P122" s="53">
        <f t="shared" si="149"/>
        <v>1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56">
        <f t="shared" si="2"/>
        <v>109</v>
      </c>
      <c r="B123" s="50">
        <f t="shared" si="5"/>
        <v>46559</v>
      </c>
      <c r="C123" s="116">
        <f t="shared" si="126"/>
        <v>0.0775</v>
      </c>
      <c r="D123" s="116">
        <f>((1+'AP02'!$C123)^(1/12))-1</f>
        <v>0.006239681461</v>
      </c>
      <c r="E123" s="51">
        <f t="shared" si="127"/>
        <v>2171.261517</v>
      </c>
      <c r="F123" s="51">
        <f>(O122*'AP02'!$P123)*'AP02'!$D123</f>
        <v>1412.388681</v>
      </c>
      <c r="G123" s="51">
        <f>(O122*'AP02'!$P123)/($I$5-A122)</f>
        <v>898.2376781</v>
      </c>
      <c r="H123" s="52">
        <f t="shared" ref="H123:L123" si="172">H122</f>
        <v>0</v>
      </c>
      <c r="I123" s="52">
        <f t="shared" si="172"/>
        <v>0</v>
      </c>
      <c r="J123" s="51">
        <f t="shared" si="172"/>
        <v>25</v>
      </c>
      <c r="K123" s="52">
        <f t="shared" si="172"/>
        <v>0</v>
      </c>
      <c r="L123" s="52">
        <f t="shared" si="172"/>
        <v>0</v>
      </c>
      <c r="M123" s="51">
        <f>SUM('AP02'!$F123:$L123)</f>
        <v>2335.626359</v>
      </c>
      <c r="N123" s="51">
        <f>O122*('AP02'!$P123-1)</f>
        <v>0</v>
      </c>
      <c r="O123" s="51">
        <f>(O122*'AP02'!$P123)-'AP02'!$G123</f>
        <v>225457.6572</v>
      </c>
      <c r="P123" s="53">
        <f t="shared" si="149"/>
        <v>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56">
        <f t="shared" si="2"/>
        <v>110</v>
      </c>
      <c r="B124" s="50">
        <f t="shared" si="5"/>
        <v>46589</v>
      </c>
      <c r="C124" s="116">
        <f t="shared" si="126"/>
        <v>0.0775</v>
      </c>
      <c r="D124" s="116">
        <f>((1+'AP02'!$C124)^(1/12))-1</f>
        <v>0.006239681461</v>
      </c>
      <c r="E124" s="51">
        <f t="shared" si="127"/>
        <v>2171.261517</v>
      </c>
      <c r="F124" s="51">
        <f>(O123*'AP02'!$P124)*'AP02'!$D124</f>
        <v>1406.783964</v>
      </c>
      <c r="G124" s="51">
        <f>(O123*'AP02'!$P124)/($I$5-A123)</f>
        <v>898.2376781</v>
      </c>
      <c r="H124" s="52">
        <f t="shared" ref="H124:L124" si="173">H123</f>
        <v>0</v>
      </c>
      <c r="I124" s="52">
        <f t="shared" si="173"/>
        <v>0</v>
      </c>
      <c r="J124" s="51">
        <f t="shared" si="173"/>
        <v>25</v>
      </c>
      <c r="K124" s="52">
        <f t="shared" si="173"/>
        <v>0</v>
      </c>
      <c r="L124" s="52">
        <f t="shared" si="173"/>
        <v>0</v>
      </c>
      <c r="M124" s="51">
        <f>SUM('AP02'!$F124:$L124)</f>
        <v>2330.021642</v>
      </c>
      <c r="N124" s="51">
        <f>O123*('AP02'!$P124-1)</f>
        <v>0</v>
      </c>
      <c r="O124" s="51">
        <f>(O123*'AP02'!$P124)-'AP02'!$G124</f>
        <v>224559.4195</v>
      </c>
      <c r="P124" s="53">
        <f t="shared" si="149"/>
        <v>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56">
        <f t="shared" si="2"/>
        <v>111</v>
      </c>
      <c r="B125" s="50">
        <f t="shared" si="5"/>
        <v>46620</v>
      </c>
      <c r="C125" s="116">
        <f t="shared" si="126"/>
        <v>0.0775</v>
      </c>
      <c r="D125" s="116">
        <f>((1+'AP02'!$C125)^(1/12))-1</f>
        <v>0.006239681461</v>
      </c>
      <c r="E125" s="51">
        <f t="shared" si="127"/>
        <v>2171.261517</v>
      </c>
      <c r="F125" s="51">
        <f>(O124*'AP02'!$P125)*'AP02'!$D125</f>
        <v>1401.179247</v>
      </c>
      <c r="G125" s="51">
        <f>(O124*'AP02'!$P125)/($I$5-A124)</f>
        <v>898.2376781</v>
      </c>
      <c r="H125" s="52">
        <f t="shared" ref="H125:L125" si="174">H124</f>
        <v>0</v>
      </c>
      <c r="I125" s="52">
        <f t="shared" si="174"/>
        <v>0</v>
      </c>
      <c r="J125" s="51">
        <f t="shared" si="174"/>
        <v>25</v>
      </c>
      <c r="K125" s="52">
        <f t="shared" si="174"/>
        <v>0</v>
      </c>
      <c r="L125" s="52">
        <f t="shared" si="174"/>
        <v>0</v>
      </c>
      <c r="M125" s="51">
        <f>SUM('AP02'!$F125:$L125)</f>
        <v>2324.416925</v>
      </c>
      <c r="N125" s="51">
        <f>O124*('AP02'!$P125-1)</f>
        <v>0</v>
      </c>
      <c r="O125" s="51">
        <f>(O124*'AP02'!$P125)-'AP02'!$G125</f>
        <v>223661.1819</v>
      </c>
      <c r="P125" s="53">
        <f t="shared" si="149"/>
        <v>1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56">
        <f t="shared" si="2"/>
        <v>112</v>
      </c>
      <c r="B126" s="50">
        <f t="shared" si="5"/>
        <v>46651</v>
      </c>
      <c r="C126" s="116">
        <f t="shared" si="126"/>
        <v>0.0775</v>
      </c>
      <c r="D126" s="116">
        <f>((1+'AP02'!$C126)^(1/12))-1</f>
        <v>0.006239681461</v>
      </c>
      <c r="E126" s="51">
        <f t="shared" si="127"/>
        <v>2171.261517</v>
      </c>
      <c r="F126" s="51">
        <f>(O125*'AP02'!$P126)*'AP02'!$D126</f>
        <v>1395.57453</v>
      </c>
      <c r="G126" s="51">
        <f>(O125*'AP02'!$P126)/($I$5-A125)</f>
        <v>898.2376781</v>
      </c>
      <c r="H126" s="52">
        <f t="shared" ref="H126:L126" si="175">H125</f>
        <v>0</v>
      </c>
      <c r="I126" s="52">
        <f t="shared" si="175"/>
        <v>0</v>
      </c>
      <c r="J126" s="51">
        <f t="shared" si="175"/>
        <v>25</v>
      </c>
      <c r="K126" s="52">
        <f t="shared" si="175"/>
        <v>0</v>
      </c>
      <c r="L126" s="52">
        <f t="shared" si="175"/>
        <v>0</v>
      </c>
      <c r="M126" s="51">
        <f>SUM('AP02'!$F126:$L126)</f>
        <v>2318.812208</v>
      </c>
      <c r="N126" s="51">
        <f>O125*('AP02'!$P126-1)</f>
        <v>0</v>
      </c>
      <c r="O126" s="51">
        <f>(O125*'AP02'!$P126)-'AP02'!$G126</f>
        <v>222762.9442</v>
      </c>
      <c r="P126" s="53">
        <f t="shared" si="149"/>
        <v>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56">
        <f t="shared" si="2"/>
        <v>113</v>
      </c>
      <c r="B127" s="50">
        <f t="shared" si="5"/>
        <v>46681</v>
      </c>
      <c r="C127" s="116">
        <f t="shared" si="126"/>
        <v>0.0775</v>
      </c>
      <c r="D127" s="116">
        <f>((1+'AP02'!$C127)^(1/12))-1</f>
        <v>0.006239681461</v>
      </c>
      <c r="E127" s="51">
        <f t="shared" si="127"/>
        <v>2171.261517</v>
      </c>
      <c r="F127" s="51">
        <f>(O126*'AP02'!$P127)*'AP02'!$D127</f>
        <v>1389.969813</v>
      </c>
      <c r="G127" s="51">
        <f>(O126*'AP02'!$P127)/($I$5-A126)</f>
        <v>898.2376781</v>
      </c>
      <c r="H127" s="52">
        <f t="shared" ref="H127:L127" si="176">H126</f>
        <v>0</v>
      </c>
      <c r="I127" s="52">
        <f t="shared" si="176"/>
        <v>0</v>
      </c>
      <c r="J127" s="51">
        <f t="shared" si="176"/>
        <v>25</v>
      </c>
      <c r="K127" s="52">
        <f t="shared" si="176"/>
        <v>0</v>
      </c>
      <c r="L127" s="52">
        <f t="shared" si="176"/>
        <v>0</v>
      </c>
      <c r="M127" s="51">
        <f>SUM('AP02'!$F127:$L127)</f>
        <v>2313.207491</v>
      </c>
      <c r="N127" s="51">
        <f>O126*('AP02'!$P127-1)</f>
        <v>0</v>
      </c>
      <c r="O127" s="51">
        <f>(O126*'AP02'!$P127)-'AP02'!$G127</f>
        <v>221864.7065</v>
      </c>
      <c r="P127" s="53">
        <f t="shared" si="149"/>
        <v>1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56">
        <f t="shared" si="2"/>
        <v>114</v>
      </c>
      <c r="B128" s="50">
        <f t="shared" si="5"/>
        <v>46712</v>
      </c>
      <c r="C128" s="116">
        <f t="shared" si="126"/>
        <v>0.0775</v>
      </c>
      <c r="D128" s="116">
        <f>((1+'AP02'!$C128)^(1/12))-1</f>
        <v>0.006239681461</v>
      </c>
      <c r="E128" s="51">
        <f t="shared" si="127"/>
        <v>2171.261517</v>
      </c>
      <c r="F128" s="51">
        <f>(O127*'AP02'!$P128)*'AP02'!$D128</f>
        <v>1384.365096</v>
      </c>
      <c r="G128" s="51">
        <f>(O127*'AP02'!$P128)/($I$5-A127)</f>
        <v>898.2376781</v>
      </c>
      <c r="H128" s="52">
        <f t="shared" ref="H128:L128" si="177">H127</f>
        <v>0</v>
      </c>
      <c r="I128" s="52">
        <f t="shared" si="177"/>
        <v>0</v>
      </c>
      <c r="J128" s="51">
        <f t="shared" si="177"/>
        <v>25</v>
      </c>
      <c r="K128" s="52">
        <f t="shared" si="177"/>
        <v>0</v>
      </c>
      <c r="L128" s="52">
        <f t="shared" si="177"/>
        <v>0</v>
      </c>
      <c r="M128" s="51">
        <f>SUM('AP02'!$F128:$L128)</f>
        <v>2307.602774</v>
      </c>
      <c r="N128" s="51">
        <f>O127*('AP02'!$P128-1)</f>
        <v>0</v>
      </c>
      <c r="O128" s="51">
        <f>(O127*'AP02'!$P128)-'AP02'!$G128</f>
        <v>220966.4688</v>
      </c>
      <c r="P128" s="53">
        <f t="shared" si="149"/>
        <v>1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56">
        <f t="shared" si="2"/>
        <v>115</v>
      </c>
      <c r="B129" s="50">
        <f t="shared" si="5"/>
        <v>46742</v>
      </c>
      <c r="C129" s="116">
        <f t="shared" si="126"/>
        <v>0.0775</v>
      </c>
      <c r="D129" s="116">
        <f>((1+'AP02'!$C129)^(1/12))-1</f>
        <v>0.006239681461</v>
      </c>
      <c r="E129" s="51">
        <f t="shared" si="127"/>
        <v>2171.261517</v>
      </c>
      <c r="F129" s="51">
        <f>(O128*'AP02'!$P129)*'AP02'!$D129</f>
        <v>1378.760379</v>
      </c>
      <c r="G129" s="51">
        <f>(O128*'AP02'!$P129)/($I$5-A128)</f>
        <v>898.2376781</v>
      </c>
      <c r="H129" s="52">
        <f t="shared" ref="H129:L129" si="178">H128</f>
        <v>0</v>
      </c>
      <c r="I129" s="52">
        <f t="shared" si="178"/>
        <v>0</v>
      </c>
      <c r="J129" s="51">
        <f t="shared" si="178"/>
        <v>25</v>
      </c>
      <c r="K129" s="52">
        <f t="shared" si="178"/>
        <v>0</v>
      </c>
      <c r="L129" s="52">
        <f t="shared" si="178"/>
        <v>0</v>
      </c>
      <c r="M129" s="51">
        <f>SUM('AP02'!$F129:$L129)</f>
        <v>2301.998057</v>
      </c>
      <c r="N129" s="51">
        <f>O128*('AP02'!$P129-1)</f>
        <v>0</v>
      </c>
      <c r="O129" s="51">
        <f>(O128*'AP02'!$P129)-'AP02'!$G129</f>
        <v>220068.2311</v>
      </c>
      <c r="P129" s="53">
        <f t="shared" si="149"/>
        <v>1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56">
        <f t="shared" si="2"/>
        <v>116</v>
      </c>
      <c r="B130" s="50">
        <f t="shared" si="5"/>
        <v>46773</v>
      </c>
      <c r="C130" s="116">
        <f t="shared" si="126"/>
        <v>0.0775</v>
      </c>
      <c r="D130" s="116">
        <f>((1+'AP02'!$C130)^(1/12))-1</f>
        <v>0.006239681461</v>
      </c>
      <c r="E130" s="51">
        <f t="shared" si="127"/>
        <v>2171.261517</v>
      </c>
      <c r="F130" s="51">
        <f>(O129*'AP02'!$P130)*'AP02'!$D130</f>
        <v>1373.155662</v>
      </c>
      <c r="G130" s="51">
        <f>(O129*'AP02'!$P130)/($I$5-A129)</f>
        <v>898.2376781</v>
      </c>
      <c r="H130" s="52">
        <f t="shared" ref="H130:L130" si="179">H129</f>
        <v>0</v>
      </c>
      <c r="I130" s="52">
        <f t="shared" si="179"/>
        <v>0</v>
      </c>
      <c r="J130" s="51">
        <f t="shared" si="179"/>
        <v>25</v>
      </c>
      <c r="K130" s="52">
        <f t="shared" si="179"/>
        <v>0</v>
      </c>
      <c r="L130" s="52">
        <f t="shared" si="179"/>
        <v>0</v>
      </c>
      <c r="M130" s="51">
        <f>SUM('AP02'!$F130:$L130)</f>
        <v>2296.39334</v>
      </c>
      <c r="N130" s="51">
        <f>O129*('AP02'!$P130-1)</f>
        <v>0</v>
      </c>
      <c r="O130" s="51">
        <f>(O129*'AP02'!$P130)-'AP02'!$G130</f>
        <v>219169.9935</v>
      </c>
      <c r="P130" s="53">
        <f t="shared" si="149"/>
        <v>1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56">
        <f t="shared" si="2"/>
        <v>117</v>
      </c>
      <c r="B131" s="50">
        <f t="shared" si="5"/>
        <v>46804</v>
      </c>
      <c r="C131" s="116">
        <f t="shared" si="126"/>
        <v>0.0775</v>
      </c>
      <c r="D131" s="116">
        <f>((1+'AP02'!$C131)^(1/12))-1</f>
        <v>0.006239681461</v>
      </c>
      <c r="E131" s="51">
        <f t="shared" si="127"/>
        <v>2171.261517</v>
      </c>
      <c r="F131" s="51">
        <f>(O130*'AP02'!$P131)*'AP02'!$D131</f>
        <v>1367.550945</v>
      </c>
      <c r="G131" s="51">
        <f>(O130*'AP02'!$P131)/($I$5-A130)</f>
        <v>898.2376781</v>
      </c>
      <c r="H131" s="52">
        <f t="shared" ref="H131:L131" si="180">H130</f>
        <v>0</v>
      </c>
      <c r="I131" s="52">
        <f t="shared" si="180"/>
        <v>0</v>
      </c>
      <c r="J131" s="51">
        <f t="shared" si="180"/>
        <v>25</v>
      </c>
      <c r="K131" s="52">
        <f t="shared" si="180"/>
        <v>0</v>
      </c>
      <c r="L131" s="52">
        <f t="shared" si="180"/>
        <v>0</v>
      </c>
      <c r="M131" s="51">
        <f>SUM('AP02'!$F131:$L131)</f>
        <v>2290.788623</v>
      </c>
      <c r="N131" s="51">
        <f>O130*('AP02'!$P131-1)</f>
        <v>0</v>
      </c>
      <c r="O131" s="51">
        <f>(O130*'AP02'!$P131)-'AP02'!$G131</f>
        <v>218271.7558</v>
      </c>
      <c r="P131" s="53">
        <f t="shared" si="149"/>
        <v>1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56">
        <f t="shared" si="2"/>
        <v>118</v>
      </c>
      <c r="B132" s="50">
        <f t="shared" si="5"/>
        <v>46833</v>
      </c>
      <c r="C132" s="116">
        <f t="shared" si="126"/>
        <v>0.0775</v>
      </c>
      <c r="D132" s="116">
        <f>((1+'AP02'!$C132)^(1/12))-1</f>
        <v>0.006239681461</v>
      </c>
      <c r="E132" s="51">
        <f t="shared" si="127"/>
        <v>2171.261517</v>
      </c>
      <c r="F132" s="51">
        <f>(O131*'AP02'!$P132)*'AP02'!$D132</f>
        <v>1361.946228</v>
      </c>
      <c r="G132" s="51">
        <f>(O131*'AP02'!$P132)/($I$5-A131)</f>
        <v>898.2376781</v>
      </c>
      <c r="H132" s="52">
        <f t="shared" ref="H132:L132" si="181">H131</f>
        <v>0</v>
      </c>
      <c r="I132" s="52">
        <f t="shared" si="181"/>
        <v>0</v>
      </c>
      <c r="J132" s="51">
        <f t="shared" si="181"/>
        <v>25</v>
      </c>
      <c r="K132" s="52">
        <f t="shared" si="181"/>
        <v>0</v>
      </c>
      <c r="L132" s="52">
        <f t="shared" si="181"/>
        <v>0</v>
      </c>
      <c r="M132" s="51">
        <f>SUM('AP02'!$F132:$L132)</f>
        <v>2285.183906</v>
      </c>
      <c r="N132" s="51">
        <f>O131*('AP02'!$P132-1)</f>
        <v>0</v>
      </c>
      <c r="O132" s="51">
        <f>(O131*'AP02'!$P132)-'AP02'!$G132</f>
        <v>217373.5181</v>
      </c>
      <c r="P132" s="53">
        <f t="shared" si="149"/>
        <v>1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56">
        <f t="shared" si="2"/>
        <v>119</v>
      </c>
      <c r="B133" s="50">
        <f t="shared" si="5"/>
        <v>46864</v>
      </c>
      <c r="C133" s="116">
        <f t="shared" si="126"/>
        <v>0.0775</v>
      </c>
      <c r="D133" s="116">
        <f>((1+'AP02'!$C133)^(1/12))-1</f>
        <v>0.006239681461</v>
      </c>
      <c r="E133" s="51">
        <f t="shared" si="127"/>
        <v>2171.261517</v>
      </c>
      <c r="F133" s="51">
        <f>(O132*'AP02'!$P133)*'AP02'!$D133</f>
        <v>1356.341511</v>
      </c>
      <c r="G133" s="51">
        <f>(O132*'AP02'!$P133)/($I$5-A132)</f>
        <v>898.2376781</v>
      </c>
      <c r="H133" s="52">
        <f t="shared" ref="H133:L133" si="182">H132</f>
        <v>0</v>
      </c>
      <c r="I133" s="52">
        <f t="shared" si="182"/>
        <v>0</v>
      </c>
      <c r="J133" s="51">
        <f t="shared" si="182"/>
        <v>25</v>
      </c>
      <c r="K133" s="52">
        <f t="shared" si="182"/>
        <v>0</v>
      </c>
      <c r="L133" s="52">
        <f t="shared" si="182"/>
        <v>0</v>
      </c>
      <c r="M133" s="51">
        <f>SUM('AP02'!$F133:$L133)</f>
        <v>2279.579189</v>
      </c>
      <c r="N133" s="51">
        <f>O132*('AP02'!$P133-1)</f>
        <v>0</v>
      </c>
      <c r="O133" s="51">
        <f>(O132*'AP02'!$P133)-'AP02'!$G133</f>
        <v>216475.2804</v>
      </c>
      <c r="P133" s="53">
        <f t="shared" si="149"/>
        <v>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56">
        <f t="shared" si="2"/>
        <v>120</v>
      </c>
      <c r="B134" s="50">
        <f t="shared" si="5"/>
        <v>46894</v>
      </c>
      <c r="C134" s="116">
        <f t="shared" si="126"/>
        <v>0.0775</v>
      </c>
      <c r="D134" s="116">
        <f>((1+'AP02'!$C134)^(1/12))-1</f>
        <v>0.006239681461</v>
      </c>
      <c r="E134" s="51">
        <f t="shared" si="127"/>
        <v>2171.261517</v>
      </c>
      <c r="F134" s="51">
        <f>(O133*'AP02'!$P134)*'AP02'!$D134</f>
        <v>1350.736794</v>
      </c>
      <c r="G134" s="51">
        <f>(O133*'AP02'!$P134)/($I$5-A133)</f>
        <v>898.2376781</v>
      </c>
      <c r="H134" s="52">
        <f t="shared" ref="H134:L134" si="183">H133</f>
        <v>0</v>
      </c>
      <c r="I134" s="52">
        <f t="shared" si="183"/>
        <v>0</v>
      </c>
      <c r="J134" s="51">
        <f t="shared" si="183"/>
        <v>25</v>
      </c>
      <c r="K134" s="52">
        <f t="shared" si="183"/>
        <v>0</v>
      </c>
      <c r="L134" s="52">
        <f t="shared" si="183"/>
        <v>0</v>
      </c>
      <c r="M134" s="51">
        <f>SUM('AP02'!$F134:$L134)</f>
        <v>2273.974472</v>
      </c>
      <c r="N134" s="51">
        <f>O133*('AP02'!$P134-1)</f>
        <v>0</v>
      </c>
      <c r="O134" s="51">
        <f>(O133*'AP02'!$P134)-'AP02'!$G134</f>
        <v>215577.0428</v>
      </c>
      <c r="P134" s="53">
        <f t="shared" si="149"/>
        <v>1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56">
        <f t="shared" si="2"/>
        <v>121</v>
      </c>
      <c r="B135" s="50">
        <f t="shared" si="5"/>
        <v>46925</v>
      </c>
      <c r="C135" s="116">
        <f t="shared" si="126"/>
        <v>0.0775</v>
      </c>
      <c r="D135" s="116">
        <f>((1+'AP02'!$C135)^(1/12))-1</f>
        <v>0.006239681461</v>
      </c>
      <c r="E135" s="51">
        <f t="shared" si="127"/>
        <v>2171.261517</v>
      </c>
      <c r="F135" s="51">
        <f>(O134*'AP02'!$P135)*'AP02'!$D135</f>
        <v>1345.132077</v>
      </c>
      <c r="G135" s="51">
        <f>(O134*'AP02'!$P135)/($I$5-A134)</f>
        <v>898.2376781</v>
      </c>
      <c r="H135" s="52">
        <f t="shared" ref="H135:L135" si="184">H134</f>
        <v>0</v>
      </c>
      <c r="I135" s="52">
        <f t="shared" si="184"/>
        <v>0</v>
      </c>
      <c r="J135" s="51">
        <f t="shared" si="184"/>
        <v>25</v>
      </c>
      <c r="K135" s="52">
        <f t="shared" si="184"/>
        <v>0</v>
      </c>
      <c r="L135" s="52">
        <f t="shared" si="184"/>
        <v>0</v>
      </c>
      <c r="M135" s="51">
        <f>SUM('AP02'!$F135:$L135)</f>
        <v>2268.369755</v>
      </c>
      <c r="N135" s="51">
        <f>O134*('AP02'!$P135-1)</f>
        <v>0</v>
      </c>
      <c r="O135" s="51">
        <f>(O134*'AP02'!$P135)-'AP02'!$G135</f>
        <v>214678.8051</v>
      </c>
      <c r="P135" s="53">
        <f t="shared" si="149"/>
        <v>1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56">
        <f t="shared" si="2"/>
        <v>122</v>
      </c>
      <c r="B136" s="50">
        <f t="shared" si="5"/>
        <v>46955</v>
      </c>
      <c r="C136" s="116">
        <f t="shared" si="126"/>
        <v>0.0775</v>
      </c>
      <c r="D136" s="116">
        <f>((1+'AP02'!$C136)^(1/12))-1</f>
        <v>0.006239681461</v>
      </c>
      <c r="E136" s="51">
        <f t="shared" si="127"/>
        <v>2171.261517</v>
      </c>
      <c r="F136" s="51">
        <f>(O135*'AP02'!$P136)*'AP02'!$D136</f>
        <v>1339.52736</v>
      </c>
      <c r="G136" s="51">
        <f>(O135*'AP02'!$P136)/($I$5-A135)</f>
        <v>898.2376781</v>
      </c>
      <c r="H136" s="52">
        <f t="shared" ref="H136:L136" si="185">H135</f>
        <v>0</v>
      </c>
      <c r="I136" s="52">
        <f t="shared" si="185"/>
        <v>0</v>
      </c>
      <c r="J136" s="51">
        <f t="shared" si="185"/>
        <v>25</v>
      </c>
      <c r="K136" s="52">
        <f t="shared" si="185"/>
        <v>0</v>
      </c>
      <c r="L136" s="52">
        <f t="shared" si="185"/>
        <v>0</v>
      </c>
      <c r="M136" s="51">
        <f>SUM('AP02'!$F136:$L136)</f>
        <v>2262.765038</v>
      </c>
      <c r="N136" s="51">
        <f>O135*('AP02'!$P136-1)</f>
        <v>0</v>
      </c>
      <c r="O136" s="51">
        <f>(O135*'AP02'!$P136)-'AP02'!$G136</f>
        <v>213780.5674</v>
      </c>
      <c r="P136" s="53">
        <f t="shared" si="149"/>
        <v>1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56">
        <f t="shared" si="2"/>
        <v>123</v>
      </c>
      <c r="B137" s="50">
        <f t="shared" si="5"/>
        <v>46986</v>
      </c>
      <c r="C137" s="116">
        <f t="shared" si="126"/>
        <v>0.0775</v>
      </c>
      <c r="D137" s="116">
        <f>((1+'AP02'!$C137)^(1/12))-1</f>
        <v>0.006239681461</v>
      </c>
      <c r="E137" s="51">
        <f t="shared" si="127"/>
        <v>2171.261517</v>
      </c>
      <c r="F137" s="51">
        <f>(O136*'AP02'!$P137)*'AP02'!$D137</f>
        <v>1333.922643</v>
      </c>
      <c r="G137" s="51">
        <f>(O136*'AP02'!$P137)/($I$5-A136)</f>
        <v>898.2376781</v>
      </c>
      <c r="H137" s="52">
        <f t="shared" ref="H137:L137" si="186">H136</f>
        <v>0</v>
      </c>
      <c r="I137" s="52">
        <f t="shared" si="186"/>
        <v>0</v>
      </c>
      <c r="J137" s="51">
        <f t="shared" si="186"/>
        <v>25</v>
      </c>
      <c r="K137" s="52">
        <f t="shared" si="186"/>
        <v>0</v>
      </c>
      <c r="L137" s="52">
        <f t="shared" si="186"/>
        <v>0</v>
      </c>
      <c r="M137" s="51">
        <f>SUM('AP02'!$F137:$L137)</f>
        <v>2257.160321</v>
      </c>
      <c r="N137" s="51">
        <f>O136*('AP02'!$P137-1)</f>
        <v>0</v>
      </c>
      <c r="O137" s="51">
        <f>(O136*'AP02'!$P137)-'AP02'!$G137</f>
        <v>212882.3297</v>
      </c>
      <c r="P137" s="53">
        <f t="shared" si="149"/>
        <v>1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56">
        <f t="shared" si="2"/>
        <v>124</v>
      </c>
      <c r="B138" s="50">
        <f t="shared" si="5"/>
        <v>47017</v>
      </c>
      <c r="C138" s="116">
        <f t="shared" si="126"/>
        <v>0.0775</v>
      </c>
      <c r="D138" s="116">
        <f>((1+'AP02'!$C138)^(1/12))-1</f>
        <v>0.006239681461</v>
      </c>
      <c r="E138" s="51">
        <f t="shared" si="127"/>
        <v>2171.261517</v>
      </c>
      <c r="F138" s="51">
        <f>(O137*'AP02'!$P138)*'AP02'!$D138</f>
        <v>1328.317926</v>
      </c>
      <c r="G138" s="51">
        <f>(O137*'AP02'!$P138)/($I$5-A137)</f>
        <v>898.2376781</v>
      </c>
      <c r="H138" s="52">
        <f t="shared" ref="H138:L138" si="187">H137</f>
        <v>0</v>
      </c>
      <c r="I138" s="52">
        <f t="shared" si="187"/>
        <v>0</v>
      </c>
      <c r="J138" s="51">
        <f t="shared" si="187"/>
        <v>25</v>
      </c>
      <c r="K138" s="52">
        <f t="shared" si="187"/>
        <v>0</v>
      </c>
      <c r="L138" s="52">
        <f t="shared" si="187"/>
        <v>0</v>
      </c>
      <c r="M138" s="51">
        <f>SUM('AP02'!$F138:$L138)</f>
        <v>2251.555604</v>
      </c>
      <c r="N138" s="51">
        <f>O137*('AP02'!$P138-1)</f>
        <v>0</v>
      </c>
      <c r="O138" s="51">
        <f>(O137*'AP02'!$P138)-'AP02'!$G138</f>
        <v>211984.092</v>
      </c>
      <c r="P138" s="53">
        <f t="shared" si="149"/>
        <v>1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56">
        <f t="shared" si="2"/>
        <v>125</v>
      </c>
      <c r="B139" s="50">
        <f t="shared" si="5"/>
        <v>47047</v>
      </c>
      <c r="C139" s="116">
        <f t="shared" si="126"/>
        <v>0.0775</v>
      </c>
      <c r="D139" s="116">
        <f>((1+'AP02'!$C139)^(1/12))-1</f>
        <v>0.006239681461</v>
      </c>
      <c r="E139" s="51">
        <f t="shared" si="127"/>
        <v>2171.261517</v>
      </c>
      <c r="F139" s="51">
        <f>(O138*'AP02'!$P139)*'AP02'!$D139</f>
        <v>1322.713209</v>
      </c>
      <c r="G139" s="51">
        <f>(O138*'AP02'!$P139)/($I$5-A138)</f>
        <v>898.2376781</v>
      </c>
      <c r="H139" s="52">
        <f t="shared" ref="H139:L139" si="188">H138</f>
        <v>0</v>
      </c>
      <c r="I139" s="52">
        <f t="shared" si="188"/>
        <v>0</v>
      </c>
      <c r="J139" s="51">
        <f t="shared" si="188"/>
        <v>25</v>
      </c>
      <c r="K139" s="52">
        <f t="shared" si="188"/>
        <v>0</v>
      </c>
      <c r="L139" s="52">
        <f t="shared" si="188"/>
        <v>0</v>
      </c>
      <c r="M139" s="51">
        <f>SUM('AP02'!$F139:$L139)</f>
        <v>2245.950887</v>
      </c>
      <c r="N139" s="51">
        <f>O138*('AP02'!$P139-1)</f>
        <v>0</v>
      </c>
      <c r="O139" s="51">
        <f>(O138*'AP02'!$P139)-'AP02'!$G139</f>
        <v>211085.8544</v>
      </c>
      <c r="P139" s="53">
        <f t="shared" si="149"/>
        <v>1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6">
        <f t="shared" si="2"/>
        <v>126</v>
      </c>
      <c r="B140" s="50">
        <f t="shared" si="5"/>
        <v>47078</v>
      </c>
      <c r="C140" s="116">
        <f t="shared" si="126"/>
        <v>0.0775</v>
      </c>
      <c r="D140" s="116">
        <f>((1+'AP02'!$C140)^(1/12))-1</f>
        <v>0.006239681461</v>
      </c>
      <c r="E140" s="51">
        <f t="shared" si="127"/>
        <v>2171.261517</v>
      </c>
      <c r="F140" s="51">
        <f>(O139*'AP02'!$P140)*'AP02'!$D140</f>
        <v>1317.108492</v>
      </c>
      <c r="G140" s="51">
        <f>(O139*'AP02'!$P140)/($I$5-A139)</f>
        <v>898.2376781</v>
      </c>
      <c r="H140" s="52">
        <f t="shared" ref="H140:L140" si="189">H139</f>
        <v>0</v>
      </c>
      <c r="I140" s="52">
        <f t="shared" si="189"/>
        <v>0</v>
      </c>
      <c r="J140" s="51">
        <f t="shared" si="189"/>
        <v>25</v>
      </c>
      <c r="K140" s="52">
        <f t="shared" si="189"/>
        <v>0</v>
      </c>
      <c r="L140" s="52">
        <f t="shared" si="189"/>
        <v>0</v>
      </c>
      <c r="M140" s="51">
        <f>SUM('AP02'!$F140:$L140)</f>
        <v>2240.34617</v>
      </c>
      <c r="N140" s="51">
        <f>O139*('AP02'!$P140-1)</f>
        <v>0</v>
      </c>
      <c r="O140" s="51">
        <f>(O139*'AP02'!$P140)-'AP02'!$G140</f>
        <v>210187.6167</v>
      </c>
      <c r="P140" s="53">
        <f t="shared" si="149"/>
        <v>1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56">
        <f t="shared" si="2"/>
        <v>127</v>
      </c>
      <c r="B141" s="50">
        <f t="shared" si="5"/>
        <v>47108</v>
      </c>
      <c r="C141" s="116">
        <f t="shared" si="126"/>
        <v>0.0775</v>
      </c>
      <c r="D141" s="116">
        <f>((1+'AP02'!$C141)^(1/12))-1</f>
        <v>0.006239681461</v>
      </c>
      <c r="E141" s="51">
        <f t="shared" si="127"/>
        <v>2171.261517</v>
      </c>
      <c r="F141" s="51">
        <f>(O140*'AP02'!$P141)*'AP02'!$D141</f>
        <v>1311.503775</v>
      </c>
      <c r="G141" s="51">
        <f>(O140*'AP02'!$P141)/($I$5-A140)</f>
        <v>898.2376781</v>
      </c>
      <c r="H141" s="52">
        <f t="shared" ref="H141:L141" si="190">H140</f>
        <v>0</v>
      </c>
      <c r="I141" s="52">
        <f t="shared" si="190"/>
        <v>0</v>
      </c>
      <c r="J141" s="51">
        <f t="shared" si="190"/>
        <v>25</v>
      </c>
      <c r="K141" s="52">
        <f t="shared" si="190"/>
        <v>0</v>
      </c>
      <c r="L141" s="52">
        <f t="shared" si="190"/>
        <v>0</v>
      </c>
      <c r="M141" s="51">
        <f>SUM('AP02'!$F141:$L141)</f>
        <v>2234.741453</v>
      </c>
      <c r="N141" s="51">
        <f>O140*('AP02'!$P141-1)</f>
        <v>0</v>
      </c>
      <c r="O141" s="51">
        <f>(O140*'AP02'!$P141)-'AP02'!$G141</f>
        <v>209289.379</v>
      </c>
      <c r="P141" s="53">
        <f t="shared" si="149"/>
        <v>1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56">
        <f t="shared" si="2"/>
        <v>128</v>
      </c>
      <c r="B142" s="50">
        <f t="shared" si="5"/>
        <v>47139</v>
      </c>
      <c r="C142" s="116">
        <f t="shared" si="126"/>
        <v>0.0775</v>
      </c>
      <c r="D142" s="116">
        <f>((1+'AP02'!$C142)^(1/12))-1</f>
        <v>0.006239681461</v>
      </c>
      <c r="E142" s="51">
        <f t="shared" si="127"/>
        <v>2171.261517</v>
      </c>
      <c r="F142" s="51">
        <f>(O141*'AP02'!$P142)*'AP02'!$D142</f>
        <v>1305.899058</v>
      </c>
      <c r="G142" s="51">
        <f>(O141*'AP02'!$P142)/($I$5-A141)</f>
        <v>898.2376781</v>
      </c>
      <c r="H142" s="52">
        <f t="shared" ref="H142:L142" si="191">H141</f>
        <v>0</v>
      </c>
      <c r="I142" s="52">
        <f t="shared" si="191"/>
        <v>0</v>
      </c>
      <c r="J142" s="51">
        <f t="shared" si="191"/>
        <v>25</v>
      </c>
      <c r="K142" s="52">
        <f t="shared" si="191"/>
        <v>0</v>
      </c>
      <c r="L142" s="52">
        <f t="shared" si="191"/>
        <v>0</v>
      </c>
      <c r="M142" s="51">
        <f>SUM('AP02'!$F142:$L142)</f>
        <v>2229.136736</v>
      </c>
      <c r="N142" s="51">
        <f>O141*('AP02'!$P142-1)</f>
        <v>0</v>
      </c>
      <c r="O142" s="51">
        <f>(O141*'AP02'!$P142)-'AP02'!$G142</f>
        <v>208391.1413</v>
      </c>
      <c r="P142" s="53">
        <f t="shared" si="149"/>
        <v>1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56">
        <f t="shared" si="2"/>
        <v>129</v>
      </c>
      <c r="B143" s="50">
        <f t="shared" si="5"/>
        <v>47170</v>
      </c>
      <c r="C143" s="116">
        <f t="shared" si="126"/>
        <v>0.0775</v>
      </c>
      <c r="D143" s="116">
        <f>((1+'AP02'!$C143)^(1/12))-1</f>
        <v>0.006239681461</v>
      </c>
      <c r="E143" s="51">
        <f t="shared" si="127"/>
        <v>2171.261517</v>
      </c>
      <c r="F143" s="51">
        <f>(O142*'AP02'!$P143)*'AP02'!$D143</f>
        <v>1300.294341</v>
      </c>
      <c r="G143" s="51">
        <f>(O142*'AP02'!$P143)/($I$5-A142)</f>
        <v>898.2376781</v>
      </c>
      <c r="H143" s="52">
        <f t="shared" ref="H143:L143" si="192">H142</f>
        <v>0</v>
      </c>
      <c r="I143" s="52">
        <f t="shared" si="192"/>
        <v>0</v>
      </c>
      <c r="J143" s="51">
        <f t="shared" si="192"/>
        <v>25</v>
      </c>
      <c r="K143" s="52">
        <f t="shared" si="192"/>
        <v>0</v>
      </c>
      <c r="L143" s="52">
        <f t="shared" si="192"/>
        <v>0</v>
      </c>
      <c r="M143" s="51">
        <f>SUM('AP02'!$F143:$L143)</f>
        <v>2223.532019</v>
      </c>
      <c r="N143" s="51">
        <f>O142*('AP02'!$P143-1)</f>
        <v>0</v>
      </c>
      <c r="O143" s="51">
        <f>(O142*'AP02'!$P143)-'AP02'!$G143</f>
        <v>207492.9037</v>
      </c>
      <c r="P143" s="53">
        <f t="shared" si="149"/>
        <v>1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56">
        <f t="shared" si="2"/>
        <v>130</v>
      </c>
      <c r="B144" s="50">
        <f t="shared" si="5"/>
        <v>47198</v>
      </c>
      <c r="C144" s="116">
        <f t="shared" si="126"/>
        <v>0.0775</v>
      </c>
      <c r="D144" s="116">
        <f>((1+'AP02'!$C144)^(1/12))-1</f>
        <v>0.006239681461</v>
      </c>
      <c r="E144" s="51">
        <f t="shared" si="127"/>
        <v>2171.261517</v>
      </c>
      <c r="F144" s="51">
        <f>(O143*'AP02'!$P144)*'AP02'!$D144</f>
        <v>1294.689624</v>
      </c>
      <c r="G144" s="51">
        <f>(O143*'AP02'!$P144)/($I$5-A143)</f>
        <v>898.2376781</v>
      </c>
      <c r="H144" s="52">
        <f t="shared" ref="H144:L144" si="193">H143</f>
        <v>0</v>
      </c>
      <c r="I144" s="52">
        <f t="shared" si="193"/>
        <v>0</v>
      </c>
      <c r="J144" s="51">
        <f t="shared" si="193"/>
        <v>25</v>
      </c>
      <c r="K144" s="52">
        <f t="shared" si="193"/>
        <v>0</v>
      </c>
      <c r="L144" s="52">
        <f t="shared" si="193"/>
        <v>0</v>
      </c>
      <c r="M144" s="51">
        <f>SUM('AP02'!$F144:$L144)</f>
        <v>2217.927302</v>
      </c>
      <c r="N144" s="51">
        <f>O143*('AP02'!$P144-1)</f>
        <v>0</v>
      </c>
      <c r="O144" s="51">
        <f>(O143*'AP02'!$P144)-'AP02'!$G144</f>
        <v>206594.666</v>
      </c>
      <c r="P144" s="53">
        <f t="shared" si="149"/>
        <v>1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56">
        <f t="shared" si="2"/>
        <v>131</v>
      </c>
      <c r="B145" s="50">
        <f t="shared" si="5"/>
        <v>47229</v>
      </c>
      <c r="C145" s="116">
        <f t="shared" si="126"/>
        <v>0.0775</v>
      </c>
      <c r="D145" s="116">
        <f>((1+'AP02'!$C145)^(1/12))-1</f>
        <v>0.006239681461</v>
      </c>
      <c r="E145" s="51">
        <f t="shared" si="127"/>
        <v>2171.261517</v>
      </c>
      <c r="F145" s="51">
        <f>(O144*'AP02'!$P145)*'AP02'!$D145</f>
        <v>1289.084907</v>
      </c>
      <c r="G145" s="51">
        <f>(O144*'AP02'!$P145)/($I$5-A144)</f>
        <v>898.2376781</v>
      </c>
      <c r="H145" s="52">
        <f t="shared" ref="H145:L145" si="194">H144</f>
        <v>0</v>
      </c>
      <c r="I145" s="52">
        <f t="shared" si="194"/>
        <v>0</v>
      </c>
      <c r="J145" s="51">
        <f t="shared" si="194"/>
        <v>25</v>
      </c>
      <c r="K145" s="52">
        <f t="shared" si="194"/>
        <v>0</v>
      </c>
      <c r="L145" s="52">
        <f t="shared" si="194"/>
        <v>0</v>
      </c>
      <c r="M145" s="51">
        <f>SUM('AP02'!$F145:$L145)</f>
        <v>2212.322585</v>
      </c>
      <c r="N145" s="51">
        <f>O144*('AP02'!$P145-1)</f>
        <v>0</v>
      </c>
      <c r="O145" s="51">
        <f>(O144*'AP02'!$P145)-'AP02'!$G145</f>
        <v>205696.4283</v>
      </c>
      <c r="P145" s="53">
        <f t="shared" si="149"/>
        <v>1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56">
        <f t="shared" si="2"/>
        <v>132</v>
      </c>
      <c r="B146" s="50">
        <f t="shared" si="5"/>
        <v>47259</v>
      </c>
      <c r="C146" s="116">
        <f t="shared" si="126"/>
        <v>0.0775</v>
      </c>
      <c r="D146" s="116">
        <f>((1+'AP02'!$C146)^(1/12))-1</f>
        <v>0.006239681461</v>
      </c>
      <c r="E146" s="51">
        <f t="shared" si="127"/>
        <v>2171.261517</v>
      </c>
      <c r="F146" s="51">
        <f>(O145*'AP02'!$P146)*'AP02'!$D146</f>
        <v>1283.48019</v>
      </c>
      <c r="G146" s="51">
        <f>(O145*'AP02'!$P146)/($I$5-A145)</f>
        <v>898.2376781</v>
      </c>
      <c r="H146" s="52">
        <f t="shared" ref="H146:L146" si="195">H145</f>
        <v>0</v>
      </c>
      <c r="I146" s="52">
        <f t="shared" si="195"/>
        <v>0</v>
      </c>
      <c r="J146" s="51">
        <f t="shared" si="195"/>
        <v>25</v>
      </c>
      <c r="K146" s="52">
        <f t="shared" si="195"/>
        <v>0</v>
      </c>
      <c r="L146" s="52">
        <f t="shared" si="195"/>
        <v>0</v>
      </c>
      <c r="M146" s="51">
        <f>SUM('AP02'!$F146:$L146)</f>
        <v>2206.717868</v>
      </c>
      <c r="N146" s="51">
        <f>O145*('AP02'!$P146-1)</f>
        <v>0</v>
      </c>
      <c r="O146" s="51">
        <f>(O145*'AP02'!$P146)-'AP02'!$G146</f>
        <v>204798.1906</v>
      </c>
      <c r="P146" s="53">
        <f t="shared" si="149"/>
        <v>1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56">
        <f t="shared" si="2"/>
        <v>133</v>
      </c>
      <c r="B147" s="50">
        <f t="shared" si="5"/>
        <v>47290</v>
      </c>
      <c r="C147" s="116">
        <f t="shared" si="126"/>
        <v>0.0775</v>
      </c>
      <c r="D147" s="116">
        <f>((1+'AP02'!$C147)^(1/12))-1</f>
        <v>0.006239681461</v>
      </c>
      <c r="E147" s="51">
        <f t="shared" si="127"/>
        <v>2171.261517</v>
      </c>
      <c r="F147" s="51">
        <f>(O146*'AP02'!$P147)*'AP02'!$D147</f>
        <v>1277.875473</v>
      </c>
      <c r="G147" s="51">
        <f>(O146*'AP02'!$P147)/($I$5-A146)</f>
        <v>898.2376781</v>
      </c>
      <c r="H147" s="52">
        <f t="shared" ref="H147:L147" si="196">H146</f>
        <v>0</v>
      </c>
      <c r="I147" s="52">
        <f t="shared" si="196"/>
        <v>0</v>
      </c>
      <c r="J147" s="51">
        <f t="shared" si="196"/>
        <v>25</v>
      </c>
      <c r="K147" s="52">
        <f t="shared" si="196"/>
        <v>0</v>
      </c>
      <c r="L147" s="52">
        <f t="shared" si="196"/>
        <v>0</v>
      </c>
      <c r="M147" s="51">
        <f>SUM('AP02'!$F147:$L147)</f>
        <v>2201.113151</v>
      </c>
      <c r="N147" s="51">
        <f>O146*('AP02'!$P147-1)</f>
        <v>0</v>
      </c>
      <c r="O147" s="51">
        <f>(O146*'AP02'!$P147)-'AP02'!$G147</f>
        <v>203899.9529</v>
      </c>
      <c r="P147" s="53">
        <f t="shared" si="149"/>
        <v>1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56">
        <f t="shared" si="2"/>
        <v>134</v>
      </c>
      <c r="B148" s="50">
        <f t="shared" si="5"/>
        <v>47320</v>
      </c>
      <c r="C148" s="116">
        <f t="shared" si="126"/>
        <v>0.0775</v>
      </c>
      <c r="D148" s="116">
        <f>((1+'AP02'!$C148)^(1/12))-1</f>
        <v>0.006239681461</v>
      </c>
      <c r="E148" s="51">
        <f t="shared" si="127"/>
        <v>2171.261517</v>
      </c>
      <c r="F148" s="51">
        <f>(O147*'AP02'!$P148)*'AP02'!$D148</f>
        <v>1272.270756</v>
      </c>
      <c r="G148" s="51">
        <f>(O147*'AP02'!$P148)/($I$5-A147)</f>
        <v>898.2376781</v>
      </c>
      <c r="H148" s="52">
        <f t="shared" ref="H148:L148" si="197">H147</f>
        <v>0</v>
      </c>
      <c r="I148" s="52">
        <f t="shared" si="197"/>
        <v>0</v>
      </c>
      <c r="J148" s="51">
        <f t="shared" si="197"/>
        <v>25</v>
      </c>
      <c r="K148" s="52">
        <f t="shared" si="197"/>
        <v>0</v>
      </c>
      <c r="L148" s="52">
        <f t="shared" si="197"/>
        <v>0</v>
      </c>
      <c r="M148" s="51">
        <f>SUM('AP02'!$F148:$L148)</f>
        <v>2195.508434</v>
      </c>
      <c r="N148" s="51">
        <f>O147*('AP02'!$P148-1)</f>
        <v>0</v>
      </c>
      <c r="O148" s="51">
        <f>(O147*'AP02'!$P148)-'AP02'!$G148</f>
        <v>203001.7153</v>
      </c>
      <c r="P148" s="53">
        <f t="shared" si="149"/>
        <v>1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56">
        <f t="shared" si="2"/>
        <v>135</v>
      </c>
      <c r="B149" s="50">
        <f t="shared" si="5"/>
        <v>47351</v>
      </c>
      <c r="C149" s="116">
        <f t="shared" si="126"/>
        <v>0.0775</v>
      </c>
      <c r="D149" s="116">
        <f>((1+'AP02'!$C149)^(1/12))-1</f>
        <v>0.006239681461</v>
      </c>
      <c r="E149" s="51">
        <f t="shared" si="127"/>
        <v>2171.261517</v>
      </c>
      <c r="F149" s="51">
        <f>(O148*'AP02'!$P149)*'AP02'!$D149</f>
        <v>1266.666039</v>
      </c>
      <c r="G149" s="51">
        <f>(O148*'AP02'!$P149)/($I$5-A148)</f>
        <v>898.2376781</v>
      </c>
      <c r="H149" s="52">
        <f t="shared" ref="H149:L149" si="198">H148</f>
        <v>0</v>
      </c>
      <c r="I149" s="52">
        <f t="shared" si="198"/>
        <v>0</v>
      </c>
      <c r="J149" s="51">
        <f t="shared" si="198"/>
        <v>25</v>
      </c>
      <c r="K149" s="52">
        <f t="shared" si="198"/>
        <v>0</v>
      </c>
      <c r="L149" s="52">
        <f t="shared" si="198"/>
        <v>0</v>
      </c>
      <c r="M149" s="51">
        <f>SUM('AP02'!$F149:$L149)</f>
        <v>2189.903717</v>
      </c>
      <c r="N149" s="51">
        <f>O148*('AP02'!$P149-1)</f>
        <v>0</v>
      </c>
      <c r="O149" s="51">
        <f>(O148*'AP02'!$P149)-'AP02'!$G149</f>
        <v>202103.4776</v>
      </c>
      <c r="P149" s="53">
        <f t="shared" si="149"/>
        <v>1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6">
        <f t="shared" si="2"/>
        <v>136</v>
      </c>
      <c r="B150" s="50">
        <f t="shared" si="5"/>
        <v>47382</v>
      </c>
      <c r="C150" s="116">
        <f t="shared" si="126"/>
        <v>0.0775</v>
      </c>
      <c r="D150" s="116">
        <f>((1+'AP02'!$C150)^(1/12))-1</f>
        <v>0.006239681461</v>
      </c>
      <c r="E150" s="51">
        <f t="shared" si="127"/>
        <v>2171.261517</v>
      </c>
      <c r="F150" s="51">
        <f>(O149*'AP02'!$P150)*'AP02'!$D150</f>
        <v>1261.061322</v>
      </c>
      <c r="G150" s="51">
        <f>(O149*'AP02'!$P150)/($I$5-A149)</f>
        <v>898.2376781</v>
      </c>
      <c r="H150" s="52">
        <f t="shared" ref="H150:L150" si="199">H149</f>
        <v>0</v>
      </c>
      <c r="I150" s="52">
        <f t="shared" si="199"/>
        <v>0</v>
      </c>
      <c r="J150" s="51">
        <f t="shared" si="199"/>
        <v>25</v>
      </c>
      <c r="K150" s="52">
        <f t="shared" si="199"/>
        <v>0</v>
      </c>
      <c r="L150" s="52">
        <f t="shared" si="199"/>
        <v>0</v>
      </c>
      <c r="M150" s="51">
        <f>SUM('AP02'!$F150:$L150)</f>
        <v>2184.299</v>
      </c>
      <c r="N150" s="51">
        <f>O149*('AP02'!$P150-1)</f>
        <v>0</v>
      </c>
      <c r="O150" s="51">
        <f>(O149*'AP02'!$P150)-'AP02'!$G150</f>
        <v>201205.2399</v>
      </c>
      <c r="P150" s="53">
        <f t="shared" si="149"/>
        <v>1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56">
        <f t="shared" si="2"/>
        <v>137</v>
      </c>
      <c r="B151" s="50">
        <f t="shared" si="5"/>
        <v>47412</v>
      </c>
      <c r="C151" s="116">
        <f t="shared" si="126"/>
        <v>0.0775</v>
      </c>
      <c r="D151" s="116">
        <f>((1+'AP02'!$C151)^(1/12))-1</f>
        <v>0.006239681461</v>
      </c>
      <c r="E151" s="51">
        <f t="shared" si="127"/>
        <v>2171.261517</v>
      </c>
      <c r="F151" s="51">
        <f>(O150*'AP02'!$P151)*'AP02'!$D151</f>
        <v>1255.456605</v>
      </c>
      <c r="G151" s="51">
        <f>(O150*'AP02'!$P151)/($I$5-A150)</f>
        <v>898.2376781</v>
      </c>
      <c r="H151" s="52">
        <f t="shared" ref="H151:L151" si="200">H150</f>
        <v>0</v>
      </c>
      <c r="I151" s="52">
        <f t="shared" si="200"/>
        <v>0</v>
      </c>
      <c r="J151" s="51">
        <f t="shared" si="200"/>
        <v>25</v>
      </c>
      <c r="K151" s="52">
        <f t="shared" si="200"/>
        <v>0</v>
      </c>
      <c r="L151" s="52">
        <f t="shared" si="200"/>
        <v>0</v>
      </c>
      <c r="M151" s="51">
        <f>SUM('AP02'!$F151:$L151)</f>
        <v>2178.694283</v>
      </c>
      <c r="N151" s="51">
        <f>O150*('AP02'!$P151-1)</f>
        <v>0</v>
      </c>
      <c r="O151" s="51">
        <f>(O150*'AP02'!$P151)-'AP02'!$G151</f>
        <v>200307.0022</v>
      </c>
      <c r="P151" s="53">
        <f t="shared" si="149"/>
        <v>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56">
        <f t="shared" si="2"/>
        <v>138</v>
      </c>
      <c r="B152" s="50">
        <f t="shared" si="5"/>
        <v>47443</v>
      </c>
      <c r="C152" s="116">
        <f t="shared" si="126"/>
        <v>0.0775</v>
      </c>
      <c r="D152" s="116">
        <f>((1+'AP02'!$C152)^(1/12))-1</f>
        <v>0.006239681461</v>
      </c>
      <c r="E152" s="51">
        <f t="shared" si="127"/>
        <v>2171.261517</v>
      </c>
      <c r="F152" s="51">
        <f>(O151*'AP02'!$P152)*'AP02'!$D152</f>
        <v>1249.851888</v>
      </c>
      <c r="G152" s="51">
        <f>(O151*'AP02'!$P152)/($I$5-A151)</f>
        <v>898.2376781</v>
      </c>
      <c r="H152" s="52">
        <f t="shared" ref="H152:L152" si="201">H151</f>
        <v>0</v>
      </c>
      <c r="I152" s="52">
        <f t="shared" si="201"/>
        <v>0</v>
      </c>
      <c r="J152" s="51">
        <f t="shared" si="201"/>
        <v>25</v>
      </c>
      <c r="K152" s="52">
        <f t="shared" si="201"/>
        <v>0</v>
      </c>
      <c r="L152" s="52">
        <f t="shared" si="201"/>
        <v>0</v>
      </c>
      <c r="M152" s="51">
        <f>SUM('AP02'!$F152:$L152)</f>
        <v>2173.089567</v>
      </c>
      <c r="N152" s="51">
        <f>O151*('AP02'!$P152-1)</f>
        <v>0</v>
      </c>
      <c r="O152" s="51">
        <f>(O151*'AP02'!$P152)-'AP02'!$G152</f>
        <v>199408.7645</v>
      </c>
      <c r="P152" s="53">
        <f t="shared" si="149"/>
        <v>1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56">
        <f t="shared" si="2"/>
        <v>139</v>
      </c>
      <c r="B153" s="50">
        <f t="shared" si="5"/>
        <v>47473</v>
      </c>
      <c r="C153" s="116">
        <f t="shared" si="126"/>
        <v>0.0775</v>
      </c>
      <c r="D153" s="116">
        <f>((1+'AP02'!$C153)^(1/12))-1</f>
        <v>0.006239681461</v>
      </c>
      <c r="E153" s="51">
        <f t="shared" si="127"/>
        <v>2171.261517</v>
      </c>
      <c r="F153" s="51">
        <f>(O152*'AP02'!$P153)*'AP02'!$D153</f>
        <v>1244.247171</v>
      </c>
      <c r="G153" s="51">
        <f>(O152*'AP02'!$P153)/($I$5-A152)</f>
        <v>898.2376781</v>
      </c>
      <c r="H153" s="52">
        <f t="shared" ref="H153:L153" si="202">H152</f>
        <v>0</v>
      </c>
      <c r="I153" s="52">
        <f t="shared" si="202"/>
        <v>0</v>
      </c>
      <c r="J153" s="51">
        <f t="shared" si="202"/>
        <v>25</v>
      </c>
      <c r="K153" s="52">
        <f t="shared" si="202"/>
        <v>0</v>
      </c>
      <c r="L153" s="52">
        <f t="shared" si="202"/>
        <v>0</v>
      </c>
      <c r="M153" s="51">
        <f>SUM('AP02'!$F153:$L153)</f>
        <v>2167.48485</v>
      </c>
      <c r="N153" s="51">
        <f>O152*('AP02'!$P153-1)</f>
        <v>0</v>
      </c>
      <c r="O153" s="51">
        <f>(O152*'AP02'!$P153)-'AP02'!$G153</f>
        <v>198510.5269</v>
      </c>
      <c r="P153" s="53">
        <f t="shared" si="149"/>
        <v>1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56">
        <f t="shared" si="2"/>
        <v>140</v>
      </c>
      <c r="B154" s="50">
        <f t="shared" si="5"/>
        <v>47504</v>
      </c>
      <c r="C154" s="116">
        <f t="shared" si="126"/>
        <v>0.0775</v>
      </c>
      <c r="D154" s="116">
        <f>((1+'AP02'!$C154)^(1/12))-1</f>
        <v>0.006239681461</v>
      </c>
      <c r="E154" s="51">
        <f t="shared" si="127"/>
        <v>2171.261517</v>
      </c>
      <c r="F154" s="51">
        <f>(O153*'AP02'!$P154)*'AP02'!$D154</f>
        <v>1238.642454</v>
      </c>
      <c r="G154" s="51">
        <f>(O153*'AP02'!$P154)/($I$5-A153)</f>
        <v>898.2376781</v>
      </c>
      <c r="H154" s="52">
        <f t="shared" ref="H154:L154" si="203">H153</f>
        <v>0</v>
      </c>
      <c r="I154" s="52">
        <f t="shared" si="203"/>
        <v>0</v>
      </c>
      <c r="J154" s="51">
        <f t="shared" si="203"/>
        <v>25</v>
      </c>
      <c r="K154" s="52">
        <f t="shared" si="203"/>
        <v>0</v>
      </c>
      <c r="L154" s="52">
        <f t="shared" si="203"/>
        <v>0</v>
      </c>
      <c r="M154" s="51">
        <f>SUM('AP02'!$F154:$L154)</f>
        <v>2161.880133</v>
      </c>
      <c r="N154" s="51">
        <f>O153*('AP02'!$P154-1)</f>
        <v>0</v>
      </c>
      <c r="O154" s="51">
        <f>(O153*'AP02'!$P154)-'AP02'!$G154</f>
        <v>197612.2892</v>
      </c>
      <c r="P154" s="53">
        <f t="shared" si="149"/>
        <v>1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56">
        <f t="shared" si="2"/>
        <v>141</v>
      </c>
      <c r="B155" s="50">
        <f t="shared" si="5"/>
        <v>47535</v>
      </c>
      <c r="C155" s="116">
        <f t="shared" si="126"/>
        <v>0.0775</v>
      </c>
      <c r="D155" s="116">
        <f>((1+'AP02'!$C155)^(1/12))-1</f>
        <v>0.006239681461</v>
      </c>
      <c r="E155" s="51">
        <f t="shared" si="127"/>
        <v>2171.261517</v>
      </c>
      <c r="F155" s="51">
        <f>(O154*'AP02'!$P155)*'AP02'!$D155</f>
        <v>1233.037737</v>
      </c>
      <c r="G155" s="51">
        <f>(O154*'AP02'!$P155)/($I$5-A154)</f>
        <v>898.2376781</v>
      </c>
      <c r="H155" s="52">
        <f t="shared" ref="H155:L155" si="204">H154</f>
        <v>0</v>
      </c>
      <c r="I155" s="52">
        <f t="shared" si="204"/>
        <v>0</v>
      </c>
      <c r="J155" s="51">
        <f t="shared" si="204"/>
        <v>25</v>
      </c>
      <c r="K155" s="52">
        <f t="shared" si="204"/>
        <v>0</v>
      </c>
      <c r="L155" s="52">
        <f t="shared" si="204"/>
        <v>0</v>
      </c>
      <c r="M155" s="51">
        <f>SUM('AP02'!$F155:$L155)</f>
        <v>2156.275416</v>
      </c>
      <c r="N155" s="51">
        <f>O154*('AP02'!$P155-1)</f>
        <v>0</v>
      </c>
      <c r="O155" s="51">
        <f>(O154*'AP02'!$P155)-'AP02'!$G155</f>
        <v>196714.0515</v>
      </c>
      <c r="P155" s="53">
        <f t="shared" si="149"/>
        <v>1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56">
        <f t="shared" si="2"/>
        <v>142</v>
      </c>
      <c r="B156" s="50">
        <f t="shared" si="5"/>
        <v>47563</v>
      </c>
      <c r="C156" s="116">
        <f t="shared" si="126"/>
        <v>0.0775</v>
      </c>
      <c r="D156" s="116">
        <f>((1+'AP02'!$C156)^(1/12))-1</f>
        <v>0.006239681461</v>
      </c>
      <c r="E156" s="51">
        <f t="shared" si="127"/>
        <v>2171.261517</v>
      </c>
      <c r="F156" s="51">
        <f>(O155*'AP02'!$P156)*'AP02'!$D156</f>
        <v>1227.43302</v>
      </c>
      <c r="G156" s="51">
        <f>(O155*'AP02'!$P156)/($I$5-A155)</f>
        <v>898.2376781</v>
      </c>
      <c r="H156" s="52">
        <f t="shared" ref="H156:L156" si="205">H155</f>
        <v>0</v>
      </c>
      <c r="I156" s="52">
        <f t="shared" si="205"/>
        <v>0</v>
      </c>
      <c r="J156" s="51">
        <f t="shared" si="205"/>
        <v>25</v>
      </c>
      <c r="K156" s="52">
        <f t="shared" si="205"/>
        <v>0</v>
      </c>
      <c r="L156" s="52">
        <f t="shared" si="205"/>
        <v>0</v>
      </c>
      <c r="M156" s="51">
        <f>SUM('AP02'!$F156:$L156)</f>
        <v>2150.670699</v>
      </c>
      <c r="N156" s="51">
        <f>O155*('AP02'!$P156-1)</f>
        <v>0</v>
      </c>
      <c r="O156" s="51">
        <f>(O155*'AP02'!$P156)-'AP02'!$G156</f>
        <v>195815.8138</v>
      </c>
      <c r="P156" s="53">
        <f t="shared" si="149"/>
        <v>1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56">
        <f t="shared" si="2"/>
        <v>143</v>
      </c>
      <c r="B157" s="50">
        <f t="shared" si="5"/>
        <v>47594</v>
      </c>
      <c r="C157" s="116">
        <f t="shared" si="126"/>
        <v>0.0775</v>
      </c>
      <c r="D157" s="116">
        <f>((1+'AP02'!$C157)^(1/12))-1</f>
        <v>0.006239681461</v>
      </c>
      <c r="E157" s="51">
        <f t="shared" si="127"/>
        <v>2171.261517</v>
      </c>
      <c r="F157" s="51">
        <f>(O156*'AP02'!$P157)*'AP02'!$D157</f>
        <v>1221.828303</v>
      </c>
      <c r="G157" s="51">
        <f>(O156*'AP02'!$P157)/($I$5-A156)</f>
        <v>898.2376781</v>
      </c>
      <c r="H157" s="52">
        <f t="shared" ref="H157:L157" si="206">H156</f>
        <v>0</v>
      </c>
      <c r="I157" s="52">
        <f t="shared" si="206"/>
        <v>0</v>
      </c>
      <c r="J157" s="51">
        <f t="shared" si="206"/>
        <v>25</v>
      </c>
      <c r="K157" s="52">
        <f t="shared" si="206"/>
        <v>0</v>
      </c>
      <c r="L157" s="52">
        <f t="shared" si="206"/>
        <v>0</v>
      </c>
      <c r="M157" s="51">
        <f>SUM('AP02'!$F157:$L157)</f>
        <v>2145.065982</v>
      </c>
      <c r="N157" s="51">
        <f>O156*('AP02'!$P157-1)</f>
        <v>0</v>
      </c>
      <c r="O157" s="51">
        <f>(O156*'AP02'!$P157)-'AP02'!$G157</f>
        <v>194917.5762</v>
      </c>
      <c r="P157" s="53">
        <f t="shared" si="149"/>
        <v>1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56">
        <f t="shared" si="2"/>
        <v>144</v>
      </c>
      <c r="B158" s="50">
        <f t="shared" si="5"/>
        <v>47624</v>
      </c>
      <c r="C158" s="116">
        <f t="shared" si="126"/>
        <v>0.0775</v>
      </c>
      <c r="D158" s="116">
        <f>((1+'AP02'!$C158)^(1/12))-1</f>
        <v>0.006239681461</v>
      </c>
      <c r="E158" s="51">
        <f t="shared" si="127"/>
        <v>2171.261517</v>
      </c>
      <c r="F158" s="51">
        <f>(O157*'AP02'!$P158)*'AP02'!$D158</f>
        <v>1216.223586</v>
      </c>
      <c r="G158" s="51">
        <f>(O157*'AP02'!$P158)/($I$5-A157)</f>
        <v>898.2376781</v>
      </c>
      <c r="H158" s="52">
        <f t="shared" ref="H158:L158" si="207">H157</f>
        <v>0</v>
      </c>
      <c r="I158" s="52">
        <f t="shared" si="207"/>
        <v>0</v>
      </c>
      <c r="J158" s="51">
        <f t="shared" si="207"/>
        <v>25</v>
      </c>
      <c r="K158" s="52">
        <f t="shared" si="207"/>
        <v>0</v>
      </c>
      <c r="L158" s="52">
        <f t="shared" si="207"/>
        <v>0</v>
      </c>
      <c r="M158" s="51">
        <f>SUM('AP02'!$F158:$L158)</f>
        <v>2139.461265</v>
      </c>
      <c r="N158" s="51">
        <f>O157*('AP02'!$P158-1)</f>
        <v>0</v>
      </c>
      <c r="O158" s="51">
        <f>(O157*'AP02'!$P158)-'AP02'!$G158</f>
        <v>194019.3385</v>
      </c>
      <c r="P158" s="53">
        <f t="shared" si="149"/>
        <v>1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56">
        <f t="shared" si="2"/>
        <v>145</v>
      </c>
      <c r="B159" s="50">
        <f t="shared" si="5"/>
        <v>47655</v>
      </c>
      <c r="C159" s="116">
        <f t="shared" si="126"/>
        <v>0.0775</v>
      </c>
      <c r="D159" s="116">
        <f>((1+'AP02'!$C159)^(1/12))-1</f>
        <v>0.006239681461</v>
      </c>
      <c r="E159" s="51">
        <f t="shared" si="127"/>
        <v>2171.261517</v>
      </c>
      <c r="F159" s="51">
        <f>(O158*'AP02'!$P159)*'AP02'!$D159</f>
        <v>1210.618869</v>
      </c>
      <c r="G159" s="51">
        <f>(O158*'AP02'!$P159)/($I$5-A158)</f>
        <v>898.2376781</v>
      </c>
      <c r="H159" s="52">
        <f t="shared" ref="H159:L159" si="208">H158</f>
        <v>0</v>
      </c>
      <c r="I159" s="52">
        <f t="shared" si="208"/>
        <v>0</v>
      </c>
      <c r="J159" s="51">
        <f t="shared" si="208"/>
        <v>25</v>
      </c>
      <c r="K159" s="52">
        <f t="shared" si="208"/>
        <v>0</v>
      </c>
      <c r="L159" s="52">
        <f t="shared" si="208"/>
        <v>0</v>
      </c>
      <c r="M159" s="51">
        <f>SUM('AP02'!$F159:$L159)</f>
        <v>2133.856548</v>
      </c>
      <c r="N159" s="51">
        <f>O158*('AP02'!$P159-1)</f>
        <v>0</v>
      </c>
      <c r="O159" s="51">
        <f>(O158*'AP02'!$P159)-'AP02'!$G159</f>
        <v>193121.1008</v>
      </c>
      <c r="P159" s="53">
        <f t="shared" si="149"/>
        <v>1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56">
        <f t="shared" si="2"/>
        <v>146</v>
      </c>
      <c r="B160" s="50">
        <f t="shared" si="5"/>
        <v>47685</v>
      </c>
      <c r="C160" s="116">
        <f t="shared" si="126"/>
        <v>0.0775</v>
      </c>
      <c r="D160" s="116">
        <f>((1+'AP02'!$C160)^(1/12))-1</f>
        <v>0.006239681461</v>
      </c>
      <c r="E160" s="51">
        <f t="shared" si="127"/>
        <v>2171.261517</v>
      </c>
      <c r="F160" s="51">
        <f>(O159*'AP02'!$P160)*'AP02'!$D160</f>
        <v>1205.014152</v>
      </c>
      <c r="G160" s="51">
        <f>(O159*'AP02'!$P160)/($I$5-A159)</f>
        <v>898.2376781</v>
      </c>
      <c r="H160" s="52">
        <f t="shared" ref="H160:L160" si="209">H159</f>
        <v>0</v>
      </c>
      <c r="I160" s="52">
        <f t="shared" si="209"/>
        <v>0</v>
      </c>
      <c r="J160" s="51">
        <f t="shared" si="209"/>
        <v>25</v>
      </c>
      <c r="K160" s="52">
        <f t="shared" si="209"/>
        <v>0</v>
      </c>
      <c r="L160" s="52">
        <f t="shared" si="209"/>
        <v>0</v>
      </c>
      <c r="M160" s="51">
        <f>SUM('AP02'!$F160:$L160)</f>
        <v>2128.251831</v>
      </c>
      <c r="N160" s="51">
        <f>O159*('AP02'!$P160-1)</f>
        <v>0</v>
      </c>
      <c r="O160" s="51">
        <f>(O159*'AP02'!$P160)-'AP02'!$G160</f>
        <v>192222.8631</v>
      </c>
      <c r="P160" s="53">
        <f t="shared" si="149"/>
        <v>1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56">
        <f t="shared" si="2"/>
        <v>147</v>
      </c>
      <c r="B161" s="50">
        <f t="shared" si="5"/>
        <v>47716</v>
      </c>
      <c r="C161" s="116">
        <f t="shared" si="126"/>
        <v>0.0775</v>
      </c>
      <c r="D161" s="116">
        <f>((1+'AP02'!$C161)^(1/12))-1</f>
        <v>0.006239681461</v>
      </c>
      <c r="E161" s="51">
        <f t="shared" si="127"/>
        <v>2171.261517</v>
      </c>
      <c r="F161" s="51">
        <f>(O160*'AP02'!$P161)*'AP02'!$D161</f>
        <v>1199.409435</v>
      </c>
      <c r="G161" s="51">
        <f>(O160*'AP02'!$P161)/($I$5-A160)</f>
        <v>898.2376781</v>
      </c>
      <c r="H161" s="52">
        <f t="shared" ref="H161:L161" si="210">H160</f>
        <v>0</v>
      </c>
      <c r="I161" s="52">
        <f t="shared" si="210"/>
        <v>0</v>
      </c>
      <c r="J161" s="51">
        <f t="shared" si="210"/>
        <v>25</v>
      </c>
      <c r="K161" s="52">
        <f t="shared" si="210"/>
        <v>0</v>
      </c>
      <c r="L161" s="52">
        <f t="shared" si="210"/>
        <v>0</v>
      </c>
      <c r="M161" s="51">
        <f>SUM('AP02'!$F161:$L161)</f>
        <v>2122.647114</v>
      </c>
      <c r="N161" s="51">
        <f>O160*('AP02'!$P161-1)</f>
        <v>0</v>
      </c>
      <c r="O161" s="51">
        <f>(O160*'AP02'!$P161)-'AP02'!$G161</f>
        <v>191324.6254</v>
      </c>
      <c r="P161" s="53">
        <f t="shared" si="149"/>
        <v>1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56">
        <f t="shared" si="2"/>
        <v>148</v>
      </c>
      <c r="B162" s="50">
        <f t="shared" si="5"/>
        <v>47747</v>
      </c>
      <c r="C162" s="116">
        <f t="shared" si="126"/>
        <v>0.0775</v>
      </c>
      <c r="D162" s="116">
        <f>((1+'AP02'!$C162)^(1/12))-1</f>
        <v>0.006239681461</v>
      </c>
      <c r="E162" s="51">
        <f t="shared" si="127"/>
        <v>2171.261517</v>
      </c>
      <c r="F162" s="51">
        <f>(O161*'AP02'!$P162)*'AP02'!$D162</f>
        <v>1193.804718</v>
      </c>
      <c r="G162" s="51">
        <f>(O161*'AP02'!$P162)/($I$5-A161)</f>
        <v>898.2376781</v>
      </c>
      <c r="H162" s="52">
        <f t="shared" ref="H162:L162" si="211">H161</f>
        <v>0</v>
      </c>
      <c r="I162" s="52">
        <f t="shared" si="211"/>
        <v>0</v>
      </c>
      <c r="J162" s="51">
        <f t="shared" si="211"/>
        <v>25</v>
      </c>
      <c r="K162" s="52">
        <f t="shared" si="211"/>
        <v>0</v>
      </c>
      <c r="L162" s="52">
        <f t="shared" si="211"/>
        <v>0</v>
      </c>
      <c r="M162" s="51">
        <f>SUM('AP02'!$F162:$L162)</f>
        <v>2117.042397</v>
      </c>
      <c r="N162" s="51">
        <f>O161*('AP02'!$P162-1)</f>
        <v>0</v>
      </c>
      <c r="O162" s="51">
        <f>(O161*'AP02'!$P162)-'AP02'!$G162</f>
        <v>190426.3878</v>
      </c>
      <c r="P162" s="53">
        <f t="shared" si="149"/>
        <v>1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56">
        <f t="shared" si="2"/>
        <v>149</v>
      </c>
      <c r="B163" s="50">
        <f t="shared" si="5"/>
        <v>47777</v>
      </c>
      <c r="C163" s="116">
        <f t="shared" si="126"/>
        <v>0.0775</v>
      </c>
      <c r="D163" s="116">
        <f>((1+'AP02'!$C163)^(1/12))-1</f>
        <v>0.006239681461</v>
      </c>
      <c r="E163" s="51">
        <f t="shared" si="127"/>
        <v>2171.261517</v>
      </c>
      <c r="F163" s="51">
        <f>(O162*'AP02'!$P163)*'AP02'!$D163</f>
        <v>1188.200001</v>
      </c>
      <c r="G163" s="51">
        <f>(O162*'AP02'!$P163)/($I$5-A162)</f>
        <v>898.2376781</v>
      </c>
      <c r="H163" s="52">
        <f t="shared" ref="H163:L163" si="212">H162</f>
        <v>0</v>
      </c>
      <c r="I163" s="52">
        <f t="shared" si="212"/>
        <v>0</v>
      </c>
      <c r="J163" s="51">
        <f t="shared" si="212"/>
        <v>25</v>
      </c>
      <c r="K163" s="52">
        <f t="shared" si="212"/>
        <v>0</v>
      </c>
      <c r="L163" s="52">
        <f t="shared" si="212"/>
        <v>0</v>
      </c>
      <c r="M163" s="51">
        <f>SUM('AP02'!$F163:$L163)</f>
        <v>2111.43768</v>
      </c>
      <c r="N163" s="51">
        <f>O162*('AP02'!$P163-1)</f>
        <v>0</v>
      </c>
      <c r="O163" s="51">
        <f>(O162*'AP02'!$P163)-'AP02'!$G163</f>
        <v>189528.1501</v>
      </c>
      <c r="P163" s="53">
        <f t="shared" si="149"/>
        <v>1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56">
        <f t="shared" si="2"/>
        <v>150</v>
      </c>
      <c r="B164" s="50">
        <f t="shared" si="5"/>
        <v>47808</v>
      </c>
      <c r="C164" s="116">
        <f t="shared" si="126"/>
        <v>0.0775</v>
      </c>
      <c r="D164" s="116">
        <f>((1+'AP02'!$C164)^(1/12))-1</f>
        <v>0.006239681461</v>
      </c>
      <c r="E164" s="51">
        <f t="shared" si="127"/>
        <v>2171.261517</v>
      </c>
      <c r="F164" s="51">
        <f>(O163*'AP02'!$P164)*'AP02'!$D164</f>
        <v>1182.595284</v>
      </c>
      <c r="G164" s="51">
        <f>(O163*'AP02'!$P164)/($I$5-A163)</f>
        <v>898.2376781</v>
      </c>
      <c r="H164" s="52">
        <f t="shared" ref="H164:L164" si="213">H163</f>
        <v>0</v>
      </c>
      <c r="I164" s="52">
        <f t="shared" si="213"/>
        <v>0</v>
      </c>
      <c r="J164" s="51">
        <f t="shared" si="213"/>
        <v>25</v>
      </c>
      <c r="K164" s="52">
        <f t="shared" si="213"/>
        <v>0</v>
      </c>
      <c r="L164" s="52">
        <f t="shared" si="213"/>
        <v>0</v>
      </c>
      <c r="M164" s="51">
        <f>SUM('AP02'!$F164:$L164)</f>
        <v>2105.832963</v>
      </c>
      <c r="N164" s="51">
        <f>O163*('AP02'!$P164-1)</f>
        <v>0</v>
      </c>
      <c r="O164" s="51">
        <f>(O163*'AP02'!$P164)-'AP02'!$G164</f>
        <v>188629.9124</v>
      </c>
      <c r="P164" s="53">
        <f t="shared" si="149"/>
        <v>1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56">
        <f t="shared" si="2"/>
        <v>151</v>
      </c>
      <c r="B165" s="50">
        <f t="shared" si="5"/>
        <v>47838</v>
      </c>
      <c r="C165" s="116">
        <f t="shared" si="126"/>
        <v>0.0775</v>
      </c>
      <c r="D165" s="116">
        <f>((1+'AP02'!$C165)^(1/12))-1</f>
        <v>0.006239681461</v>
      </c>
      <c r="E165" s="51">
        <f t="shared" si="127"/>
        <v>2171.261517</v>
      </c>
      <c r="F165" s="51">
        <f>(O164*'AP02'!$P165)*'AP02'!$D165</f>
        <v>1176.990568</v>
      </c>
      <c r="G165" s="51">
        <f>(O164*'AP02'!$P165)/($I$5-A164)</f>
        <v>898.2376781</v>
      </c>
      <c r="H165" s="52">
        <f t="shared" ref="H165:L165" si="214">H164</f>
        <v>0</v>
      </c>
      <c r="I165" s="52">
        <f t="shared" si="214"/>
        <v>0</v>
      </c>
      <c r="J165" s="51">
        <f t="shared" si="214"/>
        <v>25</v>
      </c>
      <c r="K165" s="52">
        <f t="shared" si="214"/>
        <v>0</v>
      </c>
      <c r="L165" s="52">
        <f t="shared" si="214"/>
        <v>0</v>
      </c>
      <c r="M165" s="51">
        <f>SUM('AP02'!$F165:$L165)</f>
        <v>2100.228246</v>
      </c>
      <c r="N165" s="51">
        <f>O164*('AP02'!$P165-1)</f>
        <v>0</v>
      </c>
      <c r="O165" s="51">
        <f>(O164*'AP02'!$P165)-'AP02'!$G165</f>
        <v>187731.6747</v>
      </c>
      <c r="P165" s="53">
        <f t="shared" si="149"/>
        <v>1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56">
        <f t="shared" si="2"/>
        <v>152</v>
      </c>
      <c r="B166" s="50">
        <f t="shared" si="5"/>
        <v>47869</v>
      </c>
      <c r="C166" s="116">
        <f t="shared" si="126"/>
        <v>0.0775</v>
      </c>
      <c r="D166" s="116">
        <f>((1+'AP02'!$C166)^(1/12))-1</f>
        <v>0.006239681461</v>
      </c>
      <c r="E166" s="51">
        <f t="shared" si="127"/>
        <v>2171.261517</v>
      </c>
      <c r="F166" s="51">
        <f>(O165*'AP02'!$P166)*'AP02'!$D166</f>
        <v>1171.385851</v>
      </c>
      <c r="G166" s="51">
        <f>(O165*'AP02'!$P166)/($I$5-A165)</f>
        <v>898.2376781</v>
      </c>
      <c r="H166" s="52">
        <f t="shared" ref="H166:L166" si="215">H165</f>
        <v>0</v>
      </c>
      <c r="I166" s="52">
        <f t="shared" si="215"/>
        <v>0</v>
      </c>
      <c r="J166" s="51">
        <f t="shared" si="215"/>
        <v>25</v>
      </c>
      <c r="K166" s="52">
        <f t="shared" si="215"/>
        <v>0</v>
      </c>
      <c r="L166" s="52">
        <f t="shared" si="215"/>
        <v>0</v>
      </c>
      <c r="M166" s="51">
        <f>SUM('AP02'!$F166:$L166)</f>
        <v>2094.623529</v>
      </c>
      <c r="N166" s="51">
        <f>O165*('AP02'!$P166-1)</f>
        <v>0</v>
      </c>
      <c r="O166" s="51">
        <f>(O165*'AP02'!$P166)-'AP02'!$G166</f>
        <v>186833.4371</v>
      </c>
      <c r="P166" s="53">
        <f t="shared" si="149"/>
        <v>1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56">
        <f t="shared" si="2"/>
        <v>153</v>
      </c>
      <c r="B167" s="50">
        <f t="shared" si="5"/>
        <v>47900</v>
      </c>
      <c r="C167" s="116">
        <f t="shared" si="126"/>
        <v>0.0775</v>
      </c>
      <c r="D167" s="116">
        <f>((1+'AP02'!$C167)^(1/12))-1</f>
        <v>0.006239681461</v>
      </c>
      <c r="E167" s="51">
        <f t="shared" si="127"/>
        <v>2171.261517</v>
      </c>
      <c r="F167" s="51">
        <f>(O166*'AP02'!$P167)*'AP02'!$D167</f>
        <v>1165.781134</v>
      </c>
      <c r="G167" s="51">
        <f>(O166*'AP02'!$P167)/($I$5-A166)</f>
        <v>898.2376781</v>
      </c>
      <c r="H167" s="52">
        <f t="shared" ref="H167:L167" si="216">H166</f>
        <v>0</v>
      </c>
      <c r="I167" s="52">
        <f t="shared" si="216"/>
        <v>0</v>
      </c>
      <c r="J167" s="51">
        <f t="shared" si="216"/>
        <v>25</v>
      </c>
      <c r="K167" s="52">
        <f t="shared" si="216"/>
        <v>0</v>
      </c>
      <c r="L167" s="52">
        <f t="shared" si="216"/>
        <v>0</v>
      </c>
      <c r="M167" s="51">
        <f>SUM('AP02'!$F167:$L167)</f>
        <v>2089.018812</v>
      </c>
      <c r="N167" s="51">
        <f>O166*('AP02'!$P167-1)</f>
        <v>0</v>
      </c>
      <c r="O167" s="51">
        <f>(O166*'AP02'!$P167)-'AP02'!$G167</f>
        <v>185935.1994</v>
      </c>
      <c r="P167" s="53">
        <f t="shared" si="149"/>
        <v>1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56">
        <f t="shared" si="2"/>
        <v>154</v>
      </c>
      <c r="B168" s="50">
        <f t="shared" si="5"/>
        <v>47928</v>
      </c>
      <c r="C168" s="116">
        <f t="shared" si="126"/>
        <v>0.0775</v>
      </c>
      <c r="D168" s="116">
        <f>((1+'AP02'!$C168)^(1/12))-1</f>
        <v>0.006239681461</v>
      </c>
      <c r="E168" s="51">
        <f t="shared" si="127"/>
        <v>2171.261517</v>
      </c>
      <c r="F168" s="51">
        <f>(O167*'AP02'!$P168)*'AP02'!$D168</f>
        <v>1160.176417</v>
      </c>
      <c r="G168" s="51">
        <f>(O167*'AP02'!$P168)/($I$5-A167)</f>
        <v>898.2376781</v>
      </c>
      <c r="H168" s="52">
        <f t="shared" ref="H168:L168" si="217">H167</f>
        <v>0</v>
      </c>
      <c r="I168" s="52">
        <f t="shared" si="217"/>
        <v>0</v>
      </c>
      <c r="J168" s="51">
        <f t="shared" si="217"/>
        <v>25</v>
      </c>
      <c r="K168" s="52">
        <f t="shared" si="217"/>
        <v>0</v>
      </c>
      <c r="L168" s="52">
        <f t="shared" si="217"/>
        <v>0</v>
      </c>
      <c r="M168" s="51">
        <f>SUM('AP02'!$F168:$L168)</f>
        <v>2083.414095</v>
      </c>
      <c r="N168" s="51">
        <f>O167*('AP02'!$P168-1)</f>
        <v>0</v>
      </c>
      <c r="O168" s="51">
        <f>(O167*'AP02'!$P168)-'AP02'!$G168</f>
        <v>185036.9617</v>
      </c>
      <c r="P168" s="53">
        <f t="shared" si="149"/>
        <v>1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56">
        <f t="shared" si="2"/>
        <v>155</v>
      </c>
      <c r="B169" s="50">
        <f t="shared" si="5"/>
        <v>47959</v>
      </c>
      <c r="C169" s="116">
        <f t="shared" si="126"/>
        <v>0.0775</v>
      </c>
      <c r="D169" s="116">
        <f>((1+'AP02'!$C169)^(1/12))-1</f>
        <v>0.006239681461</v>
      </c>
      <c r="E169" s="51">
        <f t="shared" si="127"/>
        <v>2171.261517</v>
      </c>
      <c r="F169" s="51">
        <f>(O168*'AP02'!$P169)*'AP02'!$D169</f>
        <v>1154.5717</v>
      </c>
      <c r="G169" s="51">
        <f>(O168*'AP02'!$P169)/($I$5-A168)</f>
        <v>898.2376781</v>
      </c>
      <c r="H169" s="52">
        <f t="shared" ref="H169:L169" si="218">H168</f>
        <v>0</v>
      </c>
      <c r="I169" s="52">
        <f t="shared" si="218"/>
        <v>0</v>
      </c>
      <c r="J169" s="51">
        <f t="shared" si="218"/>
        <v>25</v>
      </c>
      <c r="K169" s="52">
        <f t="shared" si="218"/>
        <v>0</v>
      </c>
      <c r="L169" s="52">
        <f t="shared" si="218"/>
        <v>0</v>
      </c>
      <c r="M169" s="51">
        <f>SUM('AP02'!$F169:$L169)</f>
        <v>2077.809378</v>
      </c>
      <c r="N169" s="51">
        <f>O168*('AP02'!$P169-1)</f>
        <v>0</v>
      </c>
      <c r="O169" s="51">
        <f>(O168*'AP02'!$P169)-'AP02'!$G169</f>
        <v>184138.724</v>
      </c>
      <c r="P169" s="53">
        <f t="shared" si="149"/>
        <v>1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56">
        <f t="shared" si="2"/>
        <v>156</v>
      </c>
      <c r="B170" s="50">
        <f t="shared" si="5"/>
        <v>47989</v>
      </c>
      <c r="C170" s="116">
        <f t="shared" si="126"/>
        <v>0.0775</v>
      </c>
      <c r="D170" s="116">
        <f>((1+'AP02'!$C170)^(1/12))-1</f>
        <v>0.006239681461</v>
      </c>
      <c r="E170" s="51">
        <f t="shared" si="127"/>
        <v>2171.261517</v>
      </c>
      <c r="F170" s="51">
        <f>(O169*'AP02'!$P170)*'AP02'!$D170</f>
        <v>1148.966983</v>
      </c>
      <c r="G170" s="51">
        <f>(O169*'AP02'!$P170)/($I$5-A169)</f>
        <v>898.2376781</v>
      </c>
      <c r="H170" s="52">
        <f t="shared" ref="H170:L170" si="219">H169</f>
        <v>0</v>
      </c>
      <c r="I170" s="52">
        <f t="shared" si="219"/>
        <v>0</v>
      </c>
      <c r="J170" s="51">
        <f t="shared" si="219"/>
        <v>25</v>
      </c>
      <c r="K170" s="52">
        <f t="shared" si="219"/>
        <v>0</v>
      </c>
      <c r="L170" s="52">
        <f t="shared" si="219"/>
        <v>0</v>
      </c>
      <c r="M170" s="51">
        <f>SUM('AP02'!$F170:$L170)</f>
        <v>2072.204661</v>
      </c>
      <c r="N170" s="51">
        <f>O169*('AP02'!$P170-1)</f>
        <v>0</v>
      </c>
      <c r="O170" s="51">
        <f>(O169*'AP02'!$P170)-'AP02'!$G170</f>
        <v>183240.4863</v>
      </c>
      <c r="P170" s="53">
        <f t="shared" si="149"/>
        <v>1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56">
        <f t="shared" si="2"/>
        <v>157</v>
      </c>
      <c r="B171" s="50">
        <f t="shared" si="5"/>
        <v>48020</v>
      </c>
      <c r="C171" s="116">
        <f t="shared" si="126"/>
        <v>0.0775</v>
      </c>
      <c r="D171" s="116">
        <f>((1+'AP02'!$C171)^(1/12))-1</f>
        <v>0.006239681461</v>
      </c>
      <c r="E171" s="51">
        <f t="shared" si="127"/>
        <v>2171.261517</v>
      </c>
      <c r="F171" s="51">
        <f>(O170*'AP02'!$P171)*'AP02'!$D171</f>
        <v>1143.362266</v>
      </c>
      <c r="G171" s="51">
        <f>(O170*'AP02'!$P171)/($I$5-A170)</f>
        <v>898.2376781</v>
      </c>
      <c r="H171" s="52">
        <f t="shared" ref="H171:L171" si="220">H170</f>
        <v>0</v>
      </c>
      <c r="I171" s="52">
        <f t="shared" si="220"/>
        <v>0</v>
      </c>
      <c r="J171" s="51">
        <f t="shared" si="220"/>
        <v>25</v>
      </c>
      <c r="K171" s="52">
        <f t="shared" si="220"/>
        <v>0</v>
      </c>
      <c r="L171" s="52">
        <f t="shared" si="220"/>
        <v>0</v>
      </c>
      <c r="M171" s="51">
        <f>SUM('AP02'!$F171:$L171)</f>
        <v>2066.599944</v>
      </c>
      <c r="N171" s="51">
        <f>O170*('AP02'!$P171-1)</f>
        <v>0</v>
      </c>
      <c r="O171" s="51">
        <f>(O170*'AP02'!$P171)-'AP02'!$G171</f>
        <v>182342.2487</v>
      </c>
      <c r="P171" s="53">
        <f t="shared" si="149"/>
        <v>1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56">
        <f t="shared" si="2"/>
        <v>158</v>
      </c>
      <c r="B172" s="50">
        <f t="shared" si="5"/>
        <v>48050</v>
      </c>
      <c r="C172" s="116">
        <f t="shared" si="126"/>
        <v>0.0775</v>
      </c>
      <c r="D172" s="116">
        <f>((1+'AP02'!$C172)^(1/12))-1</f>
        <v>0.006239681461</v>
      </c>
      <c r="E172" s="51">
        <f t="shared" si="127"/>
        <v>2171.261517</v>
      </c>
      <c r="F172" s="51">
        <f>(O171*'AP02'!$P172)*'AP02'!$D172</f>
        <v>1137.757549</v>
      </c>
      <c r="G172" s="51">
        <f>(O171*'AP02'!$P172)/($I$5-A171)</f>
        <v>898.2376781</v>
      </c>
      <c r="H172" s="52">
        <f t="shared" ref="H172:L172" si="221">H171</f>
        <v>0</v>
      </c>
      <c r="I172" s="52">
        <f t="shared" si="221"/>
        <v>0</v>
      </c>
      <c r="J172" s="51">
        <f t="shared" si="221"/>
        <v>25</v>
      </c>
      <c r="K172" s="52">
        <f t="shared" si="221"/>
        <v>0</v>
      </c>
      <c r="L172" s="52">
        <f t="shared" si="221"/>
        <v>0</v>
      </c>
      <c r="M172" s="51">
        <f>SUM('AP02'!$F172:$L172)</f>
        <v>2060.995227</v>
      </c>
      <c r="N172" s="51">
        <f>O171*('AP02'!$P172-1)</f>
        <v>0</v>
      </c>
      <c r="O172" s="51">
        <f>(O171*'AP02'!$P172)-'AP02'!$G172</f>
        <v>181444.011</v>
      </c>
      <c r="P172" s="53">
        <f t="shared" si="149"/>
        <v>1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56">
        <f t="shared" si="2"/>
        <v>159</v>
      </c>
      <c r="B173" s="50">
        <f t="shared" si="5"/>
        <v>48081</v>
      </c>
      <c r="C173" s="116">
        <f t="shared" si="126"/>
        <v>0.0775</v>
      </c>
      <c r="D173" s="116">
        <f>((1+'AP02'!$C173)^(1/12))-1</f>
        <v>0.006239681461</v>
      </c>
      <c r="E173" s="51">
        <f t="shared" si="127"/>
        <v>2171.261517</v>
      </c>
      <c r="F173" s="51">
        <f>(O172*'AP02'!$P173)*'AP02'!$D173</f>
        <v>1132.152832</v>
      </c>
      <c r="G173" s="51">
        <f>(O172*'AP02'!$P173)/($I$5-A172)</f>
        <v>898.2376781</v>
      </c>
      <c r="H173" s="52">
        <f t="shared" ref="H173:L173" si="222">H172</f>
        <v>0</v>
      </c>
      <c r="I173" s="52">
        <f t="shared" si="222"/>
        <v>0</v>
      </c>
      <c r="J173" s="51">
        <f t="shared" si="222"/>
        <v>25</v>
      </c>
      <c r="K173" s="52">
        <f t="shared" si="222"/>
        <v>0</v>
      </c>
      <c r="L173" s="52">
        <f t="shared" si="222"/>
        <v>0</v>
      </c>
      <c r="M173" s="51">
        <f>SUM('AP02'!$F173:$L173)</f>
        <v>2055.39051</v>
      </c>
      <c r="N173" s="51">
        <f>O172*('AP02'!$P173-1)</f>
        <v>0</v>
      </c>
      <c r="O173" s="51">
        <f>(O172*'AP02'!$P173)-'AP02'!$G173</f>
        <v>180545.7733</v>
      </c>
      <c r="P173" s="53">
        <f t="shared" si="149"/>
        <v>1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56">
        <f t="shared" si="2"/>
        <v>160</v>
      </c>
      <c r="B174" s="50">
        <f t="shared" si="5"/>
        <v>48112</v>
      </c>
      <c r="C174" s="116">
        <f t="shared" si="126"/>
        <v>0.0775</v>
      </c>
      <c r="D174" s="116">
        <f>((1+'AP02'!$C174)^(1/12))-1</f>
        <v>0.006239681461</v>
      </c>
      <c r="E174" s="51">
        <f t="shared" si="127"/>
        <v>2171.261517</v>
      </c>
      <c r="F174" s="51">
        <f>(O173*'AP02'!$P174)*'AP02'!$D174</f>
        <v>1126.548115</v>
      </c>
      <c r="G174" s="51">
        <f>(O173*'AP02'!$P174)/($I$5-A173)</f>
        <v>898.2376781</v>
      </c>
      <c r="H174" s="52">
        <f t="shared" ref="H174:L174" si="223">H173</f>
        <v>0</v>
      </c>
      <c r="I174" s="52">
        <f t="shared" si="223"/>
        <v>0</v>
      </c>
      <c r="J174" s="51">
        <f t="shared" si="223"/>
        <v>25</v>
      </c>
      <c r="K174" s="52">
        <f t="shared" si="223"/>
        <v>0</v>
      </c>
      <c r="L174" s="52">
        <f t="shared" si="223"/>
        <v>0</v>
      </c>
      <c r="M174" s="51">
        <f>SUM('AP02'!$F174:$L174)</f>
        <v>2049.785793</v>
      </c>
      <c r="N174" s="51">
        <f>O173*('AP02'!$P174-1)</f>
        <v>0</v>
      </c>
      <c r="O174" s="51">
        <f>(O173*'AP02'!$P174)-'AP02'!$G174</f>
        <v>179647.5356</v>
      </c>
      <c r="P174" s="53">
        <f t="shared" si="149"/>
        <v>1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56">
        <f t="shared" si="2"/>
        <v>161</v>
      </c>
      <c r="B175" s="50">
        <f t="shared" si="5"/>
        <v>48142</v>
      </c>
      <c r="C175" s="116">
        <f t="shared" si="126"/>
        <v>0.0775</v>
      </c>
      <c r="D175" s="116">
        <f>((1+'AP02'!$C175)^(1/12))-1</f>
        <v>0.006239681461</v>
      </c>
      <c r="E175" s="51">
        <f t="shared" si="127"/>
        <v>2171.261517</v>
      </c>
      <c r="F175" s="51">
        <f>(O174*'AP02'!$P175)*'AP02'!$D175</f>
        <v>1120.943398</v>
      </c>
      <c r="G175" s="51">
        <f>(O174*'AP02'!$P175)/($I$5-A174)</f>
        <v>898.2376781</v>
      </c>
      <c r="H175" s="52">
        <f t="shared" ref="H175:L175" si="224">H174</f>
        <v>0</v>
      </c>
      <c r="I175" s="52">
        <f t="shared" si="224"/>
        <v>0</v>
      </c>
      <c r="J175" s="51">
        <f t="shared" si="224"/>
        <v>25</v>
      </c>
      <c r="K175" s="52">
        <f t="shared" si="224"/>
        <v>0</v>
      </c>
      <c r="L175" s="52">
        <f t="shared" si="224"/>
        <v>0</v>
      </c>
      <c r="M175" s="51">
        <f>SUM('AP02'!$F175:$L175)</f>
        <v>2044.181076</v>
      </c>
      <c r="N175" s="51">
        <f>O174*('AP02'!$P175-1)</f>
        <v>0</v>
      </c>
      <c r="O175" s="51">
        <f>(O174*'AP02'!$P175)-'AP02'!$G175</f>
        <v>178749.298</v>
      </c>
      <c r="P175" s="53">
        <f t="shared" si="149"/>
        <v>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56">
        <f t="shared" si="2"/>
        <v>162</v>
      </c>
      <c r="B176" s="50">
        <f t="shared" si="5"/>
        <v>48173</v>
      </c>
      <c r="C176" s="116">
        <f t="shared" si="126"/>
        <v>0.0775</v>
      </c>
      <c r="D176" s="116">
        <f>((1+'AP02'!$C176)^(1/12))-1</f>
        <v>0.006239681461</v>
      </c>
      <c r="E176" s="51">
        <f t="shared" si="127"/>
        <v>2171.261517</v>
      </c>
      <c r="F176" s="51">
        <f>(O175*'AP02'!$P176)*'AP02'!$D176</f>
        <v>1115.338681</v>
      </c>
      <c r="G176" s="51">
        <f>(O175*'AP02'!$P176)/($I$5-A175)</f>
        <v>898.2376781</v>
      </c>
      <c r="H176" s="52">
        <f t="shared" ref="H176:L176" si="225">H175</f>
        <v>0</v>
      </c>
      <c r="I176" s="52">
        <f t="shared" si="225"/>
        <v>0</v>
      </c>
      <c r="J176" s="51">
        <f t="shared" si="225"/>
        <v>25</v>
      </c>
      <c r="K176" s="52">
        <f t="shared" si="225"/>
        <v>0</v>
      </c>
      <c r="L176" s="52">
        <f t="shared" si="225"/>
        <v>0</v>
      </c>
      <c r="M176" s="51">
        <f>SUM('AP02'!$F176:$L176)</f>
        <v>2038.576359</v>
      </c>
      <c r="N176" s="51">
        <f>O175*('AP02'!$P176-1)</f>
        <v>0</v>
      </c>
      <c r="O176" s="51">
        <f>(O175*'AP02'!$P176)-'AP02'!$G176</f>
        <v>177851.0603</v>
      </c>
      <c r="P176" s="53">
        <f t="shared" si="149"/>
        <v>1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56">
        <f t="shared" si="2"/>
        <v>163</v>
      </c>
      <c r="B177" s="50">
        <f t="shared" si="5"/>
        <v>48203</v>
      </c>
      <c r="C177" s="116">
        <f t="shared" si="126"/>
        <v>0.0775</v>
      </c>
      <c r="D177" s="116">
        <f>((1+'AP02'!$C177)^(1/12))-1</f>
        <v>0.006239681461</v>
      </c>
      <c r="E177" s="51">
        <f t="shared" si="127"/>
        <v>2171.261517</v>
      </c>
      <c r="F177" s="51">
        <f>(O176*'AP02'!$P177)*'AP02'!$D177</f>
        <v>1109.733964</v>
      </c>
      <c r="G177" s="51">
        <f>(O176*'AP02'!$P177)/($I$5-A176)</f>
        <v>898.2376781</v>
      </c>
      <c r="H177" s="52">
        <f t="shared" ref="H177:L177" si="226">H176</f>
        <v>0</v>
      </c>
      <c r="I177" s="52">
        <f t="shared" si="226"/>
        <v>0</v>
      </c>
      <c r="J177" s="51">
        <f t="shared" si="226"/>
        <v>25</v>
      </c>
      <c r="K177" s="52">
        <f t="shared" si="226"/>
        <v>0</v>
      </c>
      <c r="L177" s="52">
        <f t="shared" si="226"/>
        <v>0</v>
      </c>
      <c r="M177" s="51">
        <f>SUM('AP02'!$F177:$L177)</f>
        <v>2032.971642</v>
      </c>
      <c r="N177" s="51">
        <f>O176*('AP02'!$P177-1)</f>
        <v>0</v>
      </c>
      <c r="O177" s="51">
        <f>(O176*'AP02'!$P177)-'AP02'!$G177</f>
        <v>176952.8226</v>
      </c>
      <c r="P177" s="53">
        <f t="shared" si="149"/>
        <v>1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56">
        <f t="shared" si="2"/>
        <v>164</v>
      </c>
      <c r="B178" s="50">
        <f t="shared" si="5"/>
        <v>48234</v>
      </c>
      <c r="C178" s="116">
        <f t="shared" si="126"/>
        <v>0.0775</v>
      </c>
      <c r="D178" s="116">
        <f>((1+'AP02'!$C178)^(1/12))-1</f>
        <v>0.006239681461</v>
      </c>
      <c r="E178" s="51">
        <f t="shared" si="127"/>
        <v>2171.261517</v>
      </c>
      <c r="F178" s="51">
        <f>(O177*'AP02'!$P178)*'AP02'!$D178</f>
        <v>1104.129247</v>
      </c>
      <c r="G178" s="51">
        <f>(O177*'AP02'!$P178)/($I$5-A177)</f>
        <v>898.2376781</v>
      </c>
      <c r="H178" s="52">
        <f t="shared" ref="H178:L178" si="227">H177</f>
        <v>0</v>
      </c>
      <c r="I178" s="52">
        <f t="shared" si="227"/>
        <v>0</v>
      </c>
      <c r="J178" s="51">
        <f t="shared" si="227"/>
        <v>25</v>
      </c>
      <c r="K178" s="52">
        <f t="shared" si="227"/>
        <v>0</v>
      </c>
      <c r="L178" s="52">
        <f t="shared" si="227"/>
        <v>0</v>
      </c>
      <c r="M178" s="51">
        <f>SUM('AP02'!$F178:$L178)</f>
        <v>2027.366925</v>
      </c>
      <c r="N178" s="51">
        <f>O177*('AP02'!$P178-1)</f>
        <v>0</v>
      </c>
      <c r="O178" s="51">
        <f>(O177*'AP02'!$P178)-'AP02'!$G178</f>
        <v>176054.5849</v>
      </c>
      <c r="P178" s="53">
        <f t="shared" si="149"/>
        <v>1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56">
        <f t="shared" si="2"/>
        <v>165</v>
      </c>
      <c r="B179" s="50">
        <f t="shared" si="5"/>
        <v>48265</v>
      </c>
      <c r="C179" s="116">
        <f t="shared" si="126"/>
        <v>0.0775</v>
      </c>
      <c r="D179" s="116">
        <f>((1+'AP02'!$C179)^(1/12))-1</f>
        <v>0.006239681461</v>
      </c>
      <c r="E179" s="51">
        <f t="shared" si="127"/>
        <v>2171.261517</v>
      </c>
      <c r="F179" s="51">
        <f>(O178*'AP02'!$P179)*'AP02'!$D179</f>
        <v>1098.52453</v>
      </c>
      <c r="G179" s="51">
        <f>(O178*'AP02'!$P179)/($I$5-A178)</f>
        <v>898.2376781</v>
      </c>
      <c r="H179" s="52">
        <f t="shared" ref="H179:L179" si="228">H178</f>
        <v>0</v>
      </c>
      <c r="I179" s="52">
        <f t="shared" si="228"/>
        <v>0</v>
      </c>
      <c r="J179" s="51">
        <f t="shared" si="228"/>
        <v>25</v>
      </c>
      <c r="K179" s="52">
        <f t="shared" si="228"/>
        <v>0</v>
      </c>
      <c r="L179" s="52">
        <f t="shared" si="228"/>
        <v>0</v>
      </c>
      <c r="M179" s="51">
        <f>SUM('AP02'!$F179:$L179)</f>
        <v>2021.762208</v>
      </c>
      <c r="N179" s="51">
        <f>O178*('AP02'!$P179-1)</f>
        <v>0</v>
      </c>
      <c r="O179" s="51">
        <f>(O178*'AP02'!$P179)-'AP02'!$G179</f>
        <v>175156.3472</v>
      </c>
      <c r="P179" s="53">
        <f t="shared" si="149"/>
        <v>1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56">
        <f t="shared" si="2"/>
        <v>166</v>
      </c>
      <c r="B180" s="50">
        <f t="shared" si="5"/>
        <v>48294</v>
      </c>
      <c r="C180" s="116">
        <f t="shared" si="126"/>
        <v>0.0775</v>
      </c>
      <c r="D180" s="116">
        <f>((1+'AP02'!$C180)^(1/12))-1</f>
        <v>0.006239681461</v>
      </c>
      <c r="E180" s="51">
        <f t="shared" si="127"/>
        <v>2171.261517</v>
      </c>
      <c r="F180" s="51">
        <f>(O179*'AP02'!$P180)*'AP02'!$D180</f>
        <v>1092.919813</v>
      </c>
      <c r="G180" s="51">
        <f>(O179*'AP02'!$P180)/($I$5-A179)</f>
        <v>898.2376781</v>
      </c>
      <c r="H180" s="52">
        <f t="shared" ref="H180:L180" si="229">H179</f>
        <v>0</v>
      </c>
      <c r="I180" s="52">
        <f t="shared" si="229"/>
        <v>0</v>
      </c>
      <c r="J180" s="51">
        <f t="shared" si="229"/>
        <v>25</v>
      </c>
      <c r="K180" s="52">
        <f t="shared" si="229"/>
        <v>0</v>
      </c>
      <c r="L180" s="52">
        <f t="shared" si="229"/>
        <v>0</v>
      </c>
      <c r="M180" s="51">
        <f>SUM('AP02'!$F180:$L180)</f>
        <v>2016.157491</v>
      </c>
      <c r="N180" s="51">
        <f>O179*('AP02'!$P180-1)</f>
        <v>0</v>
      </c>
      <c r="O180" s="51">
        <f>(O179*'AP02'!$P180)-'AP02'!$G180</f>
        <v>174258.1096</v>
      </c>
      <c r="P180" s="53">
        <f t="shared" si="149"/>
        <v>1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56">
        <f t="shared" si="2"/>
        <v>167</v>
      </c>
      <c r="B181" s="50">
        <f t="shared" si="5"/>
        <v>48325</v>
      </c>
      <c r="C181" s="116">
        <f t="shared" si="126"/>
        <v>0.0775</v>
      </c>
      <c r="D181" s="116">
        <f>((1+'AP02'!$C181)^(1/12))-1</f>
        <v>0.006239681461</v>
      </c>
      <c r="E181" s="51">
        <f t="shared" si="127"/>
        <v>2171.261517</v>
      </c>
      <c r="F181" s="51">
        <f>(O180*'AP02'!$P181)*'AP02'!$D181</f>
        <v>1087.315096</v>
      </c>
      <c r="G181" s="51">
        <f>(O180*'AP02'!$P181)/($I$5-A180)</f>
        <v>898.2376781</v>
      </c>
      <c r="H181" s="52">
        <f t="shared" ref="H181:L181" si="230">H180</f>
        <v>0</v>
      </c>
      <c r="I181" s="52">
        <f t="shared" si="230"/>
        <v>0</v>
      </c>
      <c r="J181" s="51">
        <f t="shared" si="230"/>
        <v>25</v>
      </c>
      <c r="K181" s="52">
        <f t="shared" si="230"/>
        <v>0</v>
      </c>
      <c r="L181" s="52">
        <f t="shared" si="230"/>
        <v>0</v>
      </c>
      <c r="M181" s="51">
        <f>SUM('AP02'!$F181:$L181)</f>
        <v>2010.552774</v>
      </c>
      <c r="N181" s="51">
        <f>O180*('AP02'!$P181-1)</f>
        <v>0</v>
      </c>
      <c r="O181" s="51">
        <f>(O180*'AP02'!$P181)-'AP02'!$G181</f>
        <v>173359.8719</v>
      </c>
      <c r="P181" s="53">
        <f t="shared" si="149"/>
        <v>1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56">
        <f t="shared" si="2"/>
        <v>168</v>
      </c>
      <c r="B182" s="50">
        <f t="shared" si="5"/>
        <v>48355</v>
      </c>
      <c r="C182" s="116">
        <f t="shared" si="126"/>
        <v>0.0775</v>
      </c>
      <c r="D182" s="116">
        <f>((1+'AP02'!$C182)^(1/12))-1</f>
        <v>0.006239681461</v>
      </c>
      <c r="E182" s="51">
        <f t="shared" si="127"/>
        <v>2171.261517</v>
      </c>
      <c r="F182" s="51">
        <f>(O181*'AP02'!$P182)*'AP02'!$D182</f>
        <v>1081.710379</v>
      </c>
      <c r="G182" s="51">
        <f>(O181*'AP02'!$P182)/($I$5-A181)</f>
        <v>898.2376781</v>
      </c>
      <c r="H182" s="52">
        <f t="shared" ref="H182:L182" si="231">H181</f>
        <v>0</v>
      </c>
      <c r="I182" s="52">
        <f t="shared" si="231"/>
        <v>0</v>
      </c>
      <c r="J182" s="51">
        <f t="shared" si="231"/>
        <v>25</v>
      </c>
      <c r="K182" s="52">
        <f t="shared" si="231"/>
        <v>0</v>
      </c>
      <c r="L182" s="52">
        <f t="shared" si="231"/>
        <v>0</v>
      </c>
      <c r="M182" s="51">
        <f>SUM('AP02'!$F182:$L182)</f>
        <v>2004.948057</v>
      </c>
      <c r="N182" s="51">
        <f>O181*('AP02'!$P182-1)</f>
        <v>0</v>
      </c>
      <c r="O182" s="51">
        <f>(O181*'AP02'!$P182)-'AP02'!$G182</f>
        <v>172461.6342</v>
      </c>
      <c r="P182" s="53">
        <f t="shared" si="149"/>
        <v>1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56">
        <f t="shared" si="2"/>
        <v>169</v>
      </c>
      <c r="B183" s="50">
        <f t="shared" si="5"/>
        <v>48386</v>
      </c>
      <c r="C183" s="116">
        <f t="shared" si="126"/>
        <v>0.0775</v>
      </c>
      <c r="D183" s="116">
        <f>((1+'AP02'!$C183)^(1/12))-1</f>
        <v>0.006239681461</v>
      </c>
      <c r="E183" s="51">
        <f t="shared" si="127"/>
        <v>2171.261517</v>
      </c>
      <c r="F183" s="51">
        <f>(O182*'AP02'!$P183)*'AP02'!$D183</f>
        <v>1076.105662</v>
      </c>
      <c r="G183" s="51">
        <f>(O182*'AP02'!$P183)/($I$5-A182)</f>
        <v>898.2376781</v>
      </c>
      <c r="H183" s="52">
        <f t="shared" ref="H183:L183" si="232">H182</f>
        <v>0</v>
      </c>
      <c r="I183" s="52">
        <f t="shared" si="232"/>
        <v>0</v>
      </c>
      <c r="J183" s="51">
        <f t="shared" si="232"/>
        <v>25</v>
      </c>
      <c r="K183" s="52">
        <f t="shared" si="232"/>
        <v>0</v>
      </c>
      <c r="L183" s="52">
        <f t="shared" si="232"/>
        <v>0</v>
      </c>
      <c r="M183" s="51">
        <f>SUM('AP02'!$F183:$L183)</f>
        <v>1999.34334</v>
      </c>
      <c r="N183" s="51">
        <f>O182*('AP02'!$P183-1)</f>
        <v>0</v>
      </c>
      <c r="O183" s="51">
        <f>(O182*'AP02'!$P183)-'AP02'!$G183</f>
        <v>171563.3965</v>
      </c>
      <c r="P183" s="53">
        <f t="shared" si="149"/>
        <v>1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56">
        <f t="shared" si="2"/>
        <v>170</v>
      </c>
      <c r="B184" s="50">
        <f t="shared" si="5"/>
        <v>48416</v>
      </c>
      <c r="C184" s="116">
        <f t="shared" si="126"/>
        <v>0.0775</v>
      </c>
      <c r="D184" s="116">
        <f>((1+'AP02'!$C184)^(1/12))-1</f>
        <v>0.006239681461</v>
      </c>
      <c r="E184" s="51">
        <f t="shared" si="127"/>
        <v>2171.261517</v>
      </c>
      <c r="F184" s="51">
        <f>(O183*'AP02'!$P184)*'AP02'!$D184</f>
        <v>1070.500945</v>
      </c>
      <c r="G184" s="51">
        <f>(O183*'AP02'!$P184)/($I$5-A183)</f>
        <v>898.2376781</v>
      </c>
      <c r="H184" s="52">
        <f t="shared" ref="H184:L184" si="233">H183</f>
        <v>0</v>
      </c>
      <c r="I184" s="52">
        <f t="shared" si="233"/>
        <v>0</v>
      </c>
      <c r="J184" s="51">
        <f t="shared" si="233"/>
        <v>25</v>
      </c>
      <c r="K184" s="52">
        <f t="shared" si="233"/>
        <v>0</v>
      </c>
      <c r="L184" s="52">
        <f t="shared" si="233"/>
        <v>0</v>
      </c>
      <c r="M184" s="51">
        <f>SUM('AP02'!$F184:$L184)</f>
        <v>1993.738623</v>
      </c>
      <c r="N184" s="51">
        <f>O183*('AP02'!$P184-1)</f>
        <v>0</v>
      </c>
      <c r="O184" s="51">
        <f>(O183*'AP02'!$P184)-'AP02'!$G184</f>
        <v>170665.1588</v>
      </c>
      <c r="P184" s="53">
        <f t="shared" si="149"/>
        <v>1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56">
        <f t="shared" si="2"/>
        <v>171</v>
      </c>
      <c r="B185" s="50">
        <f t="shared" si="5"/>
        <v>48447</v>
      </c>
      <c r="C185" s="116">
        <f t="shared" si="126"/>
        <v>0.0775</v>
      </c>
      <c r="D185" s="116">
        <f>((1+'AP02'!$C185)^(1/12))-1</f>
        <v>0.006239681461</v>
      </c>
      <c r="E185" s="51">
        <f t="shared" si="127"/>
        <v>2171.261517</v>
      </c>
      <c r="F185" s="51">
        <f>(O184*'AP02'!$P185)*'AP02'!$D185</f>
        <v>1064.896228</v>
      </c>
      <c r="G185" s="51">
        <f>(O184*'AP02'!$P185)/($I$5-A184)</f>
        <v>898.2376781</v>
      </c>
      <c r="H185" s="52">
        <f t="shared" ref="H185:L185" si="234">H184</f>
        <v>0</v>
      </c>
      <c r="I185" s="52">
        <f t="shared" si="234"/>
        <v>0</v>
      </c>
      <c r="J185" s="51">
        <f t="shared" si="234"/>
        <v>25</v>
      </c>
      <c r="K185" s="52">
        <f t="shared" si="234"/>
        <v>0</v>
      </c>
      <c r="L185" s="52">
        <f t="shared" si="234"/>
        <v>0</v>
      </c>
      <c r="M185" s="51">
        <f>SUM('AP02'!$F185:$L185)</f>
        <v>1988.133906</v>
      </c>
      <c r="N185" s="51">
        <f>O184*('AP02'!$P185-1)</f>
        <v>0</v>
      </c>
      <c r="O185" s="51">
        <f>(O184*'AP02'!$P185)-'AP02'!$G185</f>
        <v>169766.9212</v>
      </c>
      <c r="P185" s="53">
        <f t="shared" si="149"/>
        <v>1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56">
        <f t="shared" si="2"/>
        <v>172</v>
      </c>
      <c r="B186" s="50">
        <f t="shared" si="5"/>
        <v>48478</v>
      </c>
      <c r="C186" s="116">
        <f t="shared" si="126"/>
        <v>0.0775</v>
      </c>
      <c r="D186" s="116">
        <f>((1+'AP02'!$C186)^(1/12))-1</f>
        <v>0.006239681461</v>
      </c>
      <c r="E186" s="51">
        <f t="shared" si="127"/>
        <v>2171.261517</v>
      </c>
      <c r="F186" s="51">
        <f>(O185*'AP02'!$P186)*'AP02'!$D186</f>
        <v>1059.291511</v>
      </c>
      <c r="G186" s="51">
        <f>(O185*'AP02'!$P186)/($I$5-A185)</f>
        <v>898.2376781</v>
      </c>
      <c r="H186" s="52">
        <f t="shared" ref="H186:L186" si="235">H185</f>
        <v>0</v>
      </c>
      <c r="I186" s="52">
        <f t="shared" si="235"/>
        <v>0</v>
      </c>
      <c r="J186" s="51">
        <f t="shared" si="235"/>
        <v>25</v>
      </c>
      <c r="K186" s="52">
        <f t="shared" si="235"/>
        <v>0</v>
      </c>
      <c r="L186" s="52">
        <f t="shared" si="235"/>
        <v>0</v>
      </c>
      <c r="M186" s="51">
        <f>SUM('AP02'!$F186:$L186)</f>
        <v>1982.529189</v>
      </c>
      <c r="N186" s="51">
        <f>O185*('AP02'!$P186-1)</f>
        <v>0</v>
      </c>
      <c r="O186" s="51">
        <f>(O185*'AP02'!$P186)-'AP02'!$G186</f>
        <v>168868.6835</v>
      </c>
      <c r="P186" s="53">
        <f t="shared" si="149"/>
        <v>1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56">
        <f t="shared" si="2"/>
        <v>173</v>
      </c>
      <c r="B187" s="50">
        <f t="shared" si="5"/>
        <v>48508</v>
      </c>
      <c r="C187" s="116">
        <f t="shared" si="126"/>
        <v>0.0775</v>
      </c>
      <c r="D187" s="116">
        <f>((1+'AP02'!$C187)^(1/12))-1</f>
        <v>0.006239681461</v>
      </c>
      <c r="E187" s="51">
        <f t="shared" si="127"/>
        <v>2171.261517</v>
      </c>
      <c r="F187" s="51">
        <f>(O186*'AP02'!$P187)*'AP02'!$D187</f>
        <v>1053.686794</v>
      </c>
      <c r="G187" s="51">
        <f>(O186*'AP02'!$P187)/($I$5-A186)</f>
        <v>898.2376781</v>
      </c>
      <c r="H187" s="52">
        <f t="shared" ref="H187:L187" si="236">H186</f>
        <v>0</v>
      </c>
      <c r="I187" s="52">
        <f t="shared" si="236"/>
        <v>0</v>
      </c>
      <c r="J187" s="51">
        <f t="shared" si="236"/>
        <v>25</v>
      </c>
      <c r="K187" s="52">
        <f t="shared" si="236"/>
        <v>0</v>
      </c>
      <c r="L187" s="52">
        <f t="shared" si="236"/>
        <v>0</v>
      </c>
      <c r="M187" s="51">
        <f>SUM('AP02'!$F187:$L187)</f>
        <v>1976.924472</v>
      </c>
      <c r="N187" s="51">
        <f>O186*('AP02'!$P187-1)</f>
        <v>0</v>
      </c>
      <c r="O187" s="51">
        <f>(O186*'AP02'!$P187)-'AP02'!$G187</f>
        <v>167970.4458</v>
      </c>
      <c r="P187" s="53">
        <f t="shared" si="149"/>
        <v>1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56">
        <f t="shared" si="2"/>
        <v>174</v>
      </c>
      <c r="B188" s="50">
        <f t="shared" si="5"/>
        <v>48539</v>
      </c>
      <c r="C188" s="116">
        <f t="shared" si="126"/>
        <v>0.0775</v>
      </c>
      <c r="D188" s="116">
        <f>((1+'AP02'!$C188)^(1/12))-1</f>
        <v>0.006239681461</v>
      </c>
      <c r="E188" s="51">
        <f t="shared" si="127"/>
        <v>2171.261517</v>
      </c>
      <c r="F188" s="51">
        <f>(O187*'AP02'!$P188)*'AP02'!$D188</f>
        <v>1048.082077</v>
      </c>
      <c r="G188" s="51">
        <f>(O187*'AP02'!$P188)/($I$5-A187)</f>
        <v>898.2376781</v>
      </c>
      <c r="H188" s="52">
        <f t="shared" ref="H188:L188" si="237">H187</f>
        <v>0</v>
      </c>
      <c r="I188" s="52">
        <f t="shared" si="237"/>
        <v>0</v>
      </c>
      <c r="J188" s="51">
        <f t="shared" si="237"/>
        <v>25</v>
      </c>
      <c r="K188" s="52">
        <f t="shared" si="237"/>
        <v>0</v>
      </c>
      <c r="L188" s="52">
        <f t="shared" si="237"/>
        <v>0</v>
      </c>
      <c r="M188" s="51">
        <f>SUM('AP02'!$F188:$L188)</f>
        <v>1971.319755</v>
      </c>
      <c r="N188" s="51">
        <f>O187*('AP02'!$P188-1)</f>
        <v>0</v>
      </c>
      <c r="O188" s="51">
        <f>(O187*'AP02'!$P188)-'AP02'!$G188</f>
        <v>167072.2081</v>
      </c>
      <c r="P188" s="53">
        <f t="shared" si="149"/>
        <v>1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56">
        <f t="shared" si="2"/>
        <v>175</v>
      </c>
      <c r="B189" s="50">
        <f t="shared" si="5"/>
        <v>48569</v>
      </c>
      <c r="C189" s="116">
        <f t="shared" si="126"/>
        <v>0.0775</v>
      </c>
      <c r="D189" s="116">
        <f>((1+'AP02'!$C189)^(1/12))-1</f>
        <v>0.006239681461</v>
      </c>
      <c r="E189" s="51">
        <f t="shared" si="127"/>
        <v>2171.261517</v>
      </c>
      <c r="F189" s="51">
        <f>(O188*'AP02'!$P189)*'AP02'!$D189</f>
        <v>1042.47736</v>
      </c>
      <c r="G189" s="51">
        <f>(O188*'AP02'!$P189)/($I$5-A188)</f>
        <v>898.2376781</v>
      </c>
      <c r="H189" s="52">
        <f t="shared" ref="H189:L189" si="238">H188</f>
        <v>0</v>
      </c>
      <c r="I189" s="52">
        <f t="shared" si="238"/>
        <v>0</v>
      </c>
      <c r="J189" s="51">
        <f t="shared" si="238"/>
        <v>25</v>
      </c>
      <c r="K189" s="52">
        <f t="shared" si="238"/>
        <v>0</v>
      </c>
      <c r="L189" s="52">
        <f t="shared" si="238"/>
        <v>0</v>
      </c>
      <c r="M189" s="51">
        <f>SUM('AP02'!$F189:$L189)</f>
        <v>1965.715038</v>
      </c>
      <c r="N189" s="51">
        <f>O188*('AP02'!$P189-1)</f>
        <v>0</v>
      </c>
      <c r="O189" s="51">
        <f>(O188*'AP02'!$P189)-'AP02'!$G189</f>
        <v>166173.9705</v>
      </c>
      <c r="P189" s="53">
        <f t="shared" si="149"/>
        <v>1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56">
        <f t="shared" si="2"/>
        <v>176</v>
      </c>
      <c r="B190" s="50">
        <f t="shared" si="5"/>
        <v>48600</v>
      </c>
      <c r="C190" s="116">
        <f t="shared" si="126"/>
        <v>0.0775</v>
      </c>
      <c r="D190" s="116">
        <f>((1+'AP02'!$C190)^(1/12))-1</f>
        <v>0.006239681461</v>
      </c>
      <c r="E190" s="51">
        <f t="shared" si="127"/>
        <v>2171.261517</v>
      </c>
      <c r="F190" s="51">
        <f>(O189*'AP02'!$P190)*'AP02'!$D190</f>
        <v>1036.872643</v>
      </c>
      <c r="G190" s="51">
        <f>(O189*'AP02'!$P190)/($I$5-A189)</f>
        <v>898.2376781</v>
      </c>
      <c r="H190" s="52">
        <f t="shared" ref="H190:L190" si="239">H189</f>
        <v>0</v>
      </c>
      <c r="I190" s="52">
        <f t="shared" si="239"/>
        <v>0</v>
      </c>
      <c r="J190" s="51">
        <f t="shared" si="239"/>
        <v>25</v>
      </c>
      <c r="K190" s="52">
        <f t="shared" si="239"/>
        <v>0</v>
      </c>
      <c r="L190" s="52">
        <f t="shared" si="239"/>
        <v>0</v>
      </c>
      <c r="M190" s="51">
        <f>SUM('AP02'!$F190:$L190)</f>
        <v>1960.110321</v>
      </c>
      <c r="N190" s="51">
        <f>O189*('AP02'!$P190-1)</f>
        <v>0</v>
      </c>
      <c r="O190" s="51">
        <f>(O189*'AP02'!$P190)-'AP02'!$G190</f>
        <v>165275.7328</v>
      </c>
      <c r="P190" s="53">
        <f t="shared" si="149"/>
        <v>1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56">
        <f t="shared" si="2"/>
        <v>177</v>
      </c>
      <c r="B191" s="50">
        <f t="shared" si="5"/>
        <v>48631</v>
      </c>
      <c r="C191" s="116">
        <f t="shared" si="126"/>
        <v>0.0775</v>
      </c>
      <c r="D191" s="116">
        <f>((1+'AP02'!$C191)^(1/12))-1</f>
        <v>0.006239681461</v>
      </c>
      <c r="E191" s="51">
        <f t="shared" si="127"/>
        <v>2171.261517</v>
      </c>
      <c r="F191" s="51">
        <f>(O190*'AP02'!$P191)*'AP02'!$D191</f>
        <v>1031.267926</v>
      </c>
      <c r="G191" s="51">
        <f>(O190*'AP02'!$P191)/($I$5-A190)</f>
        <v>898.2376781</v>
      </c>
      <c r="H191" s="52">
        <f t="shared" ref="H191:L191" si="240">H190</f>
        <v>0</v>
      </c>
      <c r="I191" s="52">
        <f t="shared" si="240"/>
        <v>0</v>
      </c>
      <c r="J191" s="51">
        <f t="shared" si="240"/>
        <v>25</v>
      </c>
      <c r="K191" s="52">
        <f t="shared" si="240"/>
        <v>0</v>
      </c>
      <c r="L191" s="52">
        <f t="shared" si="240"/>
        <v>0</v>
      </c>
      <c r="M191" s="51">
        <f>SUM('AP02'!$F191:$L191)</f>
        <v>1954.505604</v>
      </c>
      <c r="N191" s="51">
        <f>O190*('AP02'!$P191-1)</f>
        <v>0</v>
      </c>
      <c r="O191" s="51">
        <f>(O190*'AP02'!$P191)-'AP02'!$G191</f>
        <v>164377.4951</v>
      </c>
      <c r="P191" s="53">
        <f t="shared" si="149"/>
        <v>1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56">
        <f t="shared" si="2"/>
        <v>178</v>
      </c>
      <c r="B192" s="50">
        <f t="shared" si="5"/>
        <v>48659</v>
      </c>
      <c r="C192" s="116">
        <f t="shared" si="126"/>
        <v>0.0775</v>
      </c>
      <c r="D192" s="116">
        <f>((1+'AP02'!$C192)^(1/12))-1</f>
        <v>0.006239681461</v>
      </c>
      <c r="E192" s="51">
        <f t="shared" si="127"/>
        <v>2171.261517</v>
      </c>
      <c r="F192" s="51">
        <f>(O191*'AP02'!$P192)*'AP02'!$D192</f>
        <v>1025.663209</v>
      </c>
      <c r="G192" s="51">
        <f>(O191*'AP02'!$P192)/($I$5-A191)</f>
        <v>898.2376781</v>
      </c>
      <c r="H192" s="52">
        <f t="shared" ref="H192:L192" si="241">H191</f>
        <v>0</v>
      </c>
      <c r="I192" s="52">
        <f t="shared" si="241"/>
        <v>0</v>
      </c>
      <c r="J192" s="51">
        <f t="shared" si="241"/>
        <v>25</v>
      </c>
      <c r="K192" s="52">
        <f t="shared" si="241"/>
        <v>0</v>
      </c>
      <c r="L192" s="52">
        <f t="shared" si="241"/>
        <v>0</v>
      </c>
      <c r="M192" s="51">
        <f>SUM('AP02'!$F192:$L192)</f>
        <v>1948.900887</v>
      </c>
      <c r="N192" s="51">
        <f>O191*('AP02'!$P192-1)</f>
        <v>0</v>
      </c>
      <c r="O192" s="51">
        <f>(O191*'AP02'!$P192)-'AP02'!$G192</f>
        <v>163479.2574</v>
      </c>
      <c r="P192" s="53">
        <f t="shared" si="149"/>
        <v>1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56">
        <f t="shared" si="2"/>
        <v>179</v>
      </c>
      <c r="B193" s="50">
        <f t="shared" si="5"/>
        <v>48690</v>
      </c>
      <c r="C193" s="116">
        <f t="shared" si="126"/>
        <v>0.0775</v>
      </c>
      <c r="D193" s="116">
        <f>((1+'AP02'!$C193)^(1/12))-1</f>
        <v>0.006239681461</v>
      </c>
      <c r="E193" s="51">
        <f t="shared" si="127"/>
        <v>2171.261517</v>
      </c>
      <c r="F193" s="51">
        <f>(O192*'AP02'!$P193)*'AP02'!$D193</f>
        <v>1020.058492</v>
      </c>
      <c r="G193" s="51">
        <f>(O192*'AP02'!$P193)/($I$5-A192)</f>
        <v>898.2376781</v>
      </c>
      <c r="H193" s="52">
        <f t="shared" ref="H193:L193" si="242">H192</f>
        <v>0</v>
      </c>
      <c r="I193" s="52">
        <f t="shared" si="242"/>
        <v>0</v>
      </c>
      <c r="J193" s="51">
        <f t="shared" si="242"/>
        <v>25</v>
      </c>
      <c r="K193" s="52">
        <f t="shared" si="242"/>
        <v>0</v>
      </c>
      <c r="L193" s="52">
        <f t="shared" si="242"/>
        <v>0</v>
      </c>
      <c r="M193" s="51">
        <f>SUM('AP02'!$F193:$L193)</f>
        <v>1943.29617</v>
      </c>
      <c r="N193" s="51">
        <f>O192*('AP02'!$P193-1)</f>
        <v>0</v>
      </c>
      <c r="O193" s="51">
        <f>(O192*'AP02'!$P193)-'AP02'!$G193</f>
        <v>162581.0197</v>
      </c>
      <c r="P193" s="53">
        <f t="shared" si="149"/>
        <v>1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56">
        <f t="shared" si="2"/>
        <v>180</v>
      </c>
      <c r="B194" s="50">
        <f t="shared" si="5"/>
        <v>48720</v>
      </c>
      <c r="C194" s="116">
        <f t="shared" si="126"/>
        <v>0.0775</v>
      </c>
      <c r="D194" s="116">
        <f>((1+'AP02'!$C194)^(1/12))-1</f>
        <v>0.006239681461</v>
      </c>
      <c r="E194" s="51">
        <f t="shared" si="127"/>
        <v>2171.261517</v>
      </c>
      <c r="F194" s="51">
        <f>(O193*'AP02'!$P194)*'AP02'!$D194</f>
        <v>1014.453775</v>
      </c>
      <c r="G194" s="51">
        <f>(O193*'AP02'!$P194)/($I$5-A193)</f>
        <v>898.2376781</v>
      </c>
      <c r="H194" s="52">
        <f t="shared" ref="H194:L194" si="243">H193</f>
        <v>0</v>
      </c>
      <c r="I194" s="52">
        <f t="shared" si="243"/>
        <v>0</v>
      </c>
      <c r="J194" s="51">
        <f t="shared" si="243"/>
        <v>25</v>
      </c>
      <c r="K194" s="52">
        <f t="shared" si="243"/>
        <v>0</v>
      </c>
      <c r="L194" s="52">
        <f t="shared" si="243"/>
        <v>0</v>
      </c>
      <c r="M194" s="51">
        <f>SUM('AP02'!$F194:$L194)</f>
        <v>1937.691453</v>
      </c>
      <c r="N194" s="51">
        <f>O193*('AP02'!$P194-1)</f>
        <v>0</v>
      </c>
      <c r="O194" s="51">
        <f>(O193*'AP02'!$P194)-'AP02'!$G194</f>
        <v>161682.7821</v>
      </c>
      <c r="P194" s="53">
        <f t="shared" si="149"/>
        <v>1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56">
        <f t="shared" si="2"/>
        <v>181</v>
      </c>
      <c r="B195" s="50">
        <f t="shared" si="5"/>
        <v>48751</v>
      </c>
      <c r="C195" s="116">
        <f t="shared" si="126"/>
        <v>0.0775</v>
      </c>
      <c r="D195" s="116">
        <f>((1+'AP02'!$C195)^(1/12))-1</f>
        <v>0.006239681461</v>
      </c>
      <c r="E195" s="51">
        <f t="shared" si="127"/>
        <v>2171.261517</v>
      </c>
      <c r="F195" s="51">
        <f>(O194*'AP02'!$P195)*'AP02'!$D195</f>
        <v>1008.849058</v>
      </c>
      <c r="G195" s="51">
        <f>(O194*'AP02'!$P195)/($I$5-A194)</f>
        <v>898.2376781</v>
      </c>
      <c r="H195" s="52">
        <f t="shared" ref="H195:L195" si="244">H194</f>
        <v>0</v>
      </c>
      <c r="I195" s="52">
        <f t="shared" si="244"/>
        <v>0</v>
      </c>
      <c r="J195" s="51">
        <f t="shared" si="244"/>
        <v>25</v>
      </c>
      <c r="K195" s="52">
        <f t="shared" si="244"/>
        <v>0</v>
      </c>
      <c r="L195" s="52">
        <f t="shared" si="244"/>
        <v>0</v>
      </c>
      <c r="M195" s="51">
        <f>SUM('AP02'!$F195:$L195)</f>
        <v>1932.086736</v>
      </c>
      <c r="N195" s="51">
        <f>O194*('AP02'!$P195-1)</f>
        <v>0</v>
      </c>
      <c r="O195" s="51">
        <f>(O194*'AP02'!$P195)-'AP02'!$G195</f>
        <v>160784.5444</v>
      </c>
      <c r="P195" s="53">
        <f t="shared" si="149"/>
        <v>1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56">
        <f t="shared" si="2"/>
        <v>182</v>
      </c>
      <c r="B196" s="50">
        <f t="shared" si="5"/>
        <v>48781</v>
      </c>
      <c r="C196" s="116">
        <f t="shared" si="126"/>
        <v>0.0775</v>
      </c>
      <c r="D196" s="116">
        <f>((1+'AP02'!$C196)^(1/12))-1</f>
        <v>0.006239681461</v>
      </c>
      <c r="E196" s="51">
        <f t="shared" si="127"/>
        <v>2171.261517</v>
      </c>
      <c r="F196" s="51">
        <f>(O195*'AP02'!$P196)*'AP02'!$D196</f>
        <v>1003.244341</v>
      </c>
      <c r="G196" s="51">
        <f>(O195*'AP02'!$P196)/($I$5-A195)</f>
        <v>898.2376781</v>
      </c>
      <c r="H196" s="52">
        <f t="shared" ref="H196:L196" si="245">H195</f>
        <v>0</v>
      </c>
      <c r="I196" s="52">
        <f t="shared" si="245"/>
        <v>0</v>
      </c>
      <c r="J196" s="51">
        <f t="shared" si="245"/>
        <v>25</v>
      </c>
      <c r="K196" s="52">
        <f t="shared" si="245"/>
        <v>0</v>
      </c>
      <c r="L196" s="52">
        <f t="shared" si="245"/>
        <v>0</v>
      </c>
      <c r="M196" s="51">
        <f>SUM('AP02'!$F196:$L196)</f>
        <v>1926.482019</v>
      </c>
      <c r="N196" s="51">
        <f>O195*('AP02'!$P196-1)</f>
        <v>0</v>
      </c>
      <c r="O196" s="51">
        <f>(O195*'AP02'!$P196)-'AP02'!$G196</f>
        <v>159886.3067</v>
      </c>
      <c r="P196" s="53">
        <f t="shared" si="149"/>
        <v>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56">
        <f t="shared" si="2"/>
        <v>183</v>
      </c>
      <c r="B197" s="50">
        <f t="shared" si="5"/>
        <v>48812</v>
      </c>
      <c r="C197" s="116">
        <f t="shared" si="126"/>
        <v>0.0775</v>
      </c>
      <c r="D197" s="116">
        <f>((1+'AP02'!$C197)^(1/12))-1</f>
        <v>0.006239681461</v>
      </c>
      <c r="E197" s="51">
        <f t="shared" si="127"/>
        <v>2171.261517</v>
      </c>
      <c r="F197" s="51">
        <f>(O196*'AP02'!$P197)*'AP02'!$D197</f>
        <v>997.6396239</v>
      </c>
      <c r="G197" s="51">
        <f>(O196*'AP02'!$P197)/($I$5-A196)</f>
        <v>898.2376781</v>
      </c>
      <c r="H197" s="52">
        <f t="shared" ref="H197:L197" si="246">H196</f>
        <v>0</v>
      </c>
      <c r="I197" s="52">
        <f t="shared" si="246"/>
        <v>0</v>
      </c>
      <c r="J197" s="51">
        <f t="shared" si="246"/>
        <v>25</v>
      </c>
      <c r="K197" s="52">
        <f t="shared" si="246"/>
        <v>0</v>
      </c>
      <c r="L197" s="52">
        <f t="shared" si="246"/>
        <v>0</v>
      </c>
      <c r="M197" s="51">
        <f>SUM('AP02'!$F197:$L197)</f>
        <v>1920.877302</v>
      </c>
      <c r="N197" s="51">
        <f>O196*('AP02'!$P197-1)</f>
        <v>0</v>
      </c>
      <c r="O197" s="51">
        <f>(O196*'AP02'!$P197)-'AP02'!$G197</f>
        <v>158988.069</v>
      </c>
      <c r="P197" s="53">
        <f t="shared" si="149"/>
        <v>1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56">
        <f t="shared" si="2"/>
        <v>184</v>
      </c>
      <c r="B198" s="50">
        <f t="shared" si="5"/>
        <v>48843</v>
      </c>
      <c r="C198" s="116">
        <f t="shared" si="126"/>
        <v>0.0775</v>
      </c>
      <c r="D198" s="116">
        <f>((1+'AP02'!$C198)^(1/12))-1</f>
        <v>0.006239681461</v>
      </c>
      <c r="E198" s="51">
        <f t="shared" si="127"/>
        <v>2171.261517</v>
      </c>
      <c r="F198" s="51">
        <f>(O197*'AP02'!$P198)*'AP02'!$D198</f>
        <v>992.0349069</v>
      </c>
      <c r="G198" s="51">
        <f>(O197*'AP02'!$P198)/($I$5-A197)</f>
        <v>898.2376781</v>
      </c>
      <c r="H198" s="52">
        <f t="shared" ref="H198:L198" si="247">H197</f>
        <v>0</v>
      </c>
      <c r="I198" s="52">
        <f t="shared" si="247"/>
        <v>0</v>
      </c>
      <c r="J198" s="51">
        <f t="shared" si="247"/>
        <v>25</v>
      </c>
      <c r="K198" s="52">
        <f t="shared" si="247"/>
        <v>0</v>
      </c>
      <c r="L198" s="52">
        <f t="shared" si="247"/>
        <v>0</v>
      </c>
      <c r="M198" s="51">
        <f>SUM('AP02'!$F198:$L198)</f>
        <v>1915.272585</v>
      </c>
      <c r="N198" s="51">
        <f>O197*('AP02'!$P198-1)</f>
        <v>0</v>
      </c>
      <c r="O198" s="51">
        <f>(O197*'AP02'!$P198)-'AP02'!$G198</f>
        <v>158089.8314</v>
      </c>
      <c r="P198" s="53">
        <f t="shared" si="149"/>
        <v>1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56">
        <f t="shared" si="2"/>
        <v>185</v>
      </c>
      <c r="B199" s="50">
        <f t="shared" si="5"/>
        <v>48873</v>
      </c>
      <c r="C199" s="116">
        <f t="shared" si="126"/>
        <v>0.0775</v>
      </c>
      <c r="D199" s="116">
        <f>((1+'AP02'!$C199)^(1/12))-1</f>
        <v>0.006239681461</v>
      </c>
      <c r="E199" s="51">
        <f t="shared" si="127"/>
        <v>2171.261517</v>
      </c>
      <c r="F199" s="51">
        <f>(O198*'AP02'!$P199)*'AP02'!$D199</f>
        <v>986.4301899</v>
      </c>
      <c r="G199" s="51">
        <f>(O198*'AP02'!$P199)/($I$5-A198)</f>
        <v>898.2376781</v>
      </c>
      <c r="H199" s="52">
        <f t="shared" ref="H199:L199" si="248">H198</f>
        <v>0</v>
      </c>
      <c r="I199" s="52">
        <f t="shared" si="248"/>
        <v>0</v>
      </c>
      <c r="J199" s="51">
        <f t="shared" si="248"/>
        <v>25</v>
      </c>
      <c r="K199" s="52">
        <f t="shared" si="248"/>
        <v>0</v>
      </c>
      <c r="L199" s="52">
        <f t="shared" si="248"/>
        <v>0</v>
      </c>
      <c r="M199" s="51">
        <f>SUM('AP02'!$F199:$L199)</f>
        <v>1909.667868</v>
      </c>
      <c r="N199" s="51">
        <f>O198*('AP02'!$P199-1)</f>
        <v>0</v>
      </c>
      <c r="O199" s="51">
        <f>(O198*'AP02'!$P199)-'AP02'!$G199</f>
        <v>157191.5937</v>
      </c>
      <c r="P199" s="53">
        <f t="shared" si="149"/>
        <v>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56">
        <f t="shared" si="2"/>
        <v>186</v>
      </c>
      <c r="B200" s="50">
        <f t="shared" si="5"/>
        <v>48904</v>
      </c>
      <c r="C200" s="116">
        <f t="shared" si="126"/>
        <v>0.0775</v>
      </c>
      <c r="D200" s="116">
        <f>((1+'AP02'!$C200)^(1/12))-1</f>
        <v>0.006239681461</v>
      </c>
      <c r="E200" s="51">
        <f t="shared" si="127"/>
        <v>2171.261517</v>
      </c>
      <c r="F200" s="51">
        <f>(O199*'AP02'!$P200)*'AP02'!$D200</f>
        <v>980.8254729</v>
      </c>
      <c r="G200" s="51">
        <f>(O199*'AP02'!$P200)/($I$5-A199)</f>
        <v>898.2376781</v>
      </c>
      <c r="H200" s="52">
        <f t="shared" ref="H200:L200" si="249">H199</f>
        <v>0</v>
      </c>
      <c r="I200" s="52">
        <f t="shared" si="249"/>
        <v>0</v>
      </c>
      <c r="J200" s="51">
        <f t="shared" si="249"/>
        <v>25</v>
      </c>
      <c r="K200" s="52">
        <f t="shared" si="249"/>
        <v>0</v>
      </c>
      <c r="L200" s="52">
        <f t="shared" si="249"/>
        <v>0</v>
      </c>
      <c r="M200" s="51">
        <f>SUM('AP02'!$F200:$L200)</f>
        <v>1904.063151</v>
      </c>
      <c r="N200" s="51">
        <f>O199*('AP02'!$P200-1)</f>
        <v>0</v>
      </c>
      <c r="O200" s="51">
        <f>(O199*'AP02'!$P200)-'AP02'!$G200</f>
        <v>156293.356</v>
      </c>
      <c r="P200" s="53">
        <f t="shared" si="149"/>
        <v>1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56">
        <f t="shared" si="2"/>
        <v>187</v>
      </c>
      <c r="B201" s="50">
        <f t="shared" si="5"/>
        <v>48934</v>
      </c>
      <c r="C201" s="116">
        <f t="shared" si="126"/>
        <v>0.0775</v>
      </c>
      <c r="D201" s="116">
        <f>((1+'AP02'!$C201)^(1/12))-1</f>
        <v>0.006239681461</v>
      </c>
      <c r="E201" s="51">
        <f t="shared" si="127"/>
        <v>2171.261517</v>
      </c>
      <c r="F201" s="51">
        <f>(O200*'AP02'!$P201)*'AP02'!$D201</f>
        <v>975.2207559</v>
      </c>
      <c r="G201" s="51">
        <f>(O200*'AP02'!$P201)/($I$5-A200)</f>
        <v>898.2376781</v>
      </c>
      <c r="H201" s="52">
        <f t="shared" ref="H201:L201" si="250">H200</f>
        <v>0</v>
      </c>
      <c r="I201" s="52">
        <f t="shared" si="250"/>
        <v>0</v>
      </c>
      <c r="J201" s="51">
        <f t="shared" si="250"/>
        <v>25</v>
      </c>
      <c r="K201" s="52">
        <f t="shared" si="250"/>
        <v>0</v>
      </c>
      <c r="L201" s="52">
        <f t="shared" si="250"/>
        <v>0</v>
      </c>
      <c r="M201" s="51">
        <f>SUM('AP02'!$F201:$L201)</f>
        <v>1898.458434</v>
      </c>
      <c r="N201" s="51">
        <f>O200*('AP02'!$P201-1)</f>
        <v>0</v>
      </c>
      <c r="O201" s="51">
        <f>(O200*'AP02'!$P201)-'AP02'!$G201</f>
        <v>155395.1183</v>
      </c>
      <c r="P201" s="53">
        <f t="shared" si="149"/>
        <v>1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56">
        <f t="shared" si="2"/>
        <v>188</v>
      </c>
      <c r="B202" s="50">
        <f t="shared" si="5"/>
        <v>48965</v>
      </c>
      <c r="C202" s="116">
        <f t="shared" si="126"/>
        <v>0.0775</v>
      </c>
      <c r="D202" s="116">
        <f>((1+'AP02'!$C202)^(1/12))-1</f>
        <v>0.006239681461</v>
      </c>
      <c r="E202" s="51">
        <f t="shared" si="127"/>
        <v>2171.261517</v>
      </c>
      <c r="F202" s="51">
        <f>(O201*'AP02'!$P202)*'AP02'!$D202</f>
        <v>969.6160389</v>
      </c>
      <c r="G202" s="51">
        <f>(O201*'AP02'!$P202)/($I$5-A201)</f>
        <v>898.2376781</v>
      </c>
      <c r="H202" s="52">
        <f t="shared" ref="H202:L202" si="251">H201</f>
        <v>0</v>
      </c>
      <c r="I202" s="52">
        <f t="shared" si="251"/>
        <v>0</v>
      </c>
      <c r="J202" s="51">
        <f t="shared" si="251"/>
        <v>25</v>
      </c>
      <c r="K202" s="52">
        <f t="shared" si="251"/>
        <v>0</v>
      </c>
      <c r="L202" s="52">
        <f t="shared" si="251"/>
        <v>0</v>
      </c>
      <c r="M202" s="51">
        <f>SUM('AP02'!$F202:$L202)</f>
        <v>1892.853717</v>
      </c>
      <c r="N202" s="51">
        <f>O201*('AP02'!$P202-1)</f>
        <v>0</v>
      </c>
      <c r="O202" s="51">
        <f>(O201*'AP02'!$P202)-'AP02'!$G202</f>
        <v>154496.8806</v>
      </c>
      <c r="P202" s="53">
        <f t="shared" si="149"/>
        <v>1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56">
        <f t="shared" si="2"/>
        <v>189</v>
      </c>
      <c r="B203" s="50">
        <f t="shared" si="5"/>
        <v>48996</v>
      </c>
      <c r="C203" s="116">
        <f t="shared" si="126"/>
        <v>0.0775</v>
      </c>
      <c r="D203" s="116">
        <f>((1+'AP02'!$C203)^(1/12))-1</f>
        <v>0.006239681461</v>
      </c>
      <c r="E203" s="51">
        <f t="shared" si="127"/>
        <v>2171.261517</v>
      </c>
      <c r="F203" s="51">
        <f>(O202*'AP02'!$P203)*'AP02'!$D203</f>
        <v>964.011322</v>
      </c>
      <c r="G203" s="51">
        <f>(O202*'AP02'!$P203)/($I$5-A202)</f>
        <v>898.2376781</v>
      </c>
      <c r="H203" s="52">
        <f t="shared" ref="H203:L203" si="252">H202</f>
        <v>0</v>
      </c>
      <c r="I203" s="52">
        <f t="shared" si="252"/>
        <v>0</v>
      </c>
      <c r="J203" s="51">
        <f t="shared" si="252"/>
        <v>25</v>
      </c>
      <c r="K203" s="52">
        <f t="shared" si="252"/>
        <v>0</v>
      </c>
      <c r="L203" s="52">
        <f t="shared" si="252"/>
        <v>0</v>
      </c>
      <c r="M203" s="51">
        <f>SUM('AP02'!$F203:$L203)</f>
        <v>1887.249</v>
      </c>
      <c r="N203" s="51">
        <f>O202*('AP02'!$P203-1)</f>
        <v>0</v>
      </c>
      <c r="O203" s="51">
        <f>(O202*'AP02'!$P203)-'AP02'!$G203</f>
        <v>153598.643</v>
      </c>
      <c r="P203" s="53">
        <f t="shared" si="149"/>
        <v>1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56">
        <f t="shared" si="2"/>
        <v>190</v>
      </c>
      <c r="B204" s="50">
        <f t="shared" si="5"/>
        <v>49024</v>
      </c>
      <c r="C204" s="116">
        <f t="shared" si="126"/>
        <v>0.0775</v>
      </c>
      <c r="D204" s="116">
        <f>((1+'AP02'!$C204)^(1/12))-1</f>
        <v>0.006239681461</v>
      </c>
      <c r="E204" s="51">
        <f t="shared" si="127"/>
        <v>2171.261517</v>
      </c>
      <c r="F204" s="51">
        <f>(O203*'AP02'!$P204)*'AP02'!$D204</f>
        <v>958.406605</v>
      </c>
      <c r="G204" s="51">
        <f>(O203*'AP02'!$P204)/($I$5-A203)</f>
        <v>898.2376781</v>
      </c>
      <c r="H204" s="52">
        <f t="shared" ref="H204:L204" si="253">H203</f>
        <v>0</v>
      </c>
      <c r="I204" s="52">
        <f t="shared" si="253"/>
        <v>0</v>
      </c>
      <c r="J204" s="51">
        <f t="shared" si="253"/>
        <v>25</v>
      </c>
      <c r="K204" s="52">
        <f t="shared" si="253"/>
        <v>0</v>
      </c>
      <c r="L204" s="52">
        <f t="shared" si="253"/>
        <v>0</v>
      </c>
      <c r="M204" s="51">
        <f>SUM('AP02'!$F204:$L204)</f>
        <v>1881.644283</v>
      </c>
      <c r="N204" s="51">
        <f>O203*('AP02'!$P204-1)</f>
        <v>0</v>
      </c>
      <c r="O204" s="51">
        <f>(O203*'AP02'!$P204)-'AP02'!$G204</f>
        <v>152700.4053</v>
      </c>
      <c r="P204" s="53">
        <f t="shared" si="149"/>
        <v>1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56">
        <f t="shared" si="2"/>
        <v>191</v>
      </c>
      <c r="B205" s="50">
        <f t="shared" si="5"/>
        <v>49055</v>
      </c>
      <c r="C205" s="116">
        <f t="shared" si="126"/>
        <v>0.0775</v>
      </c>
      <c r="D205" s="116">
        <f>((1+'AP02'!$C205)^(1/12))-1</f>
        <v>0.006239681461</v>
      </c>
      <c r="E205" s="51">
        <f t="shared" si="127"/>
        <v>2171.261517</v>
      </c>
      <c r="F205" s="51">
        <f>(O204*'AP02'!$P205)*'AP02'!$D205</f>
        <v>952.801888</v>
      </c>
      <c r="G205" s="51">
        <f>(O204*'AP02'!$P205)/($I$5-A204)</f>
        <v>898.2376781</v>
      </c>
      <c r="H205" s="52">
        <f t="shared" ref="H205:L205" si="254">H204</f>
        <v>0</v>
      </c>
      <c r="I205" s="52">
        <f t="shared" si="254"/>
        <v>0</v>
      </c>
      <c r="J205" s="51">
        <f t="shared" si="254"/>
        <v>25</v>
      </c>
      <c r="K205" s="52">
        <f t="shared" si="254"/>
        <v>0</v>
      </c>
      <c r="L205" s="52">
        <f t="shared" si="254"/>
        <v>0</v>
      </c>
      <c r="M205" s="51">
        <f>SUM('AP02'!$F205:$L205)</f>
        <v>1876.039566</v>
      </c>
      <c r="N205" s="51">
        <f>O204*('AP02'!$P205-1)</f>
        <v>0</v>
      </c>
      <c r="O205" s="51">
        <f>(O204*'AP02'!$P205)-'AP02'!$G205</f>
        <v>151802.1676</v>
      </c>
      <c r="P205" s="53">
        <f t="shared" si="149"/>
        <v>1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56">
        <f t="shared" si="2"/>
        <v>192</v>
      </c>
      <c r="B206" s="50">
        <f t="shared" si="5"/>
        <v>49085</v>
      </c>
      <c r="C206" s="116">
        <f t="shared" si="126"/>
        <v>0.0775</v>
      </c>
      <c r="D206" s="116">
        <f>((1+'AP02'!$C206)^(1/12))-1</f>
        <v>0.006239681461</v>
      </c>
      <c r="E206" s="51">
        <f t="shared" si="127"/>
        <v>2171.261517</v>
      </c>
      <c r="F206" s="51">
        <f>(O205*'AP02'!$P206)*'AP02'!$D206</f>
        <v>947.197171</v>
      </c>
      <c r="G206" s="51">
        <f>(O205*'AP02'!$P206)/($I$5-A205)</f>
        <v>898.2376781</v>
      </c>
      <c r="H206" s="52">
        <f t="shared" ref="H206:L206" si="255">H205</f>
        <v>0</v>
      </c>
      <c r="I206" s="52">
        <f t="shared" si="255"/>
        <v>0</v>
      </c>
      <c r="J206" s="51">
        <f t="shared" si="255"/>
        <v>25</v>
      </c>
      <c r="K206" s="52">
        <f t="shared" si="255"/>
        <v>0</v>
      </c>
      <c r="L206" s="52">
        <f t="shared" si="255"/>
        <v>0</v>
      </c>
      <c r="M206" s="51">
        <f>SUM('AP02'!$F206:$L206)</f>
        <v>1870.434849</v>
      </c>
      <c r="N206" s="51">
        <f>O205*('AP02'!$P206-1)</f>
        <v>0</v>
      </c>
      <c r="O206" s="51">
        <f>(O205*'AP02'!$P206)-'AP02'!$G206</f>
        <v>150903.9299</v>
      </c>
      <c r="P206" s="53">
        <f t="shared" si="149"/>
        <v>1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56">
        <f t="shared" si="2"/>
        <v>193</v>
      </c>
      <c r="B207" s="50">
        <f t="shared" si="5"/>
        <v>49116</v>
      </c>
      <c r="C207" s="116">
        <f t="shared" si="126"/>
        <v>0.0775</v>
      </c>
      <c r="D207" s="116">
        <f>((1+'AP02'!$C207)^(1/12))-1</f>
        <v>0.006239681461</v>
      </c>
      <c r="E207" s="51">
        <f t="shared" si="127"/>
        <v>2171.261517</v>
      </c>
      <c r="F207" s="51">
        <f>(O206*'AP02'!$P207)*'AP02'!$D207</f>
        <v>941.592454</v>
      </c>
      <c r="G207" s="51">
        <f>(O206*'AP02'!$P207)/($I$5-A206)</f>
        <v>898.2376781</v>
      </c>
      <c r="H207" s="52">
        <f t="shared" ref="H207:L207" si="256">H206</f>
        <v>0</v>
      </c>
      <c r="I207" s="52">
        <f t="shared" si="256"/>
        <v>0</v>
      </c>
      <c r="J207" s="51">
        <f t="shared" si="256"/>
        <v>25</v>
      </c>
      <c r="K207" s="52">
        <f t="shared" si="256"/>
        <v>0</v>
      </c>
      <c r="L207" s="52">
        <f t="shared" si="256"/>
        <v>0</v>
      </c>
      <c r="M207" s="51">
        <f>SUM('AP02'!$F207:$L207)</f>
        <v>1864.830132</v>
      </c>
      <c r="N207" s="51">
        <f>O206*('AP02'!$P207-1)</f>
        <v>0</v>
      </c>
      <c r="O207" s="51">
        <f>(O206*'AP02'!$P207)-'AP02'!$G207</f>
        <v>150005.6923</v>
      </c>
      <c r="P207" s="53">
        <f t="shared" si="149"/>
        <v>1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56">
        <f t="shared" si="2"/>
        <v>194</v>
      </c>
      <c r="B208" s="50">
        <f t="shared" si="5"/>
        <v>49146</v>
      </c>
      <c r="C208" s="116">
        <f t="shared" si="126"/>
        <v>0.0775</v>
      </c>
      <c r="D208" s="116">
        <f>((1+'AP02'!$C208)^(1/12))-1</f>
        <v>0.006239681461</v>
      </c>
      <c r="E208" s="51">
        <f t="shared" si="127"/>
        <v>2171.261517</v>
      </c>
      <c r="F208" s="51">
        <f>(O207*'AP02'!$P208)*'AP02'!$D208</f>
        <v>935.987737</v>
      </c>
      <c r="G208" s="51">
        <f>(O207*'AP02'!$P208)/($I$5-A207)</f>
        <v>898.2376781</v>
      </c>
      <c r="H208" s="52">
        <f t="shared" ref="H208:L208" si="257">H207</f>
        <v>0</v>
      </c>
      <c r="I208" s="52">
        <f t="shared" si="257"/>
        <v>0</v>
      </c>
      <c r="J208" s="51">
        <f t="shared" si="257"/>
        <v>25</v>
      </c>
      <c r="K208" s="52">
        <f t="shared" si="257"/>
        <v>0</v>
      </c>
      <c r="L208" s="52">
        <f t="shared" si="257"/>
        <v>0</v>
      </c>
      <c r="M208" s="51">
        <f>SUM('AP02'!$F208:$L208)</f>
        <v>1859.225415</v>
      </c>
      <c r="N208" s="51">
        <f>O207*('AP02'!$P208-1)</f>
        <v>0</v>
      </c>
      <c r="O208" s="51">
        <f>(O207*'AP02'!$P208)-'AP02'!$G208</f>
        <v>149107.4546</v>
      </c>
      <c r="P208" s="53">
        <f t="shared" si="149"/>
        <v>1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56">
        <f t="shared" si="2"/>
        <v>195</v>
      </c>
      <c r="B209" s="50">
        <f t="shared" si="5"/>
        <v>49177</v>
      </c>
      <c r="C209" s="116">
        <f t="shared" si="126"/>
        <v>0.0775</v>
      </c>
      <c r="D209" s="116">
        <f>((1+'AP02'!$C209)^(1/12))-1</f>
        <v>0.006239681461</v>
      </c>
      <c r="E209" s="51">
        <f t="shared" si="127"/>
        <v>2171.261517</v>
      </c>
      <c r="F209" s="51">
        <f>(O208*'AP02'!$P209)*'AP02'!$D209</f>
        <v>930.38302</v>
      </c>
      <c r="G209" s="51">
        <f>(O208*'AP02'!$P209)/($I$5-A208)</f>
        <v>898.2376781</v>
      </c>
      <c r="H209" s="52">
        <f t="shared" ref="H209:L209" si="258">H208</f>
        <v>0</v>
      </c>
      <c r="I209" s="52">
        <f t="shared" si="258"/>
        <v>0</v>
      </c>
      <c r="J209" s="51">
        <f t="shared" si="258"/>
        <v>25</v>
      </c>
      <c r="K209" s="52">
        <f t="shared" si="258"/>
        <v>0</v>
      </c>
      <c r="L209" s="52">
        <f t="shared" si="258"/>
        <v>0</v>
      </c>
      <c r="M209" s="51">
        <f>SUM('AP02'!$F209:$L209)</f>
        <v>1853.620698</v>
      </c>
      <c r="N209" s="51">
        <f>O208*('AP02'!$P209-1)</f>
        <v>0</v>
      </c>
      <c r="O209" s="51">
        <f>(O208*'AP02'!$P209)-'AP02'!$G209</f>
        <v>148209.2169</v>
      </c>
      <c r="P209" s="53">
        <f t="shared" si="149"/>
        <v>1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56">
        <f t="shared" si="2"/>
        <v>196</v>
      </c>
      <c r="B210" s="50">
        <f t="shared" si="5"/>
        <v>49208</v>
      </c>
      <c r="C210" s="116">
        <f t="shared" si="126"/>
        <v>0.0775</v>
      </c>
      <c r="D210" s="116">
        <f>((1+'AP02'!$C210)^(1/12))-1</f>
        <v>0.006239681461</v>
      </c>
      <c r="E210" s="51">
        <f t="shared" si="127"/>
        <v>2171.261517</v>
      </c>
      <c r="F210" s="51">
        <f>(O209*'AP02'!$P210)*'AP02'!$D210</f>
        <v>924.778303</v>
      </c>
      <c r="G210" s="51">
        <f>(O209*'AP02'!$P210)/($I$5-A209)</f>
        <v>898.2376781</v>
      </c>
      <c r="H210" s="52">
        <f t="shared" ref="H210:L210" si="259">H209</f>
        <v>0</v>
      </c>
      <c r="I210" s="52">
        <f t="shared" si="259"/>
        <v>0</v>
      </c>
      <c r="J210" s="51">
        <f t="shared" si="259"/>
        <v>25</v>
      </c>
      <c r="K210" s="52">
        <f t="shared" si="259"/>
        <v>0</v>
      </c>
      <c r="L210" s="52">
        <f t="shared" si="259"/>
        <v>0</v>
      </c>
      <c r="M210" s="51">
        <f>SUM('AP02'!$F210:$L210)</f>
        <v>1848.015981</v>
      </c>
      <c r="N210" s="51">
        <f>O209*('AP02'!$P210-1)</f>
        <v>0</v>
      </c>
      <c r="O210" s="51">
        <f>(O209*'AP02'!$P210)-'AP02'!$G210</f>
        <v>147310.9792</v>
      </c>
      <c r="P210" s="53">
        <f t="shared" si="149"/>
        <v>1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56">
        <f t="shared" si="2"/>
        <v>197</v>
      </c>
      <c r="B211" s="50">
        <f t="shared" si="5"/>
        <v>49238</v>
      </c>
      <c r="C211" s="116">
        <f t="shared" si="126"/>
        <v>0.0775</v>
      </c>
      <c r="D211" s="116">
        <f>((1+'AP02'!$C211)^(1/12))-1</f>
        <v>0.006239681461</v>
      </c>
      <c r="E211" s="51">
        <f t="shared" si="127"/>
        <v>2171.261517</v>
      </c>
      <c r="F211" s="51">
        <f>(O210*'AP02'!$P211)*'AP02'!$D211</f>
        <v>919.1735861</v>
      </c>
      <c r="G211" s="51">
        <f>(O210*'AP02'!$P211)/($I$5-A210)</f>
        <v>898.2376781</v>
      </c>
      <c r="H211" s="52">
        <f t="shared" ref="H211:L211" si="260">H210</f>
        <v>0</v>
      </c>
      <c r="I211" s="52">
        <f t="shared" si="260"/>
        <v>0</v>
      </c>
      <c r="J211" s="51">
        <f t="shared" si="260"/>
        <v>25</v>
      </c>
      <c r="K211" s="52">
        <f t="shared" si="260"/>
        <v>0</v>
      </c>
      <c r="L211" s="52">
        <f t="shared" si="260"/>
        <v>0</v>
      </c>
      <c r="M211" s="51">
        <f>SUM('AP02'!$F211:$L211)</f>
        <v>1842.411264</v>
      </c>
      <c r="N211" s="51">
        <f>O210*('AP02'!$P211-1)</f>
        <v>0</v>
      </c>
      <c r="O211" s="51">
        <f>(O210*'AP02'!$P211)-'AP02'!$G211</f>
        <v>146412.7415</v>
      </c>
      <c r="P211" s="53">
        <f t="shared" si="149"/>
        <v>1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56">
        <f t="shared" si="2"/>
        <v>198</v>
      </c>
      <c r="B212" s="50">
        <f t="shared" si="5"/>
        <v>49269</v>
      </c>
      <c r="C212" s="116">
        <f t="shared" si="126"/>
        <v>0.0775</v>
      </c>
      <c r="D212" s="116">
        <f>((1+'AP02'!$C212)^(1/12))-1</f>
        <v>0.006239681461</v>
      </c>
      <c r="E212" s="51">
        <f t="shared" si="127"/>
        <v>2171.261517</v>
      </c>
      <c r="F212" s="51">
        <f>(O211*'AP02'!$P212)*'AP02'!$D212</f>
        <v>913.5688691</v>
      </c>
      <c r="G212" s="51">
        <f>(O211*'AP02'!$P212)/($I$5-A211)</f>
        <v>898.2376781</v>
      </c>
      <c r="H212" s="52">
        <f t="shared" ref="H212:L212" si="261">H211</f>
        <v>0</v>
      </c>
      <c r="I212" s="52">
        <f t="shared" si="261"/>
        <v>0</v>
      </c>
      <c r="J212" s="51">
        <f t="shared" si="261"/>
        <v>25</v>
      </c>
      <c r="K212" s="52">
        <f t="shared" si="261"/>
        <v>0</v>
      </c>
      <c r="L212" s="52">
        <f t="shared" si="261"/>
        <v>0</v>
      </c>
      <c r="M212" s="51">
        <f>SUM('AP02'!$F212:$L212)</f>
        <v>1836.806547</v>
      </c>
      <c r="N212" s="51">
        <f>O211*('AP02'!$P212-1)</f>
        <v>0</v>
      </c>
      <c r="O212" s="51">
        <f>(O211*'AP02'!$P212)-'AP02'!$G212</f>
        <v>145514.5039</v>
      </c>
      <c r="P212" s="53">
        <f t="shared" si="149"/>
        <v>1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56">
        <f t="shared" si="2"/>
        <v>199</v>
      </c>
      <c r="B213" s="50">
        <f t="shared" si="5"/>
        <v>49299</v>
      </c>
      <c r="C213" s="116">
        <f t="shared" si="126"/>
        <v>0.0775</v>
      </c>
      <c r="D213" s="116">
        <f>((1+'AP02'!$C213)^(1/12))-1</f>
        <v>0.006239681461</v>
      </c>
      <c r="E213" s="51">
        <f t="shared" si="127"/>
        <v>2171.261517</v>
      </c>
      <c r="F213" s="51">
        <f>(O212*'AP02'!$P213)*'AP02'!$D213</f>
        <v>907.9641521</v>
      </c>
      <c r="G213" s="51">
        <f>(O212*'AP02'!$P213)/($I$5-A212)</f>
        <v>898.2376781</v>
      </c>
      <c r="H213" s="52">
        <f t="shared" ref="H213:L213" si="262">H212</f>
        <v>0</v>
      </c>
      <c r="I213" s="52">
        <f t="shared" si="262"/>
        <v>0</v>
      </c>
      <c r="J213" s="51">
        <f t="shared" si="262"/>
        <v>25</v>
      </c>
      <c r="K213" s="52">
        <f t="shared" si="262"/>
        <v>0</v>
      </c>
      <c r="L213" s="52">
        <f t="shared" si="262"/>
        <v>0</v>
      </c>
      <c r="M213" s="51">
        <f>SUM('AP02'!$F213:$L213)</f>
        <v>1831.20183</v>
      </c>
      <c r="N213" s="51">
        <f>O212*('AP02'!$P213-1)</f>
        <v>0</v>
      </c>
      <c r="O213" s="51">
        <f>(O212*'AP02'!$P213)-'AP02'!$G213</f>
        <v>144616.2662</v>
      </c>
      <c r="P213" s="53">
        <f t="shared" si="149"/>
        <v>1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56">
        <f t="shared" si="2"/>
        <v>200</v>
      </c>
      <c r="B214" s="50">
        <f t="shared" si="5"/>
        <v>49330</v>
      </c>
      <c r="C214" s="116">
        <f t="shared" si="126"/>
        <v>0.0775</v>
      </c>
      <c r="D214" s="116">
        <f>((1+'AP02'!$C214)^(1/12))-1</f>
        <v>0.006239681461</v>
      </c>
      <c r="E214" s="51">
        <f t="shared" si="127"/>
        <v>2171.261517</v>
      </c>
      <c r="F214" s="51">
        <f>(O213*'AP02'!$P214)*'AP02'!$D214</f>
        <v>902.3594351</v>
      </c>
      <c r="G214" s="51">
        <f>(O213*'AP02'!$P214)/($I$5-A213)</f>
        <v>898.2376781</v>
      </c>
      <c r="H214" s="52">
        <f t="shared" ref="H214:L214" si="263">H213</f>
        <v>0</v>
      </c>
      <c r="I214" s="52">
        <f t="shared" si="263"/>
        <v>0</v>
      </c>
      <c r="J214" s="51">
        <f t="shared" si="263"/>
        <v>25</v>
      </c>
      <c r="K214" s="52">
        <f t="shared" si="263"/>
        <v>0</v>
      </c>
      <c r="L214" s="52">
        <f t="shared" si="263"/>
        <v>0</v>
      </c>
      <c r="M214" s="51">
        <f>SUM('AP02'!$F214:$L214)</f>
        <v>1825.597113</v>
      </c>
      <c r="N214" s="51">
        <f>O213*('AP02'!$P214-1)</f>
        <v>0</v>
      </c>
      <c r="O214" s="51">
        <f>(O213*'AP02'!$P214)-'AP02'!$G214</f>
        <v>143718.0285</v>
      </c>
      <c r="P214" s="53">
        <f t="shared" si="149"/>
        <v>1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56">
        <f t="shared" si="2"/>
        <v>201</v>
      </c>
      <c r="B215" s="50">
        <f t="shared" si="5"/>
        <v>49361</v>
      </c>
      <c r="C215" s="116">
        <f t="shared" si="126"/>
        <v>0.0775</v>
      </c>
      <c r="D215" s="116">
        <f>((1+'AP02'!$C215)^(1/12))-1</f>
        <v>0.006239681461</v>
      </c>
      <c r="E215" s="51">
        <f t="shared" si="127"/>
        <v>2171.261517</v>
      </c>
      <c r="F215" s="51">
        <f>(O214*'AP02'!$P215)*'AP02'!$D215</f>
        <v>896.7547181</v>
      </c>
      <c r="G215" s="51">
        <f>(O214*'AP02'!$P215)/($I$5-A214)</f>
        <v>898.2376781</v>
      </c>
      <c r="H215" s="52">
        <f t="shared" ref="H215:L215" si="264">H214</f>
        <v>0</v>
      </c>
      <c r="I215" s="52">
        <f t="shared" si="264"/>
        <v>0</v>
      </c>
      <c r="J215" s="51">
        <f t="shared" si="264"/>
        <v>25</v>
      </c>
      <c r="K215" s="52">
        <f t="shared" si="264"/>
        <v>0</v>
      </c>
      <c r="L215" s="52">
        <f t="shared" si="264"/>
        <v>0</v>
      </c>
      <c r="M215" s="51">
        <f>SUM('AP02'!$F215:$L215)</f>
        <v>1819.992396</v>
      </c>
      <c r="N215" s="51">
        <f>O214*('AP02'!$P215-1)</f>
        <v>0</v>
      </c>
      <c r="O215" s="51">
        <f>(O214*'AP02'!$P215)-'AP02'!$G215</f>
        <v>142819.7908</v>
      </c>
      <c r="P215" s="53">
        <f t="shared" si="149"/>
        <v>1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56">
        <f t="shared" si="2"/>
        <v>202</v>
      </c>
      <c r="B216" s="50">
        <f t="shared" si="5"/>
        <v>49389</v>
      </c>
      <c r="C216" s="116">
        <f t="shared" si="126"/>
        <v>0.0775</v>
      </c>
      <c r="D216" s="116">
        <f>((1+'AP02'!$C216)^(1/12))-1</f>
        <v>0.006239681461</v>
      </c>
      <c r="E216" s="51">
        <f t="shared" si="127"/>
        <v>2171.261517</v>
      </c>
      <c r="F216" s="51">
        <f>(O215*'AP02'!$P216)*'AP02'!$D216</f>
        <v>891.1500011</v>
      </c>
      <c r="G216" s="51">
        <f>(O215*'AP02'!$P216)/($I$5-A215)</f>
        <v>898.2376781</v>
      </c>
      <c r="H216" s="52">
        <f t="shared" ref="H216:L216" si="265">H215</f>
        <v>0</v>
      </c>
      <c r="I216" s="52">
        <f t="shared" si="265"/>
        <v>0</v>
      </c>
      <c r="J216" s="51">
        <f t="shared" si="265"/>
        <v>25</v>
      </c>
      <c r="K216" s="52">
        <f t="shared" si="265"/>
        <v>0</v>
      </c>
      <c r="L216" s="52">
        <f t="shared" si="265"/>
        <v>0</v>
      </c>
      <c r="M216" s="51">
        <f>SUM('AP02'!$F216:$L216)</f>
        <v>1814.387679</v>
      </c>
      <c r="N216" s="51">
        <f>O215*('AP02'!$P216-1)</f>
        <v>0</v>
      </c>
      <c r="O216" s="51">
        <f>(O215*'AP02'!$P216)-'AP02'!$G216</f>
        <v>141921.5531</v>
      </c>
      <c r="P216" s="53">
        <f t="shared" si="149"/>
        <v>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56">
        <f t="shared" si="2"/>
        <v>203</v>
      </c>
      <c r="B217" s="50">
        <f t="shared" si="5"/>
        <v>49420</v>
      </c>
      <c r="C217" s="116">
        <f t="shared" si="126"/>
        <v>0.0775</v>
      </c>
      <c r="D217" s="116">
        <f>((1+'AP02'!$C217)^(1/12))-1</f>
        <v>0.006239681461</v>
      </c>
      <c r="E217" s="51">
        <f t="shared" si="127"/>
        <v>2171.261517</v>
      </c>
      <c r="F217" s="51">
        <f>(O216*'AP02'!$P217)*'AP02'!$D217</f>
        <v>885.5452841</v>
      </c>
      <c r="G217" s="51">
        <f>(O216*'AP02'!$P217)/($I$5-A216)</f>
        <v>898.2376781</v>
      </c>
      <c r="H217" s="52">
        <f t="shared" ref="H217:L217" si="266">H216</f>
        <v>0</v>
      </c>
      <c r="I217" s="52">
        <f t="shared" si="266"/>
        <v>0</v>
      </c>
      <c r="J217" s="51">
        <f t="shared" si="266"/>
        <v>25</v>
      </c>
      <c r="K217" s="52">
        <f t="shared" si="266"/>
        <v>0</v>
      </c>
      <c r="L217" s="52">
        <f t="shared" si="266"/>
        <v>0</v>
      </c>
      <c r="M217" s="51">
        <f>SUM('AP02'!$F217:$L217)</f>
        <v>1808.782962</v>
      </c>
      <c r="N217" s="51">
        <f>O216*('AP02'!$P217-1)</f>
        <v>0</v>
      </c>
      <c r="O217" s="51">
        <f>(O216*'AP02'!$P217)-'AP02'!$G217</f>
        <v>141023.3155</v>
      </c>
      <c r="P217" s="53">
        <f t="shared" si="149"/>
        <v>1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56">
        <f t="shared" si="2"/>
        <v>204</v>
      </c>
      <c r="B218" s="50">
        <f t="shared" si="5"/>
        <v>49450</v>
      </c>
      <c r="C218" s="116">
        <f t="shared" si="126"/>
        <v>0.0775</v>
      </c>
      <c r="D218" s="116">
        <f>((1+'AP02'!$C218)^(1/12))-1</f>
        <v>0.006239681461</v>
      </c>
      <c r="E218" s="51">
        <f t="shared" si="127"/>
        <v>2171.261517</v>
      </c>
      <c r="F218" s="51">
        <f>(O217*'AP02'!$P218)*'AP02'!$D218</f>
        <v>879.9405671</v>
      </c>
      <c r="G218" s="51">
        <f>(O217*'AP02'!$P218)/($I$5-A217)</f>
        <v>898.2376781</v>
      </c>
      <c r="H218" s="52">
        <f t="shared" ref="H218:L218" si="267">H217</f>
        <v>0</v>
      </c>
      <c r="I218" s="52">
        <f t="shared" si="267"/>
        <v>0</v>
      </c>
      <c r="J218" s="51">
        <f t="shared" si="267"/>
        <v>25</v>
      </c>
      <c r="K218" s="52">
        <f t="shared" si="267"/>
        <v>0</v>
      </c>
      <c r="L218" s="52">
        <f t="shared" si="267"/>
        <v>0</v>
      </c>
      <c r="M218" s="51">
        <f>SUM('AP02'!$F218:$L218)</f>
        <v>1803.178245</v>
      </c>
      <c r="N218" s="51">
        <f>O217*('AP02'!$P218-1)</f>
        <v>0</v>
      </c>
      <c r="O218" s="51">
        <f>(O217*'AP02'!$P218)-'AP02'!$G218</f>
        <v>140125.0778</v>
      </c>
      <c r="P218" s="53">
        <f t="shared" si="149"/>
        <v>1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56">
        <f t="shared" si="2"/>
        <v>205</v>
      </c>
      <c r="B219" s="50">
        <f t="shared" si="5"/>
        <v>49481</v>
      </c>
      <c r="C219" s="116">
        <f t="shared" si="126"/>
        <v>0.0775</v>
      </c>
      <c r="D219" s="116">
        <f>((1+'AP02'!$C219)^(1/12))-1</f>
        <v>0.006239681461</v>
      </c>
      <c r="E219" s="51">
        <f t="shared" si="127"/>
        <v>2171.261517</v>
      </c>
      <c r="F219" s="51">
        <f>(O218*'AP02'!$P219)*'AP02'!$D219</f>
        <v>874.3358502</v>
      </c>
      <c r="G219" s="51">
        <f>(O218*'AP02'!$P219)/($I$5-A218)</f>
        <v>898.2376781</v>
      </c>
      <c r="H219" s="52">
        <f t="shared" ref="H219:L219" si="268">H218</f>
        <v>0</v>
      </c>
      <c r="I219" s="52">
        <f t="shared" si="268"/>
        <v>0</v>
      </c>
      <c r="J219" s="51">
        <f t="shared" si="268"/>
        <v>25</v>
      </c>
      <c r="K219" s="52">
        <f t="shared" si="268"/>
        <v>0</v>
      </c>
      <c r="L219" s="52">
        <f t="shared" si="268"/>
        <v>0</v>
      </c>
      <c r="M219" s="51">
        <f>SUM('AP02'!$F219:$L219)</f>
        <v>1797.573528</v>
      </c>
      <c r="N219" s="51">
        <f>O218*('AP02'!$P219-1)</f>
        <v>0</v>
      </c>
      <c r="O219" s="51">
        <f>(O218*'AP02'!$P219)-'AP02'!$G219</f>
        <v>139226.8401</v>
      </c>
      <c r="P219" s="53">
        <f t="shared" si="149"/>
        <v>1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56">
        <f t="shared" si="2"/>
        <v>206</v>
      </c>
      <c r="B220" s="50">
        <f t="shared" si="5"/>
        <v>49511</v>
      </c>
      <c r="C220" s="116">
        <f t="shared" si="126"/>
        <v>0.0775</v>
      </c>
      <c r="D220" s="116">
        <f>((1+'AP02'!$C220)^(1/12))-1</f>
        <v>0.006239681461</v>
      </c>
      <c r="E220" s="51">
        <f t="shared" si="127"/>
        <v>2171.261517</v>
      </c>
      <c r="F220" s="51">
        <f>(O219*'AP02'!$P220)*'AP02'!$D220</f>
        <v>868.7311332</v>
      </c>
      <c r="G220" s="51">
        <f>(O219*'AP02'!$P220)/($I$5-A219)</f>
        <v>898.2376781</v>
      </c>
      <c r="H220" s="52">
        <f t="shared" ref="H220:L220" si="269">H219</f>
        <v>0</v>
      </c>
      <c r="I220" s="52">
        <f t="shared" si="269"/>
        <v>0</v>
      </c>
      <c r="J220" s="51">
        <f t="shared" si="269"/>
        <v>25</v>
      </c>
      <c r="K220" s="52">
        <f t="shared" si="269"/>
        <v>0</v>
      </c>
      <c r="L220" s="52">
        <f t="shared" si="269"/>
        <v>0</v>
      </c>
      <c r="M220" s="51">
        <f>SUM('AP02'!$F220:$L220)</f>
        <v>1791.968811</v>
      </c>
      <c r="N220" s="51">
        <f>O219*('AP02'!$P220-1)</f>
        <v>0</v>
      </c>
      <c r="O220" s="51">
        <f>(O219*'AP02'!$P220)-'AP02'!$G220</f>
        <v>138328.6024</v>
      </c>
      <c r="P220" s="53">
        <f t="shared" si="149"/>
        <v>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56">
        <f t="shared" si="2"/>
        <v>207</v>
      </c>
      <c r="B221" s="50">
        <f t="shared" si="5"/>
        <v>49542</v>
      </c>
      <c r="C221" s="116">
        <f t="shared" si="126"/>
        <v>0.0775</v>
      </c>
      <c r="D221" s="116">
        <f>((1+'AP02'!$C221)^(1/12))-1</f>
        <v>0.006239681461</v>
      </c>
      <c r="E221" s="51">
        <f t="shared" si="127"/>
        <v>2171.261517</v>
      </c>
      <c r="F221" s="51">
        <f>(O220*'AP02'!$P221)*'AP02'!$D221</f>
        <v>863.1264162</v>
      </c>
      <c r="G221" s="51">
        <f>(O220*'AP02'!$P221)/($I$5-A220)</f>
        <v>898.2376781</v>
      </c>
      <c r="H221" s="52">
        <f t="shared" ref="H221:L221" si="270">H220</f>
        <v>0</v>
      </c>
      <c r="I221" s="52">
        <f t="shared" si="270"/>
        <v>0</v>
      </c>
      <c r="J221" s="51">
        <f t="shared" si="270"/>
        <v>25</v>
      </c>
      <c r="K221" s="52">
        <f t="shared" si="270"/>
        <v>0</v>
      </c>
      <c r="L221" s="52">
        <f t="shared" si="270"/>
        <v>0</v>
      </c>
      <c r="M221" s="51">
        <f>SUM('AP02'!$F221:$L221)</f>
        <v>1786.364094</v>
      </c>
      <c r="N221" s="51">
        <f>O220*('AP02'!$P221-1)</f>
        <v>0</v>
      </c>
      <c r="O221" s="51">
        <f>(O220*'AP02'!$P221)-'AP02'!$G221</f>
        <v>137430.3648</v>
      </c>
      <c r="P221" s="53">
        <f t="shared" si="149"/>
        <v>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56">
        <f t="shared" si="2"/>
        <v>208</v>
      </c>
      <c r="B222" s="50">
        <f t="shared" si="5"/>
        <v>49573</v>
      </c>
      <c r="C222" s="116">
        <f t="shared" si="126"/>
        <v>0.0775</v>
      </c>
      <c r="D222" s="116">
        <f>((1+'AP02'!$C222)^(1/12))-1</f>
        <v>0.006239681461</v>
      </c>
      <c r="E222" s="51">
        <f t="shared" si="127"/>
        <v>2171.261517</v>
      </c>
      <c r="F222" s="51">
        <f>(O221*'AP02'!$P222)*'AP02'!$D222</f>
        <v>857.5216992</v>
      </c>
      <c r="G222" s="51">
        <f>(O221*'AP02'!$P222)/($I$5-A221)</f>
        <v>898.2376781</v>
      </c>
      <c r="H222" s="52">
        <f t="shared" ref="H222:L222" si="271">H221</f>
        <v>0</v>
      </c>
      <c r="I222" s="52">
        <f t="shared" si="271"/>
        <v>0</v>
      </c>
      <c r="J222" s="51">
        <f t="shared" si="271"/>
        <v>25</v>
      </c>
      <c r="K222" s="52">
        <f t="shared" si="271"/>
        <v>0</v>
      </c>
      <c r="L222" s="52">
        <f t="shared" si="271"/>
        <v>0</v>
      </c>
      <c r="M222" s="51">
        <f>SUM('AP02'!$F222:$L222)</f>
        <v>1780.759377</v>
      </c>
      <c r="N222" s="51">
        <f>O221*('AP02'!$P222-1)</f>
        <v>0</v>
      </c>
      <c r="O222" s="51">
        <f>(O221*'AP02'!$P222)-'AP02'!$G222</f>
        <v>136532.1271</v>
      </c>
      <c r="P222" s="53">
        <f t="shared" si="149"/>
        <v>1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56">
        <f t="shared" si="2"/>
        <v>209</v>
      </c>
      <c r="B223" s="50">
        <f t="shared" si="5"/>
        <v>49603</v>
      </c>
      <c r="C223" s="116">
        <f t="shared" si="126"/>
        <v>0.0775</v>
      </c>
      <c r="D223" s="116">
        <f>((1+'AP02'!$C223)^(1/12))-1</f>
        <v>0.006239681461</v>
      </c>
      <c r="E223" s="51">
        <f t="shared" si="127"/>
        <v>2171.261517</v>
      </c>
      <c r="F223" s="51">
        <f>(O222*'AP02'!$P223)*'AP02'!$D223</f>
        <v>851.9169822</v>
      </c>
      <c r="G223" s="51">
        <f>(O222*'AP02'!$P223)/($I$5-A222)</f>
        <v>898.2376781</v>
      </c>
      <c r="H223" s="52">
        <f t="shared" ref="H223:L223" si="272">H222</f>
        <v>0</v>
      </c>
      <c r="I223" s="52">
        <f t="shared" si="272"/>
        <v>0</v>
      </c>
      <c r="J223" s="51">
        <f t="shared" si="272"/>
        <v>25</v>
      </c>
      <c r="K223" s="52">
        <f t="shared" si="272"/>
        <v>0</v>
      </c>
      <c r="L223" s="52">
        <f t="shared" si="272"/>
        <v>0</v>
      </c>
      <c r="M223" s="51">
        <f>SUM('AP02'!$F223:$L223)</f>
        <v>1775.15466</v>
      </c>
      <c r="N223" s="51">
        <f>O222*('AP02'!$P223-1)</f>
        <v>0</v>
      </c>
      <c r="O223" s="51">
        <f>(O222*'AP02'!$P223)-'AP02'!$G223</f>
        <v>135633.8894</v>
      </c>
      <c r="P223" s="53">
        <f t="shared" si="149"/>
        <v>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56">
        <f t="shared" si="2"/>
        <v>210</v>
      </c>
      <c r="B224" s="50">
        <f t="shared" si="5"/>
        <v>49634</v>
      </c>
      <c r="C224" s="116">
        <f t="shared" si="126"/>
        <v>0.0775</v>
      </c>
      <c r="D224" s="116">
        <f>((1+'AP02'!$C224)^(1/12))-1</f>
        <v>0.006239681461</v>
      </c>
      <c r="E224" s="51">
        <f t="shared" si="127"/>
        <v>2171.261517</v>
      </c>
      <c r="F224" s="51">
        <f>(O223*'AP02'!$P224)*'AP02'!$D224</f>
        <v>846.3122652</v>
      </c>
      <c r="G224" s="51">
        <f>(O223*'AP02'!$P224)/($I$5-A223)</f>
        <v>898.2376781</v>
      </c>
      <c r="H224" s="52">
        <f t="shared" ref="H224:L224" si="273">H223</f>
        <v>0</v>
      </c>
      <c r="I224" s="52">
        <f t="shared" si="273"/>
        <v>0</v>
      </c>
      <c r="J224" s="51">
        <f t="shared" si="273"/>
        <v>25</v>
      </c>
      <c r="K224" s="52">
        <f t="shared" si="273"/>
        <v>0</v>
      </c>
      <c r="L224" s="52">
        <f t="shared" si="273"/>
        <v>0</v>
      </c>
      <c r="M224" s="51">
        <f>SUM('AP02'!$F224:$L224)</f>
        <v>1769.549943</v>
      </c>
      <c r="N224" s="51">
        <f>O223*('AP02'!$P224-1)</f>
        <v>0</v>
      </c>
      <c r="O224" s="51">
        <f>(O223*'AP02'!$P224)-'AP02'!$G224</f>
        <v>134735.6517</v>
      </c>
      <c r="P224" s="53">
        <f t="shared" si="149"/>
        <v>1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56">
        <f t="shared" si="2"/>
        <v>211</v>
      </c>
      <c r="B225" s="50">
        <f t="shared" si="5"/>
        <v>49664</v>
      </c>
      <c r="C225" s="116">
        <f t="shared" si="126"/>
        <v>0.0775</v>
      </c>
      <c r="D225" s="116">
        <f>((1+'AP02'!$C225)^(1/12))-1</f>
        <v>0.006239681461</v>
      </c>
      <c r="E225" s="51">
        <f t="shared" si="127"/>
        <v>2171.261517</v>
      </c>
      <c r="F225" s="51">
        <f>(O224*'AP02'!$P225)*'AP02'!$D225</f>
        <v>840.7075482</v>
      </c>
      <c r="G225" s="51">
        <f>(O224*'AP02'!$P225)/($I$5-A224)</f>
        <v>898.2376781</v>
      </c>
      <c r="H225" s="52">
        <f t="shared" ref="H225:L225" si="274">H224</f>
        <v>0</v>
      </c>
      <c r="I225" s="52">
        <f t="shared" si="274"/>
        <v>0</v>
      </c>
      <c r="J225" s="51">
        <f t="shared" si="274"/>
        <v>25</v>
      </c>
      <c r="K225" s="52">
        <f t="shared" si="274"/>
        <v>0</v>
      </c>
      <c r="L225" s="52">
        <f t="shared" si="274"/>
        <v>0</v>
      </c>
      <c r="M225" s="51">
        <f>SUM('AP02'!$F225:$L225)</f>
        <v>1763.945226</v>
      </c>
      <c r="N225" s="51">
        <f>O224*('AP02'!$P225-1)</f>
        <v>0</v>
      </c>
      <c r="O225" s="51">
        <f>(O224*'AP02'!$P225)-'AP02'!$G225</f>
        <v>133837.414</v>
      </c>
      <c r="P225" s="53">
        <f t="shared" si="149"/>
        <v>1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56">
        <f t="shared" si="2"/>
        <v>212</v>
      </c>
      <c r="B226" s="50">
        <f t="shared" si="5"/>
        <v>49695</v>
      </c>
      <c r="C226" s="116">
        <f t="shared" si="126"/>
        <v>0.0775</v>
      </c>
      <c r="D226" s="116">
        <f>((1+'AP02'!$C226)^(1/12))-1</f>
        <v>0.006239681461</v>
      </c>
      <c r="E226" s="51">
        <f t="shared" si="127"/>
        <v>2171.261517</v>
      </c>
      <c r="F226" s="51">
        <f>(O225*'AP02'!$P226)*'AP02'!$D226</f>
        <v>835.1028312</v>
      </c>
      <c r="G226" s="51">
        <f>(O225*'AP02'!$P226)/($I$5-A225)</f>
        <v>898.2376781</v>
      </c>
      <c r="H226" s="52">
        <f t="shared" ref="H226:L226" si="275">H225</f>
        <v>0</v>
      </c>
      <c r="I226" s="52">
        <f t="shared" si="275"/>
        <v>0</v>
      </c>
      <c r="J226" s="51">
        <f t="shared" si="275"/>
        <v>25</v>
      </c>
      <c r="K226" s="52">
        <f t="shared" si="275"/>
        <v>0</v>
      </c>
      <c r="L226" s="52">
        <f t="shared" si="275"/>
        <v>0</v>
      </c>
      <c r="M226" s="51">
        <f>SUM('AP02'!$F226:$L226)</f>
        <v>1758.340509</v>
      </c>
      <c r="N226" s="51">
        <f>O225*('AP02'!$P226-1)</f>
        <v>0</v>
      </c>
      <c r="O226" s="51">
        <f>(O225*'AP02'!$P226)-'AP02'!$G226</f>
        <v>132939.1764</v>
      </c>
      <c r="P226" s="53">
        <f t="shared" si="149"/>
        <v>1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56">
        <f t="shared" si="2"/>
        <v>213</v>
      </c>
      <c r="B227" s="50">
        <f t="shared" si="5"/>
        <v>49726</v>
      </c>
      <c r="C227" s="116">
        <f t="shared" si="126"/>
        <v>0.0775</v>
      </c>
      <c r="D227" s="116">
        <f>((1+'AP02'!$C227)^(1/12))-1</f>
        <v>0.006239681461</v>
      </c>
      <c r="E227" s="51">
        <f t="shared" si="127"/>
        <v>2171.261517</v>
      </c>
      <c r="F227" s="51">
        <f>(O226*'AP02'!$P227)*'AP02'!$D227</f>
        <v>829.4981142</v>
      </c>
      <c r="G227" s="51">
        <f>(O226*'AP02'!$P227)/($I$5-A226)</f>
        <v>898.2376781</v>
      </c>
      <c r="H227" s="52">
        <f t="shared" ref="H227:L227" si="276">H226</f>
        <v>0</v>
      </c>
      <c r="I227" s="52">
        <f t="shared" si="276"/>
        <v>0</v>
      </c>
      <c r="J227" s="51">
        <f t="shared" si="276"/>
        <v>25</v>
      </c>
      <c r="K227" s="52">
        <f t="shared" si="276"/>
        <v>0</v>
      </c>
      <c r="L227" s="52">
        <f t="shared" si="276"/>
        <v>0</v>
      </c>
      <c r="M227" s="51">
        <f>SUM('AP02'!$F227:$L227)</f>
        <v>1752.735792</v>
      </c>
      <c r="N227" s="51">
        <f>O226*('AP02'!$P227-1)</f>
        <v>0</v>
      </c>
      <c r="O227" s="51">
        <f>(O226*'AP02'!$P227)-'AP02'!$G227</f>
        <v>132040.9387</v>
      </c>
      <c r="P227" s="53">
        <f t="shared" si="149"/>
        <v>1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56">
        <f t="shared" si="2"/>
        <v>214</v>
      </c>
      <c r="B228" s="50">
        <f t="shared" si="5"/>
        <v>49755</v>
      </c>
      <c r="C228" s="116">
        <f t="shared" si="126"/>
        <v>0.0775</v>
      </c>
      <c r="D228" s="116">
        <f>((1+'AP02'!$C228)^(1/12))-1</f>
        <v>0.006239681461</v>
      </c>
      <c r="E228" s="51">
        <f t="shared" si="127"/>
        <v>2171.261517</v>
      </c>
      <c r="F228" s="51">
        <f>(O227*'AP02'!$P228)*'AP02'!$D228</f>
        <v>823.8933973</v>
      </c>
      <c r="G228" s="51">
        <f>(O227*'AP02'!$P228)/($I$5-A227)</f>
        <v>898.2376781</v>
      </c>
      <c r="H228" s="52">
        <f t="shared" ref="H228:L228" si="277">H227</f>
        <v>0</v>
      </c>
      <c r="I228" s="52">
        <f t="shared" si="277"/>
        <v>0</v>
      </c>
      <c r="J228" s="51">
        <f t="shared" si="277"/>
        <v>25</v>
      </c>
      <c r="K228" s="52">
        <f t="shared" si="277"/>
        <v>0</v>
      </c>
      <c r="L228" s="52">
        <f t="shared" si="277"/>
        <v>0</v>
      </c>
      <c r="M228" s="51">
        <f>SUM('AP02'!$F228:$L228)</f>
        <v>1747.131075</v>
      </c>
      <c r="N228" s="51">
        <f>O227*('AP02'!$P228-1)</f>
        <v>0</v>
      </c>
      <c r="O228" s="51">
        <f>(O227*'AP02'!$P228)-'AP02'!$G228</f>
        <v>131142.701</v>
      </c>
      <c r="P228" s="53">
        <f t="shared" si="149"/>
        <v>1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56">
        <f t="shared" si="2"/>
        <v>215</v>
      </c>
      <c r="B229" s="50">
        <f t="shared" si="5"/>
        <v>49786</v>
      </c>
      <c r="C229" s="116">
        <f t="shared" si="126"/>
        <v>0.0775</v>
      </c>
      <c r="D229" s="116">
        <f>((1+'AP02'!$C229)^(1/12))-1</f>
        <v>0.006239681461</v>
      </c>
      <c r="E229" s="51">
        <f t="shared" si="127"/>
        <v>2171.261517</v>
      </c>
      <c r="F229" s="51">
        <f>(O228*'AP02'!$P229)*'AP02'!$D229</f>
        <v>818.2886803</v>
      </c>
      <c r="G229" s="51">
        <f>(O228*'AP02'!$P229)/($I$5-A228)</f>
        <v>898.2376781</v>
      </c>
      <c r="H229" s="52">
        <f t="shared" ref="H229:L229" si="278">H228</f>
        <v>0</v>
      </c>
      <c r="I229" s="52">
        <f t="shared" si="278"/>
        <v>0</v>
      </c>
      <c r="J229" s="51">
        <f t="shared" si="278"/>
        <v>25</v>
      </c>
      <c r="K229" s="52">
        <f t="shared" si="278"/>
        <v>0</v>
      </c>
      <c r="L229" s="52">
        <f t="shared" si="278"/>
        <v>0</v>
      </c>
      <c r="M229" s="51">
        <f>SUM('AP02'!$F229:$L229)</f>
        <v>1741.526358</v>
      </c>
      <c r="N229" s="51">
        <f>O228*('AP02'!$P229-1)</f>
        <v>0</v>
      </c>
      <c r="O229" s="51">
        <f>(O228*'AP02'!$P229)-'AP02'!$G229</f>
        <v>130244.4633</v>
      </c>
      <c r="P229" s="53">
        <f t="shared" si="149"/>
        <v>1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56">
        <f t="shared" si="2"/>
        <v>216</v>
      </c>
      <c r="B230" s="50">
        <f t="shared" si="5"/>
        <v>49816</v>
      </c>
      <c r="C230" s="116">
        <f t="shared" si="126"/>
        <v>0.0775</v>
      </c>
      <c r="D230" s="116">
        <f>((1+'AP02'!$C230)^(1/12))-1</f>
        <v>0.006239681461</v>
      </c>
      <c r="E230" s="51">
        <f t="shared" si="127"/>
        <v>2171.261517</v>
      </c>
      <c r="F230" s="51">
        <f>(O229*'AP02'!$P230)*'AP02'!$D230</f>
        <v>812.6839633</v>
      </c>
      <c r="G230" s="51">
        <f>(O229*'AP02'!$P230)/($I$5-A229)</f>
        <v>898.2376781</v>
      </c>
      <c r="H230" s="52">
        <f t="shared" ref="H230:L230" si="279">H229</f>
        <v>0</v>
      </c>
      <c r="I230" s="52">
        <f t="shared" si="279"/>
        <v>0</v>
      </c>
      <c r="J230" s="51">
        <f t="shared" si="279"/>
        <v>25</v>
      </c>
      <c r="K230" s="52">
        <f t="shared" si="279"/>
        <v>0</v>
      </c>
      <c r="L230" s="52">
        <f t="shared" si="279"/>
        <v>0</v>
      </c>
      <c r="M230" s="51">
        <f>SUM('AP02'!$F230:$L230)</f>
        <v>1735.921641</v>
      </c>
      <c r="N230" s="51">
        <f>O229*('AP02'!$P230-1)</f>
        <v>0</v>
      </c>
      <c r="O230" s="51">
        <f>(O229*'AP02'!$P230)-'AP02'!$G230</f>
        <v>129346.2257</v>
      </c>
      <c r="P230" s="53">
        <f t="shared" si="149"/>
        <v>1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56">
        <f t="shared" si="2"/>
        <v>217</v>
      </c>
      <c r="B231" s="50">
        <f t="shared" si="5"/>
        <v>49847</v>
      </c>
      <c r="C231" s="116">
        <f t="shared" si="126"/>
        <v>0.0775</v>
      </c>
      <c r="D231" s="116">
        <f>((1+'AP02'!$C231)^(1/12))-1</f>
        <v>0.006239681461</v>
      </c>
      <c r="E231" s="51">
        <f t="shared" si="127"/>
        <v>2171.261517</v>
      </c>
      <c r="F231" s="51">
        <f>(O230*'AP02'!$P231)*'AP02'!$D231</f>
        <v>807.0792463</v>
      </c>
      <c r="G231" s="51">
        <f>(O230*'AP02'!$P231)/($I$5-A230)</f>
        <v>898.2376781</v>
      </c>
      <c r="H231" s="52">
        <f t="shared" ref="H231:L231" si="280">H230</f>
        <v>0</v>
      </c>
      <c r="I231" s="52">
        <f t="shared" si="280"/>
        <v>0</v>
      </c>
      <c r="J231" s="51">
        <f t="shared" si="280"/>
        <v>25</v>
      </c>
      <c r="K231" s="52">
        <f t="shared" si="280"/>
        <v>0</v>
      </c>
      <c r="L231" s="52">
        <f t="shared" si="280"/>
        <v>0</v>
      </c>
      <c r="M231" s="51">
        <f>SUM('AP02'!$F231:$L231)</f>
        <v>1730.316924</v>
      </c>
      <c r="N231" s="51">
        <f>O230*('AP02'!$P231-1)</f>
        <v>0</v>
      </c>
      <c r="O231" s="51">
        <f>(O230*'AP02'!$P231)-'AP02'!$G231</f>
        <v>128447.988</v>
      </c>
      <c r="P231" s="53">
        <f t="shared" si="149"/>
        <v>1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56">
        <f t="shared" si="2"/>
        <v>218</v>
      </c>
      <c r="B232" s="50">
        <f t="shared" si="5"/>
        <v>49877</v>
      </c>
      <c r="C232" s="116">
        <f t="shared" si="126"/>
        <v>0.0775</v>
      </c>
      <c r="D232" s="116">
        <f>((1+'AP02'!$C232)^(1/12))-1</f>
        <v>0.006239681461</v>
      </c>
      <c r="E232" s="51">
        <f t="shared" si="127"/>
        <v>2171.261517</v>
      </c>
      <c r="F232" s="51">
        <f>(O231*'AP02'!$P232)*'AP02'!$D232</f>
        <v>801.4745293</v>
      </c>
      <c r="G232" s="51">
        <f>(O231*'AP02'!$P232)/($I$5-A231)</f>
        <v>898.2376781</v>
      </c>
      <c r="H232" s="52">
        <f t="shared" ref="H232:L232" si="281">H231</f>
        <v>0</v>
      </c>
      <c r="I232" s="52">
        <f t="shared" si="281"/>
        <v>0</v>
      </c>
      <c r="J232" s="51">
        <f t="shared" si="281"/>
        <v>25</v>
      </c>
      <c r="K232" s="52">
        <f t="shared" si="281"/>
        <v>0</v>
      </c>
      <c r="L232" s="52">
        <f t="shared" si="281"/>
        <v>0</v>
      </c>
      <c r="M232" s="51">
        <f>SUM('AP02'!$F232:$L232)</f>
        <v>1724.712207</v>
      </c>
      <c r="N232" s="51">
        <f>O231*('AP02'!$P232-1)</f>
        <v>0</v>
      </c>
      <c r="O232" s="51">
        <f>(O231*'AP02'!$P232)-'AP02'!$G232</f>
        <v>127549.7503</v>
      </c>
      <c r="P232" s="53">
        <f t="shared" si="149"/>
        <v>1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56">
        <f t="shared" si="2"/>
        <v>219</v>
      </c>
      <c r="B233" s="50">
        <f t="shared" si="5"/>
        <v>49908</v>
      </c>
      <c r="C233" s="116">
        <f t="shared" si="126"/>
        <v>0.0775</v>
      </c>
      <c r="D233" s="116">
        <f>((1+'AP02'!$C233)^(1/12))-1</f>
        <v>0.006239681461</v>
      </c>
      <c r="E233" s="51">
        <f t="shared" si="127"/>
        <v>2171.261517</v>
      </c>
      <c r="F233" s="51">
        <f>(O232*'AP02'!$P233)*'AP02'!$D233</f>
        <v>795.8698123</v>
      </c>
      <c r="G233" s="51">
        <f>(O232*'AP02'!$P233)/($I$5-A232)</f>
        <v>898.2376781</v>
      </c>
      <c r="H233" s="52">
        <f t="shared" ref="H233:L233" si="282">H232</f>
        <v>0</v>
      </c>
      <c r="I233" s="52">
        <f t="shared" si="282"/>
        <v>0</v>
      </c>
      <c r="J233" s="51">
        <f t="shared" si="282"/>
        <v>25</v>
      </c>
      <c r="K233" s="52">
        <f t="shared" si="282"/>
        <v>0</v>
      </c>
      <c r="L233" s="52">
        <f t="shared" si="282"/>
        <v>0</v>
      </c>
      <c r="M233" s="51">
        <f>SUM('AP02'!$F233:$L233)</f>
        <v>1719.10749</v>
      </c>
      <c r="N233" s="51">
        <f>O232*('AP02'!$P233-1)</f>
        <v>0</v>
      </c>
      <c r="O233" s="51">
        <f>(O232*'AP02'!$P233)-'AP02'!$G233</f>
        <v>126651.5126</v>
      </c>
      <c r="P233" s="53">
        <f t="shared" si="149"/>
        <v>1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56">
        <f t="shared" si="2"/>
        <v>220</v>
      </c>
      <c r="B234" s="50">
        <f t="shared" si="5"/>
        <v>49939</v>
      </c>
      <c r="C234" s="116">
        <f t="shared" si="126"/>
        <v>0.0775</v>
      </c>
      <c r="D234" s="116">
        <f>((1+'AP02'!$C234)^(1/12))-1</f>
        <v>0.006239681461</v>
      </c>
      <c r="E234" s="51">
        <f t="shared" si="127"/>
        <v>2171.261517</v>
      </c>
      <c r="F234" s="51">
        <f>(O233*'AP02'!$P234)*'AP02'!$D234</f>
        <v>790.2650953</v>
      </c>
      <c r="G234" s="51">
        <f>(O233*'AP02'!$P234)/($I$5-A233)</f>
        <v>898.2376781</v>
      </c>
      <c r="H234" s="52">
        <f t="shared" ref="H234:L234" si="283">H233</f>
        <v>0</v>
      </c>
      <c r="I234" s="52">
        <f t="shared" si="283"/>
        <v>0</v>
      </c>
      <c r="J234" s="51">
        <f t="shared" si="283"/>
        <v>25</v>
      </c>
      <c r="K234" s="52">
        <f t="shared" si="283"/>
        <v>0</v>
      </c>
      <c r="L234" s="52">
        <f t="shared" si="283"/>
        <v>0</v>
      </c>
      <c r="M234" s="51">
        <f>SUM('AP02'!$F234:$L234)</f>
        <v>1713.502773</v>
      </c>
      <c r="N234" s="51">
        <f>O233*('AP02'!$P234-1)</f>
        <v>0</v>
      </c>
      <c r="O234" s="51">
        <f>(O233*'AP02'!$P234)-'AP02'!$G234</f>
        <v>125753.2749</v>
      </c>
      <c r="P234" s="53">
        <f t="shared" si="149"/>
        <v>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56">
        <f t="shared" si="2"/>
        <v>221</v>
      </c>
      <c r="B235" s="50">
        <f t="shared" si="5"/>
        <v>49969</v>
      </c>
      <c r="C235" s="116">
        <f t="shared" si="126"/>
        <v>0.0775</v>
      </c>
      <c r="D235" s="116">
        <f>((1+'AP02'!$C235)^(1/12))-1</f>
        <v>0.006239681461</v>
      </c>
      <c r="E235" s="51">
        <f t="shared" si="127"/>
        <v>2171.261517</v>
      </c>
      <c r="F235" s="51">
        <f>(O234*'AP02'!$P235)*'AP02'!$D235</f>
        <v>784.6603783</v>
      </c>
      <c r="G235" s="51">
        <f>(O234*'AP02'!$P235)/($I$5-A234)</f>
        <v>898.2376781</v>
      </c>
      <c r="H235" s="52">
        <f t="shared" ref="H235:L235" si="284">H234</f>
        <v>0</v>
      </c>
      <c r="I235" s="52">
        <f t="shared" si="284"/>
        <v>0</v>
      </c>
      <c r="J235" s="51">
        <f t="shared" si="284"/>
        <v>25</v>
      </c>
      <c r="K235" s="52">
        <f t="shared" si="284"/>
        <v>0</v>
      </c>
      <c r="L235" s="52">
        <f t="shared" si="284"/>
        <v>0</v>
      </c>
      <c r="M235" s="51">
        <f>SUM('AP02'!$F235:$L235)</f>
        <v>1707.898056</v>
      </c>
      <c r="N235" s="51">
        <f>O234*('AP02'!$P235-1)</f>
        <v>0</v>
      </c>
      <c r="O235" s="51">
        <f>(O234*'AP02'!$P235)-'AP02'!$G235</f>
        <v>124855.0373</v>
      </c>
      <c r="P235" s="53">
        <f t="shared" si="149"/>
        <v>1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56">
        <f t="shared" si="2"/>
        <v>222</v>
      </c>
      <c r="B236" s="50">
        <f t="shared" si="5"/>
        <v>50000</v>
      </c>
      <c r="C236" s="116">
        <f t="shared" si="126"/>
        <v>0.0775</v>
      </c>
      <c r="D236" s="116">
        <f>((1+'AP02'!$C236)^(1/12))-1</f>
        <v>0.006239681461</v>
      </c>
      <c r="E236" s="51">
        <f t="shared" si="127"/>
        <v>2171.261517</v>
      </c>
      <c r="F236" s="51">
        <f>(O235*'AP02'!$P236)*'AP02'!$D236</f>
        <v>779.0556614</v>
      </c>
      <c r="G236" s="51">
        <f>(O235*'AP02'!$P236)/($I$5-A235)</f>
        <v>898.2376781</v>
      </c>
      <c r="H236" s="52">
        <f t="shared" ref="H236:L236" si="285">H235</f>
        <v>0</v>
      </c>
      <c r="I236" s="52">
        <f t="shared" si="285"/>
        <v>0</v>
      </c>
      <c r="J236" s="51">
        <f t="shared" si="285"/>
        <v>25</v>
      </c>
      <c r="K236" s="52">
        <f t="shared" si="285"/>
        <v>0</v>
      </c>
      <c r="L236" s="52">
        <f t="shared" si="285"/>
        <v>0</v>
      </c>
      <c r="M236" s="51">
        <f>SUM('AP02'!$F236:$L236)</f>
        <v>1702.293339</v>
      </c>
      <c r="N236" s="51">
        <f>O235*('AP02'!$P236-1)</f>
        <v>0</v>
      </c>
      <c r="O236" s="51">
        <f>(O235*'AP02'!$P236)-'AP02'!$G236</f>
        <v>123956.7996</v>
      </c>
      <c r="P236" s="53">
        <f t="shared" si="149"/>
        <v>1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56">
        <f t="shared" si="2"/>
        <v>223</v>
      </c>
      <c r="B237" s="50">
        <f t="shared" si="5"/>
        <v>50030</v>
      </c>
      <c r="C237" s="116">
        <f t="shared" si="126"/>
        <v>0.0775</v>
      </c>
      <c r="D237" s="116">
        <f>((1+'AP02'!$C237)^(1/12))-1</f>
        <v>0.006239681461</v>
      </c>
      <c r="E237" s="51">
        <f t="shared" si="127"/>
        <v>2171.261517</v>
      </c>
      <c r="F237" s="51">
        <f>(O236*'AP02'!$P237)*'AP02'!$D237</f>
        <v>773.4509444</v>
      </c>
      <c r="G237" s="51">
        <f>(O236*'AP02'!$P237)/($I$5-A236)</f>
        <v>898.2376781</v>
      </c>
      <c r="H237" s="52">
        <f t="shared" ref="H237:L237" si="286">H236</f>
        <v>0</v>
      </c>
      <c r="I237" s="52">
        <f t="shared" si="286"/>
        <v>0</v>
      </c>
      <c r="J237" s="51">
        <f t="shared" si="286"/>
        <v>25</v>
      </c>
      <c r="K237" s="52">
        <f t="shared" si="286"/>
        <v>0</v>
      </c>
      <c r="L237" s="52">
        <f t="shared" si="286"/>
        <v>0</v>
      </c>
      <c r="M237" s="51">
        <f>SUM('AP02'!$F237:$L237)</f>
        <v>1696.688623</v>
      </c>
      <c r="N237" s="51">
        <f>O236*('AP02'!$P237-1)</f>
        <v>0</v>
      </c>
      <c r="O237" s="51">
        <f>(O236*'AP02'!$P237)-'AP02'!$G237</f>
        <v>123058.5619</v>
      </c>
      <c r="P237" s="53">
        <f t="shared" si="149"/>
        <v>1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56">
        <f t="shared" si="2"/>
        <v>224</v>
      </c>
      <c r="B238" s="50">
        <f t="shared" si="5"/>
        <v>50061</v>
      </c>
      <c r="C238" s="116">
        <f t="shared" si="126"/>
        <v>0.0775</v>
      </c>
      <c r="D238" s="116">
        <f>((1+'AP02'!$C238)^(1/12))-1</f>
        <v>0.006239681461</v>
      </c>
      <c r="E238" s="51">
        <f t="shared" si="127"/>
        <v>2171.261517</v>
      </c>
      <c r="F238" s="51">
        <f>(O237*'AP02'!$P238)*'AP02'!$D238</f>
        <v>767.8462274</v>
      </c>
      <c r="G238" s="51">
        <f>(O237*'AP02'!$P238)/($I$5-A237)</f>
        <v>898.2376781</v>
      </c>
      <c r="H238" s="52">
        <f t="shared" ref="H238:L238" si="287">H237</f>
        <v>0</v>
      </c>
      <c r="I238" s="52">
        <f t="shared" si="287"/>
        <v>0</v>
      </c>
      <c r="J238" s="51">
        <f t="shared" si="287"/>
        <v>25</v>
      </c>
      <c r="K238" s="52">
        <f t="shared" si="287"/>
        <v>0</v>
      </c>
      <c r="L238" s="52">
        <f t="shared" si="287"/>
        <v>0</v>
      </c>
      <c r="M238" s="51">
        <f>SUM('AP02'!$F238:$L238)</f>
        <v>1691.083906</v>
      </c>
      <c r="N238" s="51">
        <f>O237*('AP02'!$P238-1)</f>
        <v>0</v>
      </c>
      <c r="O238" s="51">
        <f>(O237*'AP02'!$P238)-'AP02'!$G238</f>
        <v>122160.3242</v>
      </c>
      <c r="P238" s="53">
        <f t="shared" si="149"/>
        <v>1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56">
        <f t="shared" si="2"/>
        <v>225</v>
      </c>
      <c r="B239" s="50">
        <f t="shared" si="5"/>
        <v>50092</v>
      </c>
      <c r="C239" s="116">
        <f t="shared" si="126"/>
        <v>0.0775</v>
      </c>
      <c r="D239" s="116">
        <f>((1+'AP02'!$C239)^(1/12))-1</f>
        <v>0.006239681461</v>
      </c>
      <c r="E239" s="51">
        <f t="shared" si="127"/>
        <v>2171.261517</v>
      </c>
      <c r="F239" s="51">
        <f>(O238*'AP02'!$P239)*'AP02'!$D239</f>
        <v>762.2415104</v>
      </c>
      <c r="G239" s="51">
        <f>(O238*'AP02'!$P239)/($I$5-A238)</f>
        <v>898.2376781</v>
      </c>
      <c r="H239" s="52">
        <f t="shared" ref="H239:L239" si="288">H238</f>
        <v>0</v>
      </c>
      <c r="I239" s="52">
        <f t="shared" si="288"/>
        <v>0</v>
      </c>
      <c r="J239" s="51">
        <f t="shared" si="288"/>
        <v>25</v>
      </c>
      <c r="K239" s="52">
        <f t="shared" si="288"/>
        <v>0</v>
      </c>
      <c r="L239" s="52">
        <f t="shared" si="288"/>
        <v>0</v>
      </c>
      <c r="M239" s="51">
        <f>SUM('AP02'!$F239:$L239)</f>
        <v>1685.479189</v>
      </c>
      <c r="N239" s="51">
        <f>O238*('AP02'!$P239-1)</f>
        <v>0</v>
      </c>
      <c r="O239" s="51">
        <f>(O238*'AP02'!$P239)-'AP02'!$G239</f>
        <v>121262.0865</v>
      </c>
      <c r="P239" s="53">
        <f t="shared" si="149"/>
        <v>1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56">
        <f t="shared" si="2"/>
        <v>226</v>
      </c>
      <c r="B240" s="50">
        <f t="shared" si="5"/>
        <v>50120</v>
      </c>
      <c r="C240" s="116">
        <f t="shared" si="126"/>
        <v>0.0775</v>
      </c>
      <c r="D240" s="116">
        <f>((1+'AP02'!$C240)^(1/12))-1</f>
        <v>0.006239681461</v>
      </c>
      <c r="E240" s="51">
        <f t="shared" si="127"/>
        <v>2171.261517</v>
      </c>
      <c r="F240" s="51">
        <f>(O239*'AP02'!$P240)*'AP02'!$D240</f>
        <v>756.6367934</v>
      </c>
      <c r="G240" s="51">
        <f>(O239*'AP02'!$P240)/($I$5-A239)</f>
        <v>898.2376781</v>
      </c>
      <c r="H240" s="52">
        <f t="shared" ref="H240:L240" si="289">H239</f>
        <v>0</v>
      </c>
      <c r="I240" s="52">
        <f t="shared" si="289"/>
        <v>0</v>
      </c>
      <c r="J240" s="51">
        <f t="shared" si="289"/>
        <v>25</v>
      </c>
      <c r="K240" s="52">
        <f t="shared" si="289"/>
        <v>0</v>
      </c>
      <c r="L240" s="52">
        <f t="shared" si="289"/>
        <v>0</v>
      </c>
      <c r="M240" s="51">
        <f>SUM('AP02'!$F240:$L240)</f>
        <v>1679.874472</v>
      </c>
      <c r="N240" s="51">
        <f>O239*('AP02'!$P240-1)</f>
        <v>0</v>
      </c>
      <c r="O240" s="51">
        <f>(O239*'AP02'!$P240)-'AP02'!$G240</f>
        <v>120363.8489</v>
      </c>
      <c r="P240" s="53">
        <f t="shared" si="149"/>
        <v>1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56">
        <f t="shared" si="2"/>
        <v>227</v>
      </c>
      <c r="B241" s="50">
        <f t="shared" si="5"/>
        <v>50151</v>
      </c>
      <c r="C241" s="116">
        <f t="shared" si="126"/>
        <v>0.0775</v>
      </c>
      <c r="D241" s="116">
        <f>((1+'AP02'!$C241)^(1/12))-1</f>
        <v>0.006239681461</v>
      </c>
      <c r="E241" s="51">
        <f t="shared" si="127"/>
        <v>2171.261517</v>
      </c>
      <c r="F241" s="51">
        <f>(O240*'AP02'!$P241)*'AP02'!$D241</f>
        <v>751.0320764</v>
      </c>
      <c r="G241" s="51">
        <f>(O240*'AP02'!$P241)/($I$5-A240)</f>
        <v>898.2376781</v>
      </c>
      <c r="H241" s="52">
        <f t="shared" ref="H241:L241" si="290">H240</f>
        <v>0</v>
      </c>
      <c r="I241" s="52">
        <f t="shared" si="290"/>
        <v>0</v>
      </c>
      <c r="J241" s="51">
        <f t="shared" si="290"/>
        <v>25</v>
      </c>
      <c r="K241" s="52">
        <f t="shared" si="290"/>
        <v>0</v>
      </c>
      <c r="L241" s="52">
        <f t="shared" si="290"/>
        <v>0</v>
      </c>
      <c r="M241" s="51">
        <f>SUM('AP02'!$F241:$L241)</f>
        <v>1674.269755</v>
      </c>
      <c r="N241" s="51">
        <f>O240*('AP02'!$P241-1)</f>
        <v>0</v>
      </c>
      <c r="O241" s="51">
        <f>(O240*'AP02'!$P241)-'AP02'!$G241</f>
        <v>119465.6112</v>
      </c>
      <c r="P241" s="53">
        <f t="shared" si="149"/>
        <v>1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56">
        <f t="shared" si="2"/>
        <v>228</v>
      </c>
      <c r="B242" s="50">
        <f t="shared" si="5"/>
        <v>50181</v>
      </c>
      <c r="C242" s="116">
        <f t="shared" si="126"/>
        <v>0.0775</v>
      </c>
      <c r="D242" s="116">
        <f>((1+'AP02'!$C242)^(1/12))-1</f>
        <v>0.006239681461</v>
      </c>
      <c r="E242" s="51">
        <f t="shared" si="127"/>
        <v>2171.261517</v>
      </c>
      <c r="F242" s="51">
        <f>(O241*'AP02'!$P242)*'AP02'!$D242</f>
        <v>745.4273594</v>
      </c>
      <c r="G242" s="51">
        <f>(O241*'AP02'!$P242)/($I$5-A241)</f>
        <v>898.2376781</v>
      </c>
      <c r="H242" s="52">
        <f t="shared" ref="H242:L242" si="291">H241</f>
        <v>0</v>
      </c>
      <c r="I242" s="52">
        <f t="shared" si="291"/>
        <v>0</v>
      </c>
      <c r="J242" s="51">
        <f t="shared" si="291"/>
        <v>25</v>
      </c>
      <c r="K242" s="52">
        <f t="shared" si="291"/>
        <v>0</v>
      </c>
      <c r="L242" s="52">
        <f t="shared" si="291"/>
        <v>0</v>
      </c>
      <c r="M242" s="51">
        <f>SUM('AP02'!$F242:$L242)</f>
        <v>1668.665038</v>
      </c>
      <c r="N242" s="51">
        <f>O241*('AP02'!$P242-1)</f>
        <v>0</v>
      </c>
      <c r="O242" s="51">
        <f>(O241*'AP02'!$P242)-'AP02'!$G242</f>
        <v>118567.3735</v>
      </c>
      <c r="P242" s="53">
        <f t="shared" si="149"/>
        <v>1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56">
        <f t="shared" si="2"/>
        <v>229</v>
      </c>
      <c r="B243" s="50">
        <f t="shared" si="5"/>
        <v>50212</v>
      </c>
      <c r="C243" s="116">
        <f t="shared" si="126"/>
        <v>0.0775</v>
      </c>
      <c r="D243" s="116">
        <f>((1+'AP02'!$C243)^(1/12))-1</f>
        <v>0.006239681461</v>
      </c>
      <c r="E243" s="51">
        <f t="shared" si="127"/>
        <v>2171.261517</v>
      </c>
      <c r="F243" s="51">
        <f>(O242*'AP02'!$P243)*'AP02'!$D243</f>
        <v>739.8226424</v>
      </c>
      <c r="G243" s="51">
        <f>(O242*'AP02'!$P243)/($I$5-A242)</f>
        <v>898.2376781</v>
      </c>
      <c r="H243" s="52">
        <f t="shared" ref="H243:L243" si="292">H242</f>
        <v>0</v>
      </c>
      <c r="I243" s="52">
        <f t="shared" si="292"/>
        <v>0</v>
      </c>
      <c r="J243" s="51">
        <f t="shared" si="292"/>
        <v>25</v>
      </c>
      <c r="K243" s="52">
        <f t="shared" si="292"/>
        <v>0</v>
      </c>
      <c r="L243" s="52">
        <f t="shared" si="292"/>
        <v>0</v>
      </c>
      <c r="M243" s="51">
        <f>SUM('AP02'!$F243:$L243)</f>
        <v>1663.060321</v>
      </c>
      <c r="N243" s="51">
        <f>O242*('AP02'!$P243-1)</f>
        <v>0</v>
      </c>
      <c r="O243" s="51">
        <f>(O242*'AP02'!$P243)-'AP02'!$G243</f>
        <v>117669.1358</v>
      </c>
      <c r="P243" s="53">
        <f t="shared" si="149"/>
        <v>1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56">
        <f t="shared" si="2"/>
        <v>230</v>
      </c>
      <c r="B244" s="50">
        <f t="shared" si="5"/>
        <v>50242</v>
      </c>
      <c r="C244" s="116">
        <f t="shared" si="126"/>
        <v>0.0775</v>
      </c>
      <c r="D244" s="116">
        <f>((1+'AP02'!$C244)^(1/12))-1</f>
        <v>0.006239681461</v>
      </c>
      <c r="E244" s="51">
        <f t="shared" si="127"/>
        <v>2171.261517</v>
      </c>
      <c r="F244" s="51">
        <f>(O243*'AP02'!$P244)*'AP02'!$D244</f>
        <v>734.2179254</v>
      </c>
      <c r="G244" s="51">
        <f>(O243*'AP02'!$P244)/($I$5-A243)</f>
        <v>898.2376781</v>
      </c>
      <c r="H244" s="52">
        <f t="shared" ref="H244:L244" si="293">H243</f>
        <v>0</v>
      </c>
      <c r="I244" s="52">
        <f t="shared" si="293"/>
        <v>0</v>
      </c>
      <c r="J244" s="51">
        <f t="shared" si="293"/>
        <v>25</v>
      </c>
      <c r="K244" s="52">
        <f t="shared" si="293"/>
        <v>0</v>
      </c>
      <c r="L244" s="52">
        <f t="shared" si="293"/>
        <v>0</v>
      </c>
      <c r="M244" s="51">
        <f>SUM('AP02'!$F244:$L244)</f>
        <v>1657.455604</v>
      </c>
      <c r="N244" s="51">
        <f>O243*('AP02'!$P244-1)</f>
        <v>0</v>
      </c>
      <c r="O244" s="51">
        <f>(O243*'AP02'!$P244)-'AP02'!$G244</f>
        <v>116770.8982</v>
      </c>
      <c r="P244" s="53">
        <f t="shared" si="149"/>
        <v>1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56">
        <f t="shared" si="2"/>
        <v>231</v>
      </c>
      <c r="B245" s="50">
        <f t="shared" si="5"/>
        <v>50273</v>
      </c>
      <c r="C245" s="116">
        <f t="shared" si="126"/>
        <v>0.0775</v>
      </c>
      <c r="D245" s="116">
        <f>((1+'AP02'!$C245)^(1/12))-1</f>
        <v>0.006239681461</v>
      </c>
      <c r="E245" s="51">
        <f t="shared" si="127"/>
        <v>2171.261517</v>
      </c>
      <c r="F245" s="51">
        <f>(O244*'AP02'!$P245)*'AP02'!$D245</f>
        <v>728.6132085</v>
      </c>
      <c r="G245" s="51">
        <f>(O244*'AP02'!$P245)/($I$5-A244)</f>
        <v>898.2376781</v>
      </c>
      <c r="H245" s="52">
        <f t="shared" ref="H245:L245" si="294">H244</f>
        <v>0</v>
      </c>
      <c r="I245" s="52">
        <f t="shared" si="294"/>
        <v>0</v>
      </c>
      <c r="J245" s="51">
        <f t="shared" si="294"/>
        <v>25</v>
      </c>
      <c r="K245" s="52">
        <f t="shared" si="294"/>
        <v>0</v>
      </c>
      <c r="L245" s="52">
        <f t="shared" si="294"/>
        <v>0</v>
      </c>
      <c r="M245" s="51">
        <f>SUM('AP02'!$F245:$L245)</f>
        <v>1651.850887</v>
      </c>
      <c r="N245" s="51">
        <f>O244*('AP02'!$P245-1)</f>
        <v>0</v>
      </c>
      <c r="O245" s="51">
        <f>(O244*'AP02'!$P245)-'AP02'!$G245</f>
        <v>115872.6605</v>
      </c>
      <c r="P245" s="53">
        <f t="shared" si="149"/>
        <v>1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56">
        <f t="shared" si="2"/>
        <v>232</v>
      </c>
      <c r="B246" s="50">
        <f t="shared" si="5"/>
        <v>50304</v>
      </c>
      <c r="C246" s="116">
        <f t="shared" si="126"/>
        <v>0.0775</v>
      </c>
      <c r="D246" s="116">
        <f>((1+'AP02'!$C246)^(1/12))-1</f>
        <v>0.006239681461</v>
      </c>
      <c r="E246" s="51">
        <f t="shared" si="127"/>
        <v>2171.261517</v>
      </c>
      <c r="F246" s="51">
        <f>(O245*'AP02'!$P246)*'AP02'!$D246</f>
        <v>723.0084915</v>
      </c>
      <c r="G246" s="51">
        <f>(O245*'AP02'!$P246)/($I$5-A245)</f>
        <v>898.2376781</v>
      </c>
      <c r="H246" s="52">
        <f t="shared" ref="H246:L246" si="295">H245</f>
        <v>0</v>
      </c>
      <c r="I246" s="52">
        <f t="shared" si="295"/>
        <v>0</v>
      </c>
      <c r="J246" s="51">
        <f t="shared" si="295"/>
        <v>25</v>
      </c>
      <c r="K246" s="52">
        <f t="shared" si="295"/>
        <v>0</v>
      </c>
      <c r="L246" s="52">
        <f t="shared" si="295"/>
        <v>0</v>
      </c>
      <c r="M246" s="51">
        <f>SUM('AP02'!$F246:$L246)</f>
        <v>1646.24617</v>
      </c>
      <c r="N246" s="51">
        <f>O245*('AP02'!$P246-1)</f>
        <v>0</v>
      </c>
      <c r="O246" s="51">
        <f>(O245*'AP02'!$P246)-'AP02'!$G246</f>
        <v>114974.4228</v>
      </c>
      <c r="P246" s="53">
        <f t="shared" si="149"/>
        <v>1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56">
        <f t="shared" si="2"/>
        <v>233</v>
      </c>
      <c r="B247" s="50">
        <f t="shared" si="5"/>
        <v>50334</v>
      </c>
      <c r="C247" s="116">
        <f t="shared" si="126"/>
        <v>0.0775</v>
      </c>
      <c r="D247" s="116">
        <f>((1+'AP02'!$C247)^(1/12))-1</f>
        <v>0.006239681461</v>
      </c>
      <c r="E247" s="51">
        <f t="shared" si="127"/>
        <v>2171.261517</v>
      </c>
      <c r="F247" s="51">
        <f>(O246*'AP02'!$P247)*'AP02'!$D247</f>
        <v>717.4037745</v>
      </c>
      <c r="G247" s="51">
        <f>(O246*'AP02'!$P247)/($I$5-A246)</f>
        <v>898.2376781</v>
      </c>
      <c r="H247" s="52">
        <f t="shared" ref="H247:L247" si="296">H246</f>
        <v>0</v>
      </c>
      <c r="I247" s="52">
        <f t="shared" si="296"/>
        <v>0</v>
      </c>
      <c r="J247" s="51">
        <f t="shared" si="296"/>
        <v>25</v>
      </c>
      <c r="K247" s="52">
        <f t="shared" si="296"/>
        <v>0</v>
      </c>
      <c r="L247" s="52">
        <f t="shared" si="296"/>
        <v>0</v>
      </c>
      <c r="M247" s="51">
        <f>SUM('AP02'!$F247:$L247)</f>
        <v>1640.641453</v>
      </c>
      <c r="N247" s="51">
        <f>O246*('AP02'!$P247-1)</f>
        <v>0</v>
      </c>
      <c r="O247" s="51">
        <f>(O246*'AP02'!$P247)-'AP02'!$G247</f>
        <v>114076.1851</v>
      </c>
      <c r="P247" s="53">
        <f t="shared" si="149"/>
        <v>1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56">
        <f t="shared" si="2"/>
        <v>234</v>
      </c>
      <c r="B248" s="50">
        <f t="shared" si="5"/>
        <v>50365</v>
      </c>
      <c r="C248" s="116">
        <f t="shared" si="126"/>
        <v>0.0775</v>
      </c>
      <c r="D248" s="116">
        <f>((1+'AP02'!$C248)^(1/12))-1</f>
        <v>0.006239681461</v>
      </c>
      <c r="E248" s="51">
        <f t="shared" si="127"/>
        <v>2171.261517</v>
      </c>
      <c r="F248" s="51">
        <f>(O247*'AP02'!$P248)*'AP02'!$D248</f>
        <v>711.7990575</v>
      </c>
      <c r="G248" s="51">
        <f>(O247*'AP02'!$P248)/($I$5-A247)</f>
        <v>898.2376781</v>
      </c>
      <c r="H248" s="52">
        <f t="shared" ref="H248:L248" si="297">H247</f>
        <v>0</v>
      </c>
      <c r="I248" s="52">
        <f t="shared" si="297"/>
        <v>0</v>
      </c>
      <c r="J248" s="51">
        <f t="shared" si="297"/>
        <v>25</v>
      </c>
      <c r="K248" s="52">
        <f t="shared" si="297"/>
        <v>0</v>
      </c>
      <c r="L248" s="52">
        <f t="shared" si="297"/>
        <v>0</v>
      </c>
      <c r="M248" s="51">
        <f>SUM('AP02'!$F248:$L248)</f>
        <v>1635.036736</v>
      </c>
      <c r="N248" s="51">
        <f>O247*('AP02'!$P248-1)</f>
        <v>0</v>
      </c>
      <c r="O248" s="51">
        <f>(O247*'AP02'!$P248)-'AP02'!$G248</f>
        <v>113177.9474</v>
      </c>
      <c r="P248" s="53">
        <f t="shared" si="149"/>
        <v>1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56">
        <f t="shared" si="2"/>
        <v>235</v>
      </c>
      <c r="B249" s="50">
        <f t="shared" si="5"/>
        <v>50395</v>
      </c>
      <c r="C249" s="116">
        <f t="shared" si="126"/>
        <v>0.0775</v>
      </c>
      <c r="D249" s="116">
        <f>((1+'AP02'!$C249)^(1/12))-1</f>
        <v>0.006239681461</v>
      </c>
      <c r="E249" s="51">
        <f t="shared" si="127"/>
        <v>2171.261517</v>
      </c>
      <c r="F249" s="51">
        <f>(O248*'AP02'!$P249)*'AP02'!$D249</f>
        <v>706.1943405</v>
      </c>
      <c r="G249" s="51">
        <f>(O248*'AP02'!$P249)/($I$5-A248)</f>
        <v>898.2376781</v>
      </c>
      <c r="H249" s="52">
        <f t="shared" ref="H249:L249" si="298">H248</f>
        <v>0</v>
      </c>
      <c r="I249" s="52">
        <f t="shared" si="298"/>
        <v>0</v>
      </c>
      <c r="J249" s="51">
        <f t="shared" si="298"/>
        <v>25</v>
      </c>
      <c r="K249" s="52">
        <f t="shared" si="298"/>
        <v>0</v>
      </c>
      <c r="L249" s="52">
        <f t="shared" si="298"/>
        <v>0</v>
      </c>
      <c r="M249" s="51">
        <f>SUM('AP02'!$F249:$L249)</f>
        <v>1629.432019</v>
      </c>
      <c r="N249" s="51">
        <f>O248*('AP02'!$P249-1)</f>
        <v>0</v>
      </c>
      <c r="O249" s="51">
        <f>(O248*'AP02'!$P249)-'AP02'!$G249</f>
        <v>112279.7098</v>
      </c>
      <c r="P249" s="53">
        <f t="shared" si="149"/>
        <v>1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56">
        <f t="shared" si="2"/>
        <v>236</v>
      </c>
      <c r="B250" s="50">
        <f t="shared" si="5"/>
        <v>50426</v>
      </c>
      <c r="C250" s="116">
        <f t="shared" si="126"/>
        <v>0.0775</v>
      </c>
      <c r="D250" s="116">
        <f>((1+'AP02'!$C250)^(1/12))-1</f>
        <v>0.006239681461</v>
      </c>
      <c r="E250" s="51">
        <f t="shared" si="127"/>
        <v>2171.261517</v>
      </c>
      <c r="F250" s="51">
        <f>(O249*'AP02'!$P250)*'AP02'!$D250</f>
        <v>700.5896235</v>
      </c>
      <c r="G250" s="51">
        <f>(O249*'AP02'!$P250)/($I$5-A249)</f>
        <v>898.2376781</v>
      </c>
      <c r="H250" s="52">
        <f t="shared" ref="H250:L250" si="299">H249</f>
        <v>0</v>
      </c>
      <c r="I250" s="52">
        <f t="shared" si="299"/>
        <v>0</v>
      </c>
      <c r="J250" s="51">
        <f t="shared" si="299"/>
        <v>25</v>
      </c>
      <c r="K250" s="52">
        <f t="shared" si="299"/>
        <v>0</v>
      </c>
      <c r="L250" s="52">
        <f t="shared" si="299"/>
        <v>0</v>
      </c>
      <c r="M250" s="51">
        <f>SUM('AP02'!$F250:$L250)</f>
        <v>1623.827302</v>
      </c>
      <c r="N250" s="51">
        <f>O249*('AP02'!$P250-1)</f>
        <v>0</v>
      </c>
      <c r="O250" s="51">
        <f>(O249*'AP02'!$P250)-'AP02'!$G250</f>
        <v>111381.4721</v>
      </c>
      <c r="P250" s="53">
        <f t="shared" si="149"/>
        <v>1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56">
        <f t="shared" si="2"/>
        <v>237</v>
      </c>
      <c r="B251" s="50">
        <f t="shared" si="5"/>
        <v>50457</v>
      </c>
      <c r="C251" s="116">
        <f t="shared" si="126"/>
        <v>0.0775</v>
      </c>
      <c r="D251" s="116">
        <f>((1+'AP02'!$C251)^(1/12))-1</f>
        <v>0.006239681461</v>
      </c>
      <c r="E251" s="51">
        <f t="shared" si="127"/>
        <v>2171.261517</v>
      </c>
      <c r="F251" s="51">
        <f>(O250*'AP02'!$P251)*'AP02'!$D251</f>
        <v>694.9849065</v>
      </c>
      <c r="G251" s="51">
        <f>(O250*'AP02'!$P251)/($I$5-A250)</f>
        <v>898.2376781</v>
      </c>
      <c r="H251" s="52">
        <f t="shared" ref="H251:L251" si="300">H250</f>
        <v>0</v>
      </c>
      <c r="I251" s="52">
        <f t="shared" si="300"/>
        <v>0</v>
      </c>
      <c r="J251" s="51">
        <f t="shared" si="300"/>
        <v>25</v>
      </c>
      <c r="K251" s="52">
        <f t="shared" si="300"/>
        <v>0</v>
      </c>
      <c r="L251" s="52">
        <f t="shared" si="300"/>
        <v>0</v>
      </c>
      <c r="M251" s="51">
        <f>SUM('AP02'!$F251:$L251)</f>
        <v>1618.222585</v>
      </c>
      <c r="N251" s="51">
        <f>O250*('AP02'!$P251-1)</f>
        <v>0</v>
      </c>
      <c r="O251" s="51">
        <f>(O250*'AP02'!$P251)-'AP02'!$G251</f>
        <v>110483.2344</v>
      </c>
      <c r="P251" s="53">
        <f t="shared" si="149"/>
        <v>1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56">
        <f t="shared" si="2"/>
        <v>238</v>
      </c>
      <c r="B252" s="50">
        <f t="shared" si="5"/>
        <v>50485</v>
      </c>
      <c r="C252" s="116">
        <f t="shared" si="126"/>
        <v>0.0775</v>
      </c>
      <c r="D252" s="116">
        <f>((1+'AP02'!$C252)^(1/12))-1</f>
        <v>0.006239681461</v>
      </c>
      <c r="E252" s="51">
        <f t="shared" si="127"/>
        <v>2171.261517</v>
      </c>
      <c r="F252" s="51">
        <f>(O251*'AP02'!$P252)*'AP02'!$D252</f>
        <v>689.3801895</v>
      </c>
      <c r="G252" s="51">
        <f>(O251*'AP02'!$P252)/($I$5-A251)</f>
        <v>898.2376781</v>
      </c>
      <c r="H252" s="52">
        <f t="shared" ref="H252:L252" si="301">H251</f>
        <v>0</v>
      </c>
      <c r="I252" s="52">
        <f t="shared" si="301"/>
        <v>0</v>
      </c>
      <c r="J252" s="51">
        <f t="shared" si="301"/>
        <v>25</v>
      </c>
      <c r="K252" s="52">
        <f t="shared" si="301"/>
        <v>0</v>
      </c>
      <c r="L252" s="52">
        <f t="shared" si="301"/>
        <v>0</v>
      </c>
      <c r="M252" s="51">
        <f>SUM('AP02'!$F252:$L252)</f>
        <v>1612.617868</v>
      </c>
      <c r="N252" s="51">
        <f>O251*('AP02'!$P252-1)</f>
        <v>0</v>
      </c>
      <c r="O252" s="51">
        <f>(O251*'AP02'!$P252)-'AP02'!$G252</f>
        <v>109584.9967</v>
      </c>
      <c r="P252" s="53">
        <f t="shared" si="149"/>
        <v>1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56">
        <f t="shared" si="2"/>
        <v>239</v>
      </c>
      <c r="B253" s="50">
        <f t="shared" si="5"/>
        <v>50516</v>
      </c>
      <c r="C253" s="116">
        <f t="shared" si="126"/>
        <v>0.0775</v>
      </c>
      <c r="D253" s="116">
        <f>((1+'AP02'!$C253)^(1/12))-1</f>
        <v>0.006239681461</v>
      </c>
      <c r="E253" s="51">
        <f t="shared" si="127"/>
        <v>2171.261517</v>
      </c>
      <c r="F253" s="51">
        <f>(O252*'AP02'!$P253)*'AP02'!$D253</f>
        <v>683.7754726</v>
      </c>
      <c r="G253" s="51">
        <f>(O252*'AP02'!$P253)/($I$5-A252)</f>
        <v>898.2376781</v>
      </c>
      <c r="H253" s="52">
        <f t="shared" ref="H253:L253" si="302">H252</f>
        <v>0</v>
      </c>
      <c r="I253" s="52">
        <f t="shared" si="302"/>
        <v>0</v>
      </c>
      <c r="J253" s="51">
        <f t="shared" si="302"/>
        <v>25</v>
      </c>
      <c r="K253" s="52">
        <f t="shared" si="302"/>
        <v>0</v>
      </c>
      <c r="L253" s="52">
        <f t="shared" si="302"/>
        <v>0</v>
      </c>
      <c r="M253" s="51">
        <f>SUM('AP02'!$F253:$L253)</f>
        <v>1607.013151</v>
      </c>
      <c r="N253" s="51">
        <f>O252*('AP02'!$P253-1)</f>
        <v>0</v>
      </c>
      <c r="O253" s="51">
        <f>(O252*'AP02'!$P253)-'AP02'!$G253</f>
        <v>108686.7591</v>
      </c>
      <c r="P253" s="53">
        <f t="shared" si="149"/>
        <v>1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56">
        <f t="shared" si="2"/>
        <v>240</v>
      </c>
      <c r="B254" s="50">
        <f t="shared" si="5"/>
        <v>50546</v>
      </c>
      <c r="C254" s="116">
        <f t="shared" si="126"/>
        <v>0.0775</v>
      </c>
      <c r="D254" s="116">
        <f>((1+'AP02'!$C254)^(1/12))-1</f>
        <v>0.006239681461</v>
      </c>
      <c r="E254" s="51">
        <f t="shared" si="127"/>
        <v>2171.261517</v>
      </c>
      <c r="F254" s="51">
        <f>(O253*'AP02'!$P254)*'AP02'!$D254</f>
        <v>678.1707556</v>
      </c>
      <c r="G254" s="51">
        <f>(O253*'AP02'!$P254)/($I$5-A253)</f>
        <v>898.2376781</v>
      </c>
      <c r="H254" s="52">
        <f t="shared" ref="H254:L254" si="303">H253</f>
        <v>0</v>
      </c>
      <c r="I254" s="52">
        <f t="shared" si="303"/>
        <v>0</v>
      </c>
      <c r="J254" s="51">
        <f t="shared" si="303"/>
        <v>25</v>
      </c>
      <c r="K254" s="52">
        <f t="shared" si="303"/>
        <v>0</v>
      </c>
      <c r="L254" s="52">
        <f t="shared" si="303"/>
        <v>0</v>
      </c>
      <c r="M254" s="51">
        <f>SUM('AP02'!$F254:$L254)</f>
        <v>1601.408434</v>
      </c>
      <c r="N254" s="51">
        <f>O253*('AP02'!$P254-1)</f>
        <v>0</v>
      </c>
      <c r="O254" s="51">
        <f>(O253*'AP02'!$P254)-'AP02'!$G254</f>
        <v>107788.5214</v>
      </c>
      <c r="P254" s="53">
        <f t="shared" si="149"/>
        <v>1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56">
        <f t="shared" si="2"/>
        <v>241</v>
      </c>
      <c r="B255" s="50">
        <f t="shared" si="5"/>
        <v>50577</v>
      </c>
      <c r="C255" s="116">
        <f t="shared" si="126"/>
        <v>0.0775</v>
      </c>
      <c r="D255" s="116">
        <f>((1+'AP02'!$C255)^(1/12))-1</f>
        <v>0.006239681461</v>
      </c>
      <c r="E255" s="51">
        <f t="shared" si="127"/>
        <v>2171.261517</v>
      </c>
      <c r="F255" s="51">
        <f>(O254*'AP02'!$P255)*'AP02'!$D255</f>
        <v>672.5660386</v>
      </c>
      <c r="G255" s="51">
        <f>(O254*'AP02'!$P255)/($I$5-A254)</f>
        <v>898.2376781</v>
      </c>
      <c r="H255" s="52">
        <f t="shared" ref="H255:L255" si="304">H254</f>
        <v>0</v>
      </c>
      <c r="I255" s="52">
        <f t="shared" si="304"/>
        <v>0</v>
      </c>
      <c r="J255" s="51">
        <f t="shared" si="304"/>
        <v>25</v>
      </c>
      <c r="K255" s="52">
        <f t="shared" si="304"/>
        <v>0</v>
      </c>
      <c r="L255" s="52">
        <f t="shared" si="304"/>
        <v>0</v>
      </c>
      <c r="M255" s="51">
        <f>SUM('AP02'!$F255:$L255)</f>
        <v>1595.803717</v>
      </c>
      <c r="N255" s="51">
        <f>O254*('AP02'!$P255-1)</f>
        <v>0</v>
      </c>
      <c r="O255" s="51">
        <f>(O254*'AP02'!$P255)-'AP02'!$G255</f>
        <v>106890.2837</v>
      </c>
      <c r="P255" s="53">
        <f t="shared" si="149"/>
        <v>1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56">
        <f t="shared" si="2"/>
        <v>242</v>
      </c>
      <c r="B256" s="50">
        <f t="shared" si="5"/>
        <v>50607</v>
      </c>
      <c r="C256" s="116">
        <f t="shared" si="126"/>
        <v>0.0775</v>
      </c>
      <c r="D256" s="116">
        <f>((1+'AP02'!$C256)^(1/12))-1</f>
        <v>0.006239681461</v>
      </c>
      <c r="E256" s="51">
        <f t="shared" si="127"/>
        <v>2171.261517</v>
      </c>
      <c r="F256" s="51">
        <f>(O255*'AP02'!$P256)*'AP02'!$D256</f>
        <v>666.9613216</v>
      </c>
      <c r="G256" s="51">
        <f>(O255*'AP02'!$P256)/($I$5-A255)</f>
        <v>898.2376781</v>
      </c>
      <c r="H256" s="52">
        <f t="shared" ref="H256:L256" si="305">H255</f>
        <v>0</v>
      </c>
      <c r="I256" s="52">
        <f t="shared" si="305"/>
        <v>0</v>
      </c>
      <c r="J256" s="51">
        <f t="shared" si="305"/>
        <v>25</v>
      </c>
      <c r="K256" s="52">
        <f t="shared" si="305"/>
        <v>0</v>
      </c>
      <c r="L256" s="52">
        <f t="shared" si="305"/>
        <v>0</v>
      </c>
      <c r="M256" s="51">
        <f>SUM('AP02'!$F256:$L256)</f>
        <v>1590.199</v>
      </c>
      <c r="N256" s="51">
        <f>O255*('AP02'!$P256-1)</f>
        <v>0</v>
      </c>
      <c r="O256" s="51">
        <f>(O255*'AP02'!$P256)-'AP02'!$G256</f>
        <v>105992.046</v>
      </c>
      <c r="P256" s="53">
        <f t="shared" si="149"/>
        <v>1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56">
        <f t="shared" si="2"/>
        <v>243</v>
      </c>
      <c r="B257" s="50">
        <f t="shared" si="5"/>
        <v>50638</v>
      </c>
      <c r="C257" s="116">
        <f t="shared" si="126"/>
        <v>0.0775</v>
      </c>
      <c r="D257" s="116">
        <f>((1+'AP02'!$C257)^(1/12))-1</f>
        <v>0.006239681461</v>
      </c>
      <c r="E257" s="51">
        <f t="shared" si="127"/>
        <v>2171.261517</v>
      </c>
      <c r="F257" s="51">
        <f>(O256*'AP02'!$P257)*'AP02'!$D257</f>
        <v>661.3566046</v>
      </c>
      <c r="G257" s="51">
        <f>(O256*'AP02'!$P257)/($I$5-A256)</f>
        <v>898.2376781</v>
      </c>
      <c r="H257" s="52">
        <f t="shared" ref="H257:L257" si="306">H256</f>
        <v>0</v>
      </c>
      <c r="I257" s="52">
        <f t="shared" si="306"/>
        <v>0</v>
      </c>
      <c r="J257" s="51">
        <f t="shared" si="306"/>
        <v>25</v>
      </c>
      <c r="K257" s="52">
        <f t="shared" si="306"/>
        <v>0</v>
      </c>
      <c r="L257" s="52">
        <f t="shared" si="306"/>
        <v>0</v>
      </c>
      <c r="M257" s="51">
        <f>SUM('AP02'!$F257:$L257)</f>
        <v>1584.594283</v>
      </c>
      <c r="N257" s="51">
        <f>O256*('AP02'!$P257-1)</f>
        <v>0</v>
      </c>
      <c r="O257" s="51">
        <f>(O256*'AP02'!$P257)-'AP02'!$G257</f>
        <v>105093.8083</v>
      </c>
      <c r="P257" s="53">
        <f t="shared" si="149"/>
        <v>1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56">
        <f t="shared" si="2"/>
        <v>244</v>
      </c>
      <c r="B258" s="50">
        <f t="shared" si="5"/>
        <v>50669</v>
      </c>
      <c r="C258" s="116">
        <f t="shared" si="126"/>
        <v>0.0775</v>
      </c>
      <c r="D258" s="116">
        <f>((1+'AP02'!$C258)^(1/12))-1</f>
        <v>0.006239681461</v>
      </c>
      <c r="E258" s="51">
        <f t="shared" si="127"/>
        <v>2171.261517</v>
      </c>
      <c r="F258" s="51">
        <f>(O257*'AP02'!$P258)*'AP02'!$D258</f>
        <v>655.7518876</v>
      </c>
      <c r="G258" s="51">
        <f>(O257*'AP02'!$P258)/($I$5-A257)</f>
        <v>898.2376781</v>
      </c>
      <c r="H258" s="52">
        <f t="shared" ref="H258:L258" si="307">H257</f>
        <v>0</v>
      </c>
      <c r="I258" s="52">
        <f t="shared" si="307"/>
        <v>0</v>
      </c>
      <c r="J258" s="51">
        <f t="shared" si="307"/>
        <v>25</v>
      </c>
      <c r="K258" s="52">
        <f t="shared" si="307"/>
        <v>0</v>
      </c>
      <c r="L258" s="52">
        <f t="shared" si="307"/>
        <v>0</v>
      </c>
      <c r="M258" s="51">
        <f>SUM('AP02'!$F258:$L258)</f>
        <v>1578.989566</v>
      </c>
      <c r="N258" s="51">
        <f>O257*('AP02'!$P258-1)</f>
        <v>0</v>
      </c>
      <c r="O258" s="51">
        <f>(O257*'AP02'!$P258)-'AP02'!$G258</f>
        <v>104195.5707</v>
      </c>
      <c r="P258" s="53">
        <f t="shared" si="149"/>
        <v>1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56">
        <f t="shared" si="2"/>
        <v>245</v>
      </c>
      <c r="B259" s="50">
        <f t="shared" si="5"/>
        <v>50699</v>
      </c>
      <c r="C259" s="116">
        <f t="shared" si="126"/>
        <v>0.0775</v>
      </c>
      <c r="D259" s="116">
        <f>((1+'AP02'!$C259)^(1/12))-1</f>
        <v>0.006239681461</v>
      </c>
      <c r="E259" s="51">
        <f t="shared" si="127"/>
        <v>2171.261517</v>
      </c>
      <c r="F259" s="51">
        <f>(O258*'AP02'!$P259)*'AP02'!$D259</f>
        <v>650.1471706</v>
      </c>
      <c r="G259" s="51">
        <f>(O258*'AP02'!$P259)/($I$5-A258)</f>
        <v>898.2376781</v>
      </c>
      <c r="H259" s="52">
        <f t="shared" ref="H259:L259" si="308">H258</f>
        <v>0</v>
      </c>
      <c r="I259" s="52">
        <f t="shared" si="308"/>
        <v>0</v>
      </c>
      <c r="J259" s="51">
        <f t="shared" si="308"/>
        <v>25</v>
      </c>
      <c r="K259" s="52">
        <f t="shared" si="308"/>
        <v>0</v>
      </c>
      <c r="L259" s="52">
        <f t="shared" si="308"/>
        <v>0</v>
      </c>
      <c r="M259" s="51">
        <f>SUM('AP02'!$F259:$L259)</f>
        <v>1573.384849</v>
      </c>
      <c r="N259" s="51">
        <f>O258*('AP02'!$P259-1)</f>
        <v>0</v>
      </c>
      <c r="O259" s="51">
        <f>(O258*'AP02'!$P259)-'AP02'!$G259</f>
        <v>103297.333</v>
      </c>
      <c r="P259" s="53">
        <f t="shared" si="149"/>
        <v>1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56">
        <f t="shared" si="2"/>
        <v>246</v>
      </c>
      <c r="B260" s="50">
        <f t="shared" si="5"/>
        <v>50730</v>
      </c>
      <c r="C260" s="116">
        <f t="shared" si="126"/>
        <v>0.0775</v>
      </c>
      <c r="D260" s="116">
        <f>((1+'AP02'!$C260)^(1/12))-1</f>
        <v>0.006239681461</v>
      </c>
      <c r="E260" s="51">
        <f t="shared" si="127"/>
        <v>2171.261517</v>
      </c>
      <c r="F260" s="51">
        <f>(O259*'AP02'!$P260)*'AP02'!$D260</f>
        <v>644.5424536</v>
      </c>
      <c r="G260" s="51">
        <f>(O259*'AP02'!$P260)/($I$5-A259)</f>
        <v>898.2376781</v>
      </c>
      <c r="H260" s="52">
        <f t="shared" ref="H260:L260" si="309">H259</f>
        <v>0</v>
      </c>
      <c r="I260" s="52">
        <f t="shared" si="309"/>
        <v>0</v>
      </c>
      <c r="J260" s="51">
        <f t="shared" si="309"/>
        <v>25</v>
      </c>
      <c r="K260" s="52">
        <f t="shared" si="309"/>
        <v>0</v>
      </c>
      <c r="L260" s="52">
        <f t="shared" si="309"/>
        <v>0</v>
      </c>
      <c r="M260" s="51">
        <f>SUM('AP02'!$F260:$L260)</f>
        <v>1567.780132</v>
      </c>
      <c r="N260" s="51">
        <f>O259*('AP02'!$P260-1)</f>
        <v>0</v>
      </c>
      <c r="O260" s="51">
        <f>(O259*'AP02'!$P260)-'AP02'!$G260</f>
        <v>102399.0953</v>
      </c>
      <c r="P260" s="53">
        <f t="shared" si="149"/>
        <v>1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56">
        <f t="shared" si="2"/>
        <v>247</v>
      </c>
      <c r="B261" s="50">
        <f t="shared" si="5"/>
        <v>50760</v>
      </c>
      <c r="C261" s="116">
        <f t="shared" si="126"/>
        <v>0.0775</v>
      </c>
      <c r="D261" s="116">
        <f>((1+'AP02'!$C261)^(1/12))-1</f>
        <v>0.006239681461</v>
      </c>
      <c r="E261" s="51">
        <f t="shared" si="127"/>
        <v>2171.261517</v>
      </c>
      <c r="F261" s="51">
        <f>(O260*'AP02'!$P261)*'AP02'!$D261</f>
        <v>638.9377366</v>
      </c>
      <c r="G261" s="51">
        <f>(O260*'AP02'!$P261)/($I$5-A260)</f>
        <v>898.2376781</v>
      </c>
      <c r="H261" s="52">
        <f t="shared" ref="H261:L261" si="310">H260</f>
        <v>0</v>
      </c>
      <c r="I261" s="52">
        <f t="shared" si="310"/>
        <v>0</v>
      </c>
      <c r="J261" s="51">
        <f t="shared" si="310"/>
        <v>25</v>
      </c>
      <c r="K261" s="52">
        <f t="shared" si="310"/>
        <v>0</v>
      </c>
      <c r="L261" s="52">
        <f t="shared" si="310"/>
        <v>0</v>
      </c>
      <c r="M261" s="51">
        <f>SUM('AP02'!$F261:$L261)</f>
        <v>1562.175415</v>
      </c>
      <c r="N261" s="51">
        <f>O260*('AP02'!$P261-1)</f>
        <v>0</v>
      </c>
      <c r="O261" s="51">
        <f>(O260*'AP02'!$P261)-'AP02'!$G261</f>
        <v>101500.8576</v>
      </c>
      <c r="P261" s="53">
        <f t="shared" si="149"/>
        <v>1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56">
        <f t="shared" si="2"/>
        <v>248</v>
      </c>
      <c r="B262" s="50">
        <f t="shared" si="5"/>
        <v>50791</v>
      </c>
      <c r="C262" s="116">
        <f t="shared" si="126"/>
        <v>0.0775</v>
      </c>
      <c r="D262" s="116">
        <f>((1+'AP02'!$C262)^(1/12))-1</f>
        <v>0.006239681461</v>
      </c>
      <c r="E262" s="51">
        <f t="shared" si="127"/>
        <v>2171.261517</v>
      </c>
      <c r="F262" s="51">
        <f>(O261*'AP02'!$P262)*'AP02'!$D262</f>
        <v>633.3330197</v>
      </c>
      <c r="G262" s="51">
        <f>(O261*'AP02'!$P262)/($I$5-A261)</f>
        <v>898.2376781</v>
      </c>
      <c r="H262" s="52">
        <f t="shared" ref="H262:L262" si="311">H261</f>
        <v>0</v>
      </c>
      <c r="I262" s="52">
        <f t="shared" si="311"/>
        <v>0</v>
      </c>
      <c r="J262" s="51">
        <f t="shared" si="311"/>
        <v>25</v>
      </c>
      <c r="K262" s="52">
        <f t="shared" si="311"/>
        <v>0</v>
      </c>
      <c r="L262" s="52">
        <f t="shared" si="311"/>
        <v>0</v>
      </c>
      <c r="M262" s="51">
        <f>SUM('AP02'!$F262:$L262)</f>
        <v>1556.570698</v>
      </c>
      <c r="N262" s="51">
        <f>O261*('AP02'!$P262-1)</f>
        <v>0</v>
      </c>
      <c r="O262" s="51">
        <f>(O261*'AP02'!$P262)-'AP02'!$G262</f>
        <v>100602.62</v>
      </c>
      <c r="P262" s="53">
        <f t="shared" si="149"/>
        <v>1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56">
        <f t="shared" si="2"/>
        <v>249</v>
      </c>
      <c r="B263" s="50">
        <f t="shared" si="5"/>
        <v>50822</v>
      </c>
      <c r="C263" s="116">
        <f t="shared" si="126"/>
        <v>0.0775</v>
      </c>
      <c r="D263" s="116">
        <f>((1+'AP02'!$C263)^(1/12))-1</f>
        <v>0.006239681461</v>
      </c>
      <c r="E263" s="51">
        <f t="shared" si="127"/>
        <v>2171.261517</v>
      </c>
      <c r="F263" s="51">
        <f>(O262*'AP02'!$P263)*'AP02'!$D263</f>
        <v>627.7283027</v>
      </c>
      <c r="G263" s="51">
        <f>(O262*'AP02'!$P263)/($I$5-A262)</f>
        <v>898.2376781</v>
      </c>
      <c r="H263" s="52">
        <f t="shared" ref="H263:L263" si="312">H262</f>
        <v>0</v>
      </c>
      <c r="I263" s="52">
        <f t="shared" si="312"/>
        <v>0</v>
      </c>
      <c r="J263" s="51">
        <f t="shared" si="312"/>
        <v>25</v>
      </c>
      <c r="K263" s="52">
        <f t="shared" si="312"/>
        <v>0</v>
      </c>
      <c r="L263" s="52">
        <f t="shared" si="312"/>
        <v>0</v>
      </c>
      <c r="M263" s="51">
        <f>SUM('AP02'!$F263:$L263)</f>
        <v>1550.965981</v>
      </c>
      <c r="N263" s="51">
        <f>O262*('AP02'!$P263-1)</f>
        <v>0</v>
      </c>
      <c r="O263" s="51">
        <f>(O262*'AP02'!$P263)-'AP02'!$G263</f>
        <v>99704.38227</v>
      </c>
      <c r="P263" s="53">
        <f t="shared" si="149"/>
        <v>1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56">
        <f t="shared" si="2"/>
        <v>250</v>
      </c>
      <c r="B264" s="50">
        <f t="shared" si="5"/>
        <v>50850</v>
      </c>
      <c r="C264" s="116">
        <f t="shared" si="126"/>
        <v>0.0775</v>
      </c>
      <c r="D264" s="116">
        <f>((1+'AP02'!$C264)^(1/12))-1</f>
        <v>0.006239681461</v>
      </c>
      <c r="E264" s="51">
        <f t="shared" si="127"/>
        <v>2171.261517</v>
      </c>
      <c r="F264" s="51">
        <f>(O263*'AP02'!$P264)*'AP02'!$D264</f>
        <v>622.1235857</v>
      </c>
      <c r="G264" s="51">
        <f>(O263*'AP02'!$P264)/($I$5-A263)</f>
        <v>898.2376781</v>
      </c>
      <c r="H264" s="52">
        <f t="shared" ref="H264:L264" si="313">H263</f>
        <v>0</v>
      </c>
      <c r="I264" s="52">
        <f t="shared" si="313"/>
        <v>0</v>
      </c>
      <c r="J264" s="51">
        <f t="shared" si="313"/>
        <v>25</v>
      </c>
      <c r="K264" s="52">
        <f t="shared" si="313"/>
        <v>0</v>
      </c>
      <c r="L264" s="52">
        <f t="shared" si="313"/>
        <v>0</v>
      </c>
      <c r="M264" s="51">
        <f>SUM('AP02'!$F264:$L264)</f>
        <v>1545.361264</v>
      </c>
      <c r="N264" s="51">
        <f>O263*('AP02'!$P264-1)</f>
        <v>0</v>
      </c>
      <c r="O264" s="51">
        <f>(O263*'AP02'!$P264)-'AP02'!$G264</f>
        <v>98806.1446</v>
      </c>
      <c r="P264" s="53">
        <f t="shared" si="149"/>
        <v>1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56">
        <f t="shared" si="2"/>
        <v>251</v>
      </c>
      <c r="B265" s="50">
        <f t="shared" si="5"/>
        <v>50881</v>
      </c>
      <c r="C265" s="116">
        <f t="shared" si="126"/>
        <v>0.0775</v>
      </c>
      <c r="D265" s="116">
        <f>((1+'AP02'!$C265)^(1/12))-1</f>
        <v>0.006239681461</v>
      </c>
      <c r="E265" s="51">
        <f t="shared" si="127"/>
        <v>2171.261517</v>
      </c>
      <c r="F265" s="51">
        <f>(O264*'AP02'!$P265)*'AP02'!$D265</f>
        <v>616.5188687</v>
      </c>
      <c r="G265" s="51">
        <f>(O264*'AP02'!$P265)/($I$5-A264)</f>
        <v>898.2376781</v>
      </c>
      <c r="H265" s="52">
        <f t="shared" ref="H265:L265" si="314">H264</f>
        <v>0</v>
      </c>
      <c r="I265" s="52">
        <f t="shared" si="314"/>
        <v>0</v>
      </c>
      <c r="J265" s="51">
        <f t="shared" si="314"/>
        <v>25</v>
      </c>
      <c r="K265" s="52">
        <f t="shared" si="314"/>
        <v>0</v>
      </c>
      <c r="L265" s="52">
        <f t="shared" si="314"/>
        <v>0</v>
      </c>
      <c r="M265" s="51">
        <f>SUM('AP02'!$F265:$L265)</f>
        <v>1539.756547</v>
      </c>
      <c r="N265" s="51">
        <f>O264*('AP02'!$P265-1)</f>
        <v>0</v>
      </c>
      <c r="O265" s="51">
        <f>(O264*'AP02'!$P265)-'AP02'!$G265</f>
        <v>97907.90692</v>
      </c>
      <c r="P265" s="53">
        <f t="shared" si="149"/>
        <v>1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56">
        <f t="shared" si="2"/>
        <v>252</v>
      </c>
      <c r="B266" s="50">
        <f t="shared" si="5"/>
        <v>50911</v>
      </c>
      <c r="C266" s="116">
        <f t="shared" si="126"/>
        <v>0.0775</v>
      </c>
      <c r="D266" s="116">
        <f>((1+'AP02'!$C266)^(1/12))-1</f>
        <v>0.006239681461</v>
      </c>
      <c r="E266" s="51">
        <f t="shared" si="127"/>
        <v>2171.261517</v>
      </c>
      <c r="F266" s="51">
        <f>(O265*'AP02'!$P266)*'AP02'!$D266</f>
        <v>610.9141517</v>
      </c>
      <c r="G266" s="51">
        <f>(O265*'AP02'!$P266)/($I$5-A265)</f>
        <v>898.2376781</v>
      </c>
      <c r="H266" s="52">
        <f t="shared" ref="H266:L266" si="315">H265</f>
        <v>0</v>
      </c>
      <c r="I266" s="52">
        <f t="shared" si="315"/>
        <v>0</v>
      </c>
      <c r="J266" s="51">
        <f t="shared" si="315"/>
        <v>25</v>
      </c>
      <c r="K266" s="52">
        <f t="shared" si="315"/>
        <v>0</v>
      </c>
      <c r="L266" s="52">
        <f t="shared" si="315"/>
        <v>0</v>
      </c>
      <c r="M266" s="51">
        <f>SUM('AP02'!$F266:$L266)</f>
        <v>1534.15183</v>
      </c>
      <c r="N266" s="51">
        <f>O265*('AP02'!$P266-1)</f>
        <v>0</v>
      </c>
      <c r="O266" s="51">
        <f>(O265*'AP02'!$P266)-'AP02'!$G266</f>
        <v>97009.66924</v>
      </c>
      <c r="P266" s="53">
        <f t="shared" si="149"/>
        <v>1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56">
        <f t="shared" si="2"/>
        <v>253</v>
      </c>
      <c r="B267" s="50">
        <f t="shared" si="5"/>
        <v>50942</v>
      </c>
      <c r="C267" s="116">
        <f t="shared" si="126"/>
        <v>0.0775</v>
      </c>
      <c r="D267" s="116">
        <f>((1+'AP02'!$C267)^(1/12))-1</f>
        <v>0.006239681461</v>
      </c>
      <c r="E267" s="51">
        <f t="shared" si="127"/>
        <v>2171.261517</v>
      </c>
      <c r="F267" s="51">
        <f>(O266*'AP02'!$P267)*'AP02'!$D267</f>
        <v>605.3094347</v>
      </c>
      <c r="G267" s="51">
        <f>(O266*'AP02'!$P267)/($I$5-A266)</f>
        <v>898.2376781</v>
      </c>
      <c r="H267" s="52">
        <f t="shared" ref="H267:L267" si="316">H266</f>
        <v>0</v>
      </c>
      <c r="I267" s="52">
        <f t="shared" si="316"/>
        <v>0</v>
      </c>
      <c r="J267" s="51">
        <f t="shared" si="316"/>
        <v>25</v>
      </c>
      <c r="K267" s="52">
        <f t="shared" si="316"/>
        <v>0</v>
      </c>
      <c r="L267" s="52">
        <f t="shared" si="316"/>
        <v>0</v>
      </c>
      <c r="M267" s="51">
        <f>SUM('AP02'!$F267:$L267)</f>
        <v>1528.547113</v>
      </c>
      <c r="N267" s="51">
        <f>O266*('AP02'!$P267-1)</f>
        <v>0</v>
      </c>
      <c r="O267" s="51">
        <f>(O266*'AP02'!$P267)-'AP02'!$G267</f>
        <v>96111.43156</v>
      </c>
      <c r="P267" s="53">
        <f t="shared" si="149"/>
        <v>1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56">
        <f t="shared" si="2"/>
        <v>254</v>
      </c>
      <c r="B268" s="50">
        <f t="shared" si="5"/>
        <v>50972</v>
      </c>
      <c r="C268" s="116">
        <f t="shared" si="126"/>
        <v>0.0775</v>
      </c>
      <c r="D268" s="116">
        <f>((1+'AP02'!$C268)^(1/12))-1</f>
        <v>0.006239681461</v>
      </c>
      <c r="E268" s="51">
        <f t="shared" si="127"/>
        <v>2171.261517</v>
      </c>
      <c r="F268" s="51">
        <f>(O267*'AP02'!$P268)*'AP02'!$D268</f>
        <v>599.7047177</v>
      </c>
      <c r="G268" s="51">
        <f>(O267*'AP02'!$P268)/($I$5-A267)</f>
        <v>898.2376781</v>
      </c>
      <c r="H268" s="52">
        <f t="shared" ref="H268:L268" si="317">H267</f>
        <v>0</v>
      </c>
      <c r="I268" s="52">
        <f t="shared" si="317"/>
        <v>0</v>
      </c>
      <c r="J268" s="51">
        <f t="shared" si="317"/>
        <v>25</v>
      </c>
      <c r="K268" s="52">
        <f t="shared" si="317"/>
        <v>0</v>
      </c>
      <c r="L268" s="52">
        <f t="shared" si="317"/>
        <v>0</v>
      </c>
      <c r="M268" s="51">
        <f>SUM('AP02'!$F268:$L268)</f>
        <v>1522.942396</v>
      </c>
      <c r="N268" s="51">
        <f>O267*('AP02'!$P268-1)</f>
        <v>0</v>
      </c>
      <c r="O268" s="51">
        <f>(O267*'AP02'!$P268)-'AP02'!$G268</f>
        <v>95213.19388</v>
      </c>
      <c r="P268" s="53">
        <f t="shared" si="149"/>
        <v>1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56">
        <f t="shared" si="2"/>
        <v>255</v>
      </c>
      <c r="B269" s="50">
        <f t="shared" si="5"/>
        <v>51003</v>
      </c>
      <c r="C269" s="116">
        <f t="shared" si="126"/>
        <v>0.0775</v>
      </c>
      <c r="D269" s="116">
        <f>((1+'AP02'!$C269)^(1/12))-1</f>
        <v>0.006239681461</v>
      </c>
      <c r="E269" s="51">
        <f t="shared" si="127"/>
        <v>2171.261517</v>
      </c>
      <c r="F269" s="51">
        <f>(O268*'AP02'!$P269)*'AP02'!$D269</f>
        <v>594.1000007</v>
      </c>
      <c r="G269" s="51">
        <f>(O268*'AP02'!$P269)/($I$5-A268)</f>
        <v>898.2376781</v>
      </c>
      <c r="H269" s="52">
        <f t="shared" ref="H269:L269" si="318">H268</f>
        <v>0</v>
      </c>
      <c r="I269" s="52">
        <f t="shared" si="318"/>
        <v>0</v>
      </c>
      <c r="J269" s="51">
        <f t="shared" si="318"/>
        <v>25</v>
      </c>
      <c r="K269" s="52">
        <f t="shared" si="318"/>
        <v>0</v>
      </c>
      <c r="L269" s="52">
        <f t="shared" si="318"/>
        <v>0</v>
      </c>
      <c r="M269" s="51">
        <f>SUM('AP02'!$F269:$L269)</f>
        <v>1517.337679</v>
      </c>
      <c r="N269" s="51">
        <f>O268*('AP02'!$P269-1)</f>
        <v>0</v>
      </c>
      <c r="O269" s="51">
        <f>(O268*'AP02'!$P269)-'AP02'!$G269</f>
        <v>94314.95621</v>
      </c>
      <c r="P269" s="53">
        <f t="shared" si="149"/>
        <v>1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56">
        <f t="shared" si="2"/>
        <v>256</v>
      </c>
      <c r="B270" s="50">
        <f t="shared" si="5"/>
        <v>51034</v>
      </c>
      <c r="C270" s="116">
        <f t="shared" si="126"/>
        <v>0.0775</v>
      </c>
      <c r="D270" s="116">
        <f>((1+'AP02'!$C270)^(1/12))-1</f>
        <v>0.006239681461</v>
      </c>
      <c r="E270" s="51">
        <f t="shared" si="127"/>
        <v>2171.261517</v>
      </c>
      <c r="F270" s="51">
        <f>(O269*'AP02'!$P270)*'AP02'!$D270</f>
        <v>588.4952838</v>
      </c>
      <c r="G270" s="51">
        <f>(O269*'AP02'!$P270)/($I$5-A269)</f>
        <v>898.2376781</v>
      </c>
      <c r="H270" s="52">
        <f t="shared" ref="H270:L270" si="319">H269</f>
        <v>0</v>
      </c>
      <c r="I270" s="52">
        <f t="shared" si="319"/>
        <v>0</v>
      </c>
      <c r="J270" s="51">
        <f t="shared" si="319"/>
        <v>25</v>
      </c>
      <c r="K270" s="52">
        <f t="shared" si="319"/>
        <v>0</v>
      </c>
      <c r="L270" s="52">
        <f t="shared" si="319"/>
        <v>0</v>
      </c>
      <c r="M270" s="51">
        <f>SUM('AP02'!$F270:$L270)</f>
        <v>1511.732962</v>
      </c>
      <c r="N270" s="51">
        <f>O269*('AP02'!$P270-1)</f>
        <v>0</v>
      </c>
      <c r="O270" s="51">
        <f>(O269*'AP02'!$P270)-'AP02'!$G270</f>
        <v>93416.71853</v>
      </c>
      <c r="P270" s="53">
        <f t="shared" si="149"/>
        <v>1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56">
        <f t="shared" si="2"/>
        <v>257</v>
      </c>
      <c r="B271" s="50">
        <f t="shared" si="5"/>
        <v>51064</v>
      </c>
      <c r="C271" s="116">
        <f t="shared" si="126"/>
        <v>0.0775</v>
      </c>
      <c r="D271" s="116">
        <f>((1+'AP02'!$C271)^(1/12))-1</f>
        <v>0.006239681461</v>
      </c>
      <c r="E271" s="51">
        <f t="shared" si="127"/>
        <v>2171.261517</v>
      </c>
      <c r="F271" s="51">
        <f>(O270*'AP02'!$P271)*'AP02'!$D271</f>
        <v>582.8905668</v>
      </c>
      <c r="G271" s="51">
        <f>(O270*'AP02'!$P271)/($I$5-A270)</f>
        <v>898.2376781</v>
      </c>
      <c r="H271" s="52">
        <f t="shared" ref="H271:L271" si="320">H270</f>
        <v>0</v>
      </c>
      <c r="I271" s="52">
        <f t="shared" si="320"/>
        <v>0</v>
      </c>
      <c r="J271" s="51">
        <f t="shared" si="320"/>
        <v>25</v>
      </c>
      <c r="K271" s="52">
        <f t="shared" si="320"/>
        <v>0</v>
      </c>
      <c r="L271" s="52">
        <f t="shared" si="320"/>
        <v>0</v>
      </c>
      <c r="M271" s="51">
        <f>SUM('AP02'!$F271:$L271)</f>
        <v>1506.128245</v>
      </c>
      <c r="N271" s="51">
        <f>O270*('AP02'!$P271-1)</f>
        <v>0</v>
      </c>
      <c r="O271" s="51">
        <f>(O270*'AP02'!$P271)-'AP02'!$G271</f>
        <v>92518.48085</v>
      </c>
      <c r="P271" s="53">
        <f t="shared" si="149"/>
        <v>1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56">
        <f t="shared" si="2"/>
        <v>258</v>
      </c>
      <c r="B272" s="50">
        <f t="shared" si="5"/>
        <v>51095</v>
      </c>
      <c r="C272" s="116">
        <f t="shared" si="126"/>
        <v>0.0775</v>
      </c>
      <c r="D272" s="116">
        <f>((1+'AP02'!$C272)^(1/12))-1</f>
        <v>0.006239681461</v>
      </c>
      <c r="E272" s="51">
        <f t="shared" si="127"/>
        <v>2171.261517</v>
      </c>
      <c r="F272" s="51">
        <f>(O271*'AP02'!$P272)*'AP02'!$D272</f>
        <v>577.2858498</v>
      </c>
      <c r="G272" s="51">
        <f>(O271*'AP02'!$P272)/($I$5-A271)</f>
        <v>898.2376781</v>
      </c>
      <c r="H272" s="52">
        <f t="shared" ref="H272:L272" si="321">H271</f>
        <v>0</v>
      </c>
      <c r="I272" s="52">
        <f t="shared" si="321"/>
        <v>0</v>
      </c>
      <c r="J272" s="51">
        <f t="shared" si="321"/>
        <v>25</v>
      </c>
      <c r="K272" s="52">
        <f t="shared" si="321"/>
        <v>0</v>
      </c>
      <c r="L272" s="52">
        <f t="shared" si="321"/>
        <v>0</v>
      </c>
      <c r="M272" s="51">
        <f>SUM('AP02'!$F272:$L272)</f>
        <v>1500.523528</v>
      </c>
      <c r="N272" s="51">
        <f>O271*('AP02'!$P272-1)</f>
        <v>0</v>
      </c>
      <c r="O272" s="51">
        <f>(O271*'AP02'!$P272)-'AP02'!$G272</f>
        <v>91620.24317</v>
      </c>
      <c r="P272" s="53">
        <f t="shared" si="149"/>
        <v>1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56">
        <f t="shared" si="2"/>
        <v>259</v>
      </c>
      <c r="B273" s="50">
        <f t="shared" si="5"/>
        <v>51125</v>
      </c>
      <c r="C273" s="116">
        <f t="shared" si="126"/>
        <v>0.0775</v>
      </c>
      <c r="D273" s="116">
        <f>((1+'AP02'!$C273)^(1/12))-1</f>
        <v>0.006239681461</v>
      </c>
      <c r="E273" s="51">
        <f t="shared" si="127"/>
        <v>2171.261517</v>
      </c>
      <c r="F273" s="51">
        <f>(O272*'AP02'!$P273)*'AP02'!$D273</f>
        <v>571.6811328</v>
      </c>
      <c r="G273" s="51">
        <f>(O272*'AP02'!$P273)/($I$5-A272)</f>
        <v>898.2376781</v>
      </c>
      <c r="H273" s="52">
        <f t="shared" ref="H273:L273" si="322">H272</f>
        <v>0</v>
      </c>
      <c r="I273" s="52">
        <f t="shared" si="322"/>
        <v>0</v>
      </c>
      <c r="J273" s="51">
        <f t="shared" si="322"/>
        <v>25</v>
      </c>
      <c r="K273" s="52">
        <f t="shared" si="322"/>
        <v>0</v>
      </c>
      <c r="L273" s="52">
        <f t="shared" si="322"/>
        <v>0</v>
      </c>
      <c r="M273" s="51">
        <f>SUM('AP02'!$F273:$L273)</f>
        <v>1494.918811</v>
      </c>
      <c r="N273" s="51">
        <f>O272*('AP02'!$P273-1)</f>
        <v>0</v>
      </c>
      <c r="O273" s="51">
        <f>(O272*'AP02'!$P273)-'AP02'!$G273</f>
        <v>90722.00549</v>
      </c>
      <c r="P273" s="53">
        <f t="shared" si="149"/>
        <v>1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56">
        <f t="shared" si="2"/>
        <v>260</v>
      </c>
      <c r="B274" s="50">
        <f t="shared" si="5"/>
        <v>51156</v>
      </c>
      <c r="C274" s="116">
        <f t="shared" si="126"/>
        <v>0.0775</v>
      </c>
      <c r="D274" s="116">
        <f>((1+'AP02'!$C274)^(1/12))-1</f>
        <v>0.006239681461</v>
      </c>
      <c r="E274" s="51">
        <f t="shared" si="127"/>
        <v>2171.261517</v>
      </c>
      <c r="F274" s="51">
        <f>(O273*'AP02'!$P274)*'AP02'!$D274</f>
        <v>566.0764158</v>
      </c>
      <c r="G274" s="51">
        <f>(O273*'AP02'!$P274)/($I$5-A273)</f>
        <v>898.2376781</v>
      </c>
      <c r="H274" s="52">
        <f t="shared" ref="H274:L274" si="323">H273</f>
        <v>0</v>
      </c>
      <c r="I274" s="52">
        <f t="shared" si="323"/>
        <v>0</v>
      </c>
      <c r="J274" s="51">
        <f t="shared" si="323"/>
        <v>25</v>
      </c>
      <c r="K274" s="52">
        <f t="shared" si="323"/>
        <v>0</v>
      </c>
      <c r="L274" s="52">
        <f t="shared" si="323"/>
        <v>0</v>
      </c>
      <c r="M274" s="51">
        <f>SUM('AP02'!$F274:$L274)</f>
        <v>1489.314094</v>
      </c>
      <c r="N274" s="51">
        <f>O273*('AP02'!$P274-1)</f>
        <v>0</v>
      </c>
      <c r="O274" s="51">
        <f>(O273*'AP02'!$P274)-'AP02'!$G274</f>
        <v>89823.76781</v>
      </c>
      <c r="P274" s="53">
        <f t="shared" si="149"/>
        <v>1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56">
        <f t="shared" si="2"/>
        <v>261</v>
      </c>
      <c r="B275" s="50">
        <f t="shared" si="5"/>
        <v>51187</v>
      </c>
      <c r="C275" s="116">
        <f t="shared" si="126"/>
        <v>0.0775</v>
      </c>
      <c r="D275" s="116">
        <f>((1+'AP02'!$C275)^(1/12))-1</f>
        <v>0.006239681461</v>
      </c>
      <c r="E275" s="51">
        <f t="shared" si="127"/>
        <v>2171.261517</v>
      </c>
      <c r="F275" s="51">
        <f>(O274*'AP02'!$P275)*'AP02'!$D275</f>
        <v>560.4716988</v>
      </c>
      <c r="G275" s="51">
        <f>(O274*'AP02'!$P275)/($I$5-A274)</f>
        <v>898.2376781</v>
      </c>
      <c r="H275" s="52">
        <f t="shared" ref="H275:L275" si="324">H274</f>
        <v>0</v>
      </c>
      <c r="I275" s="52">
        <f t="shared" si="324"/>
        <v>0</v>
      </c>
      <c r="J275" s="51">
        <f t="shared" si="324"/>
        <v>25</v>
      </c>
      <c r="K275" s="52">
        <f t="shared" si="324"/>
        <v>0</v>
      </c>
      <c r="L275" s="52">
        <f t="shared" si="324"/>
        <v>0</v>
      </c>
      <c r="M275" s="51">
        <f>SUM('AP02'!$F275:$L275)</f>
        <v>1483.709377</v>
      </c>
      <c r="N275" s="51">
        <f>O274*('AP02'!$P275-1)</f>
        <v>0</v>
      </c>
      <c r="O275" s="51">
        <f>(O274*'AP02'!$P275)-'AP02'!$G275</f>
        <v>88925.53014</v>
      </c>
      <c r="P275" s="53">
        <f t="shared" si="149"/>
        <v>1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56">
        <f t="shared" si="2"/>
        <v>262</v>
      </c>
      <c r="B276" s="50">
        <f t="shared" si="5"/>
        <v>51216</v>
      </c>
      <c r="C276" s="116">
        <f t="shared" si="126"/>
        <v>0.0775</v>
      </c>
      <c r="D276" s="116">
        <f>((1+'AP02'!$C276)^(1/12))-1</f>
        <v>0.006239681461</v>
      </c>
      <c r="E276" s="51">
        <f t="shared" si="127"/>
        <v>2171.261517</v>
      </c>
      <c r="F276" s="51">
        <f>(O275*'AP02'!$P276)*'AP02'!$D276</f>
        <v>554.8669818</v>
      </c>
      <c r="G276" s="51">
        <f>(O275*'AP02'!$P276)/($I$5-A275)</f>
        <v>898.2376781</v>
      </c>
      <c r="H276" s="52">
        <f t="shared" ref="H276:L276" si="325">H275</f>
        <v>0</v>
      </c>
      <c r="I276" s="52">
        <f t="shared" si="325"/>
        <v>0</v>
      </c>
      <c r="J276" s="51">
        <f t="shared" si="325"/>
        <v>25</v>
      </c>
      <c r="K276" s="52">
        <f t="shared" si="325"/>
        <v>0</v>
      </c>
      <c r="L276" s="52">
        <f t="shared" si="325"/>
        <v>0</v>
      </c>
      <c r="M276" s="51">
        <f>SUM('AP02'!$F276:$L276)</f>
        <v>1478.10466</v>
      </c>
      <c r="N276" s="51">
        <f>O275*('AP02'!$P276-1)</f>
        <v>0</v>
      </c>
      <c r="O276" s="51">
        <f>(O275*'AP02'!$P276)-'AP02'!$G276</f>
        <v>88027.29246</v>
      </c>
      <c r="P276" s="53">
        <f t="shared" si="149"/>
        <v>1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56">
        <f t="shared" si="2"/>
        <v>263</v>
      </c>
      <c r="B277" s="50">
        <f t="shared" si="5"/>
        <v>51247</v>
      </c>
      <c r="C277" s="116">
        <f t="shared" si="126"/>
        <v>0.0775</v>
      </c>
      <c r="D277" s="116">
        <f>((1+'AP02'!$C277)^(1/12))-1</f>
        <v>0.006239681461</v>
      </c>
      <c r="E277" s="51">
        <f t="shared" si="127"/>
        <v>2171.261517</v>
      </c>
      <c r="F277" s="51">
        <f>(O276*'AP02'!$P277)*'AP02'!$D277</f>
        <v>549.2622648</v>
      </c>
      <c r="G277" s="51">
        <f>(O276*'AP02'!$P277)/($I$5-A276)</f>
        <v>898.2376781</v>
      </c>
      <c r="H277" s="52">
        <f t="shared" ref="H277:L277" si="326">H276</f>
        <v>0</v>
      </c>
      <c r="I277" s="52">
        <f t="shared" si="326"/>
        <v>0</v>
      </c>
      <c r="J277" s="51">
        <f t="shared" si="326"/>
        <v>25</v>
      </c>
      <c r="K277" s="52">
        <f t="shared" si="326"/>
        <v>0</v>
      </c>
      <c r="L277" s="52">
        <f t="shared" si="326"/>
        <v>0</v>
      </c>
      <c r="M277" s="51">
        <f>SUM('AP02'!$F277:$L277)</f>
        <v>1472.499943</v>
      </c>
      <c r="N277" s="51">
        <f>O276*('AP02'!$P277-1)</f>
        <v>0</v>
      </c>
      <c r="O277" s="51">
        <f>(O276*'AP02'!$P277)-'AP02'!$G277</f>
        <v>87129.05478</v>
      </c>
      <c r="P277" s="53">
        <f t="shared" si="149"/>
        <v>1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56">
        <f t="shared" si="2"/>
        <v>264</v>
      </c>
      <c r="B278" s="50">
        <f t="shared" si="5"/>
        <v>51277</v>
      </c>
      <c r="C278" s="116">
        <f t="shared" si="126"/>
        <v>0.0775</v>
      </c>
      <c r="D278" s="116">
        <f>((1+'AP02'!$C278)^(1/12))-1</f>
        <v>0.006239681461</v>
      </c>
      <c r="E278" s="51">
        <f t="shared" si="127"/>
        <v>2171.261517</v>
      </c>
      <c r="F278" s="51">
        <f>(O277*'AP02'!$P278)*'AP02'!$D278</f>
        <v>543.6575479</v>
      </c>
      <c r="G278" s="51">
        <f>(O277*'AP02'!$P278)/($I$5-A277)</f>
        <v>898.2376781</v>
      </c>
      <c r="H278" s="52">
        <f t="shared" ref="H278:L278" si="327">H277</f>
        <v>0</v>
      </c>
      <c r="I278" s="52">
        <f t="shared" si="327"/>
        <v>0</v>
      </c>
      <c r="J278" s="51">
        <f t="shared" si="327"/>
        <v>25</v>
      </c>
      <c r="K278" s="52">
        <f t="shared" si="327"/>
        <v>0</v>
      </c>
      <c r="L278" s="52">
        <f t="shared" si="327"/>
        <v>0</v>
      </c>
      <c r="M278" s="51">
        <f>SUM('AP02'!$F278:$L278)</f>
        <v>1466.895226</v>
      </c>
      <c r="N278" s="51">
        <f>O277*('AP02'!$P278-1)</f>
        <v>0</v>
      </c>
      <c r="O278" s="51">
        <f>(O277*'AP02'!$P278)-'AP02'!$G278</f>
        <v>86230.8171</v>
      </c>
      <c r="P278" s="53">
        <f t="shared" si="149"/>
        <v>1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56">
        <f t="shared" si="2"/>
        <v>265</v>
      </c>
      <c r="B279" s="50">
        <f t="shared" si="5"/>
        <v>51308</v>
      </c>
      <c r="C279" s="116">
        <f t="shared" si="126"/>
        <v>0.0775</v>
      </c>
      <c r="D279" s="116">
        <f>((1+'AP02'!$C279)^(1/12))-1</f>
        <v>0.006239681461</v>
      </c>
      <c r="E279" s="51">
        <f t="shared" si="127"/>
        <v>2171.261517</v>
      </c>
      <c r="F279" s="51">
        <f>(O278*'AP02'!$P279)*'AP02'!$D279</f>
        <v>538.0528309</v>
      </c>
      <c r="G279" s="51">
        <f>(O278*'AP02'!$P279)/($I$5-A278)</f>
        <v>898.2376781</v>
      </c>
      <c r="H279" s="52">
        <f t="shared" ref="H279:L279" si="328">H278</f>
        <v>0</v>
      </c>
      <c r="I279" s="52">
        <f t="shared" si="328"/>
        <v>0</v>
      </c>
      <c r="J279" s="51">
        <f t="shared" si="328"/>
        <v>25</v>
      </c>
      <c r="K279" s="52">
        <f t="shared" si="328"/>
        <v>0</v>
      </c>
      <c r="L279" s="52">
        <f t="shared" si="328"/>
        <v>0</v>
      </c>
      <c r="M279" s="51">
        <f>SUM('AP02'!$F279:$L279)</f>
        <v>1461.290509</v>
      </c>
      <c r="N279" s="51">
        <f>O278*('AP02'!$P279-1)</f>
        <v>0</v>
      </c>
      <c r="O279" s="51">
        <f>(O278*'AP02'!$P279)-'AP02'!$G279</f>
        <v>85332.57942</v>
      </c>
      <c r="P279" s="53">
        <f t="shared" si="149"/>
        <v>1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56">
        <f t="shared" si="2"/>
        <v>266</v>
      </c>
      <c r="B280" s="50">
        <f t="shared" si="5"/>
        <v>51338</v>
      </c>
      <c r="C280" s="116">
        <f t="shared" si="126"/>
        <v>0.0775</v>
      </c>
      <c r="D280" s="116">
        <f>((1+'AP02'!$C280)^(1/12))-1</f>
        <v>0.006239681461</v>
      </c>
      <c r="E280" s="51">
        <f t="shared" si="127"/>
        <v>2171.261517</v>
      </c>
      <c r="F280" s="51">
        <f>(O279*'AP02'!$P280)*'AP02'!$D280</f>
        <v>532.4481139</v>
      </c>
      <c r="G280" s="51">
        <f>(O279*'AP02'!$P280)/($I$5-A279)</f>
        <v>898.2376781</v>
      </c>
      <c r="H280" s="52">
        <f t="shared" ref="H280:L280" si="329">H279</f>
        <v>0</v>
      </c>
      <c r="I280" s="52">
        <f t="shared" si="329"/>
        <v>0</v>
      </c>
      <c r="J280" s="51">
        <f t="shared" si="329"/>
        <v>25</v>
      </c>
      <c r="K280" s="52">
        <f t="shared" si="329"/>
        <v>0</v>
      </c>
      <c r="L280" s="52">
        <f t="shared" si="329"/>
        <v>0</v>
      </c>
      <c r="M280" s="51">
        <f>SUM('AP02'!$F280:$L280)</f>
        <v>1455.685792</v>
      </c>
      <c r="N280" s="51">
        <f>O279*('AP02'!$P280-1)</f>
        <v>0</v>
      </c>
      <c r="O280" s="51">
        <f>(O279*'AP02'!$P280)-'AP02'!$G280</f>
        <v>84434.34175</v>
      </c>
      <c r="P280" s="53">
        <f t="shared" si="149"/>
        <v>1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56">
        <f t="shared" si="2"/>
        <v>267</v>
      </c>
      <c r="B281" s="50">
        <f t="shared" si="5"/>
        <v>51369</v>
      </c>
      <c r="C281" s="116">
        <f t="shared" si="126"/>
        <v>0.0775</v>
      </c>
      <c r="D281" s="116">
        <f>((1+'AP02'!$C281)^(1/12))-1</f>
        <v>0.006239681461</v>
      </c>
      <c r="E281" s="51">
        <f t="shared" si="127"/>
        <v>2171.261517</v>
      </c>
      <c r="F281" s="51">
        <f>(O280*'AP02'!$P281)*'AP02'!$D281</f>
        <v>526.8433969</v>
      </c>
      <c r="G281" s="51">
        <f>(O280*'AP02'!$P281)/($I$5-A280)</f>
        <v>898.2376781</v>
      </c>
      <c r="H281" s="52">
        <f t="shared" ref="H281:L281" si="330">H280</f>
        <v>0</v>
      </c>
      <c r="I281" s="52">
        <f t="shared" si="330"/>
        <v>0</v>
      </c>
      <c r="J281" s="51">
        <f t="shared" si="330"/>
        <v>25</v>
      </c>
      <c r="K281" s="52">
        <f t="shared" si="330"/>
        <v>0</v>
      </c>
      <c r="L281" s="52">
        <f t="shared" si="330"/>
        <v>0</v>
      </c>
      <c r="M281" s="51">
        <f>SUM('AP02'!$F281:$L281)</f>
        <v>1450.081075</v>
      </c>
      <c r="N281" s="51">
        <f>O280*('AP02'!$P281-1)</f>
        <v>0</v>
      </c>
      <c r="O281" s="51">
        <f>(O280*'AP02'!$P281)-'AP02'!$G281</f>
        <v>83536.10407</v>
      </c>
      <c r="P281" s="53">
        <f t="shared" si="149"/>
        <v>1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56">
        <f t="shared" si="2"/>
        <v>268</v>
      </c>
      <c r="B282" s="50">
        <f t="shared" si="5"/>
        <v>51400</v>
      </c>
      <c r="C282" s="116">
        <f t="shared" si="126"/>
        <v>0.0775</v>
      </c>
      <c r="D282" s="116">
        <f>((1+'AP02'!$C282)^(1/12))-1</f>
        <v>0.006239681461</v>
      </c>
      <c r="E282" s="51">
        <f t="shared" si="127"/>
        <v>2171.261517</v>
      </c>
      <c r="F282" s="51">
        <f>(O281*'AP02'!$P282)*'AP02'!$D282</f>
        <v>521.2386799</v>
      </c>
      <c r="G282" s="51">
        <f>(O281*'AP02'!$P282)/($I$5-A281)</f>
        <v>898.2376781</v>
      </c>
      <c r="H282" s="52">
        <f t="shared" ref="H282:L282" si="331">H281</f>
        <v>0</v>
      </c>
      <c r="I282" s="52">
        <f t="shared" si="331"/>
        <v>0</v>
      </c>
      <c r="J282" s="51">
        <f t="shared" si="331"/>
        <v>25</v>
      </c>
      <c r="K282" s="52">
        <f t="shared" si="331"/>
        <v>0</v>
      </c>
      <c r="L282" s="52">
        <f t="shared" si="331"/>
        <v>0</v>
      </c>
      <c r="M282" s="51">
        <f>SUM('AP02'!$F282:$L282)</f>
        <v>1444.476358</v>
      </c>
      <c r="N282" s="51">
        <f>O281*('AP02'!$P282-1)</f>
        <v>0</v>
      </c>
      <c r="O282" s="51">
        <f>(O281*'AP02'!$P282)-'AP02'!$G282</f>
        <v>82637.86639</v>
      </c>
      <c r="P282" s="53">
        <f t="shared" si="149"/>
        <v>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56">
        <f t="shared" si="2"/>
        <v>269</v>
      </c>
      <c r="B283" s="50">
        <f t="shared" si="5"/>
        <v>51430</v>
      </c>
      <c r="C283" s="116">
        <f t="shared" si="126"/>
        <v>0.0775</v>
      </c>
      <c r="D283" s="116">
        <f>((1+'AP02'!$C283)^(1/12))-1</f>
        <v>0.006239681461</v>
      </c>
      <c r="E283" s="51">
        <f t="shared" si="127"/>
        <v>2171.261517</v>
      </c>
      <c r="F283" s="51">
        <f>(O282*'AP02'!$P283)*'AP02'!$D283</f>
        <v>515.6339629</v>
      </c>
      <c r="G283" s="51">
        <f>(O282*'AP02'!$P283)/($I$5-A282)</f>
        <v>898.2376781</v>
      </c>
      <c r="H283" s="52">
        <f t="shared" ref="H283:L283" si="332">H282</f>
        <v>0</v>
      </c>
      <c r="I283" s="52">
        <f t="shared" si="332"/>
        <v>0</v>
      </c>
      <c r="J283" s="51">
        <f t="shared" si="332"/>
        <v>25</v>
      </c>
      <c r="K283" s="52">
        <f t="shared" si="332"/>
        <v>0</v>
      </c>
      <c r="L283" s="52">
        <f t="shared" si="332"/>
        <v>0</v>
      </c>
      <c r="M283" s="51">
        <f>SUM('AP02'!$F283:$L283)</f>
        <v>1438.871641</v>
      </c>
      <c r="N283" s="51">
        <f>O282*('AP02'!$P283-1)</f>
        <v>0</v>
      </c>
      <c r="O283" s="51">
        <f>(O282*'AP02'!$P283)-'AP02'!$G283</f>
        <v>81739.62871</v>
      </c>
      <c r="P283" s="53">
        <f t="shared" si="149"/>
        <v>1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56">
        <f t="shared" si="2"/>
        <v>270</v>
      </c>
      <c r="B284" s="50">
        <f t="shared" si="5"/>
        <v>51461</v>
      </c>
      <c r="C284" s="116">
        <f t="shared" si="126"/>
        <v>0.0775</v>
      </c>
      <c r="D284" s="116">
        <f>((1+'AP02'!$C284)^(1/12))-1</f>
        <v>0.006239681461</v>
      </c>
      <c r="E284" s="51">
        <f t="shared" si="127"/>
        <v>2171.261517</v>
      </c>
      <c r="F284" s="51">
        <f>(O283*'AP02'!$P284)*'AP02'!$D284</f>
        <v>510.0292459</v>
      </c>
      <c r="G284" s="51">
        <f>(O283*'AP02'!$P284)/($I$5-A283)</f>
        <v>898.2376781</v>
      </c>
      <c r="H284" s="52">
        <f t="shared" ref="H284:L284" si="333">H283</f>
        <v>0</v>
      </c>
      <c r="I284" s="52">
        <f t="shared" si="333"/>
        <v>0</v>
      </c>
      <c r="J284" s="51">
        <f t="shared" si="333"/>
        <v>25</v>
      </c>
      <c r="K284" s="52">
        <f t="shared" si="333"/>
        <v>0</v>
      </c>
      <c r="L284" s="52">
        <f t="shared" si="333"/>
        <v>0</v>
      </c>
      <c r="M284" s="51">
        <f>SUM('AP02'!$F284:$L284)</f>
        <v>1433.266924</v>
      </c>
      <c r="N284" s="51">
        <f>O283*('AP02'!$P284-1)</f>
        <v>0</v>
      </c>
      <c r="O284" s="51">
        <f>(O283*'AP02'!$P284)-'AP02'!$G284</f>
        <v>80841.39103</v>
      </c>
      <c r="P284" s="53">
        <f t="shared" si="149"/>
        <v>1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56">
        <f t="shared" si="2"/>
        <v>271</v>
      </c>
      <c r="B285" s="50">
        <f t="shared" si="5"/>
        <v>51491</v>
      </c>
      <c r="C285" s="116">
        <f t="shared" si="126"/>
        <v>0.0775</v>
      </c>
      <c r="D285" s="116">
        <f>((1+'AP02'!$C285)^(1/12))-1</f>
        <v>0.006239681461</v>
      </c>
      <c r="E285" s="51">
        <f t="shared" si="127"/>
        <v>2171.261517</v>
      </c>
      <c r="F285" s="51">
        <f>(O284*'AP02'!$P285)*'AP02'!$D285</f>
        <v>504.4245289</v>
      </c>
      <c r="G285" s="51">
        <f>(O284*'AP02'!$P285)/($I$5-A284)</f>
        <v>898.2376781</v>
      </c>
      <c r="H285" s="52">
        <f t="shared" ref="H285:L285" si="334">H284</f>
        <v>0</v>
      </c>
      <c r="I285" s="52">
        <f t="shared" si="334"/>
        <v>0</v>
      </c>
      <c r="J285" s="51">
        <f t="shared" si="334"/>
        <v>25</v>
      </c>
      <c r="K285" s="52">
        <f t="shared" si="334"/>
        <v>0</v>
      </c>
      <c r="L285" s="52">
        <f t="shared" si="334"/>
        <v>0</v>
      </c>
      <c r="M285" s="51">
        <f>SUM('AP02'!$F285:$L285)</f>
        <v>1427.662207</v>
      </c>
      <c r="N285" s="51">
        <f>O284*('AP02'!$P285-1)</f>
        <v>0</v>
      </c>
      <c r="O285" s="51">
        <f>(O284*'AP02'!$P285)-'AP02'!$G285</f>
        <v>79943.15335</v>
      </c>
      <c r="P285" s="53">
        <f t="shared" si="149"/>
        <v>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56">
        <f t="shared" si="2"/>
        <v>272</v>
      </c>
      <c r="B286" s="50">
        <f t="shared" si="5"/>
        <v>51522</v>
      </c>
      <c r="C286" s="116">
        <f t="shared" si="126"/>
        <v>0.0775</v>
      </c>
      <c r="D286" s="116">
        <f>((1+'AP02'!$C286)^(1/12))-1</f>
        <v>0.006239681461</v>
      </c>
      <c r="E286" s="51">
        <f t="shared" si="127"/>
        <v>2171.261517</v>
      </c>
      <c r="F286" s="51">
        <f>(O285*'AP02'!$P286)*'AP02'!$D286</f>
        <v>498.8198119</v>
      </c>
      <c r="G286" s="51">
        <f>(O285*'AP02'!$P286)/($I$5-A285)</f>
        <v>898.2376781</v>
      </c>
      <c r="H286" s="52">
        <f t="shared" ref="H286:L286" si="335">H285</f>
        <v>0</v>
      </c>
      <c r="I286" s="52">
        <f t="shared" si="335"/>
        <v>0</v>
      </c>
      <c r="J286" s="51">
        <f t="shared" si="335"/>
        <v>25</v>
      </c>
      <c r="K286" s="52">
        <f t="shared" si="335"/>
        <v>0</v>
      </c>
      <c r="L286" s="52">
        <f t="shared" si="335"/>
        <v>0</v>
      </c>
      <c r="M286" s="51">
        <f>SUM('AP02'!$F286:$L286)</f>
        <v>1422.05749</v>
      </c>
      <c r="N286" s="51">
        <f>O285*('AP02'!$P286-1)</f>
        <v>0</v>
      </c>
      <c r="O286" s="51">
        <f>(O285*'AP02'!$P286)-'AP02'!$G286</f>
        <v>79044.91568</v>
      </c>
      <c r="P286" s="53">
        <f t="shared" si="149"/>
        <v>1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56">
        <f t="shared" si="2"/>
        <v>273</v>
      </c>
      <c r="B287" s="50">
        <f t="shared" si="5"/>
        <v>51553</v>
      </c>
      <c r="C287" s="116">
        <f t="shared" si="126"/>
        <v>0.0775</v>
      </c>
      <c r="D287" s="116">
        <f>((1+'AP02'!$C287)^(1/12))-1</f>
        <v>0.006239681461</v>
      </c>
      <c r="E287" s="51">
        <f t="shared" si="127"/>
        <v>2171.261517</v>
      </c>
      <c r="F287" s="51">
        <f>(O286*'AP02'!$P287)*'AP02'!$D287</f>
        <v>493.215095</v>
      </c>
      <c r="G287" s="51">
        <f>(O286*'AP02'!$P287)/($I$5-A286)</f>
        <v>898.2376781</v>
      </c>
      <c r="H287" s="52">
        <f t="shared" ref="H287:L287" si="336">H286</f>
        <v>0</v>
      </c>
      <c r="I287" s="52">
        <f t="shared" si="336"/>
        <v>0</v>
      </c>
      <c r="J287" s="51">
        <f t="shared" si="336"/>
        <v>25</v>
      </c>
      <c r="K287" s="52">
        <f t="shared" si="336"/>
        <v>0</v>
      </c>
      <c r="L287" s="52">
        <f t="shared" si="336"/>
        <v>0</v>
      </c>
      <c r="M287" s="51">
        <f>SUM('AP02'!$F287:$L287)</f>
        <v>1416.452773</v>
      </c>
      <c r="N287" s="51">
        <f>O286*('AP02'!$P287-1)</f>
        <v>0</v>
      </c>
      <c r="O287" s="51">
        <f>(O286*'AP02'!$P287)-'AP02'!$G287</f>
        <v>78146.678</v>
      </c>
      <c r="P287" s="53">
        <f t="shared" si="149"/>
        <v>1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56">
        <f t="shared" si="2"/>
        <v>274</v>
      </c>
      <c r="B288" s="50">
        <f t="shared" si="5"/>
        <v>51581</v>
      </c>
      <c r="C288" s="116">
        <f t="shared" si="126"/>
        <v>0.0775</v>
      </c>
      <c r="D288" s="116">
        <f>((1+'AP02'!$C288)^(1/12))-1</f>
        <v>0.006239681461</v>
      </c>
      <c r="E288" s="51">
        <f t="shared" si="127"/>
        <v>2171.261517</v>
      </c>
      <c r="F288" s="51">
        <f>(O287*'AP02'!$P288)*'AP02'!$D288</f>
        <v>487.610378</v>
      </c>
      <c r="G288" s="51">
        <f>(O287*'AP02'!$P288)/($I$5-A287)</f>
        <v>898.2376781</v>
      </c>
      <c r="H288" s="52">
        <f t="shared" ref="H288:L288" si="337">H287</f>
        <v>0</v>
      </c>
      <c r="I288" s="52">
        <f t="shared" si="337"/>
        <v>0</v>
      </c>
      <c r="J288" s="51">
        <f t="shared" si="337"/>
        <v>25</v>
      </c>
      <c r="K288" s="52">
        <f t="shared" si="337"/>
        <v>0</v>
      </c>
      <c r="L288" s="52">
        <f t="shared" si="337"/>
        <v>0</v>
      </c>
      <c r="M288" s="51">
        <f>SUM('AP02'!$F288:$L288)</f>
        <v>1410.848056</v>
      </c>
      <c r="N288" s="51">
        <f>O287*('AP02'!$P288-1)</f>
        <v>0</v>
      </c>
      <c r="O288" s="51">
        <f>(O287*'AP02'!$P288)-'AP02'!$G288</f>
        <v>77248.44032</v>
      </c>
      <c r="P288" s="53">
        <f t="shared" si="149"/>
        <v>1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56">
        <f t="shared" si="2"/>
        <v>275</v>
      </c>
      <c r="B289" s="50">
        <f t="shared" si="5"/>
        <v>51612</v>
      </c>
      <c r="C289" s="116">
        <f t="shared" si="126"/>
        <v>0.0775</v>
      </c>
      <c r="D289" s="116">
        <f>((1+'AP02'!$C289)^(1/12))-1</f>
        <v>0.006239681461</v>
      </c>
      <c r="E289" s="51">
        <f t="shared" si="127"/>
        <v>2171.261517</v>
      </c>
      <c r="F289" s="51">
        <f>(O288*'AP02'!$P289)*'AP02'!$D289</f>
        <v>482.005661</v>
      </c>
      <c r="G289" s="51">
        <f>(O288*'AP02'!$P289)/($I$5-A288)</f>
        <v>898.2376781</v>
      </c>
      <c r="H289" s="52">
        <f t="shared" ref="H289:L289" si="338">H288</f>
        <v>0</v>
      </c>
      <c r="I289" s="52">
        <f t="shared" si="338"/>
        <v>0</v>
      </c>
      <c r="J289" s="51">
        <f t="shared" si="338"/>
        <v>25</v>
      </c>
      <c r="K289" s="52">
        <f t="shared" si="338"/>
        <v>0</v>
      </c>
      <c r="L289" s="52">
        <f t="shared" si="338"/>
        <v>0</v>
      </c>
      <c r="M289" s="51">
        <f>SUM('AP02'!$F289:$L289)</f>
        <v>1405.243339</v>
      </c>
      <c r="N289" s="51">
        <f>O288*('AP02'!$P289-1)</f>
        <v>0</v>
      </c>
      <c r="O289" s="51">
        <f>(O288*'AP02'!$P289)-'AP02'!$G289</f>
        <v>76350.20264</v>
      </c>
      <c r="P289" s="53">
        <f t="shared" si="149"/>
        <v>1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56">
        <f t="shared" si="2"/>
        <v>276</v>
      </c>
      <c r="B290" s="50">
        <f t="shared" si="5"/>
        <v>51642</v>
      </c>
      <c r="C290" s="116">
        <f t="shared" si="126"/>
        <v>0.0775</v>
      </c>
      <c r="D290" s="116">
        <f>((1+'AP02'!$C290)^(1/12))-1</f>
        <v>0.006239681461</v>
      </c>
      <c r="E290" s="51">
        <f t="shared" si="127"/>
        <v>2171.261517</v>
      </c>
      <c r="F290" s="51">
        <f>(O289*'AP02'!$P290)*'AP02'!$D290</f>
        <v>476.400944</v>
      </c>
      <c r="G290" s="51">
        <f>(O289*'AP02'!$P290)/($I$5-A289)</f>
        <v>898.2376781</v>
      </c>
      <c r="H290" s="52">
        <f t="shared" ref="H290:L290" si="339">H289</f>
        <v>0</v>
      </c>
      <c r="I290" s="52">
        <f t="shared" si="339"/>
        <v>0</v>
      </c>
      <c r="J290" s="51">
        <f t="shared" si="339"/>
        <v>25</v>
      </c>
      <c r="K290" s="52">
        <f t="shared" si="339"/>
        <v>0</v>
      </c>
      <c r="L290" s="52">
        <f t="shared" si="339"/>
        <v>0</v>
      </c>
      <c r="M290" s="51">
        <f>SUM('AP02'!$F290:$L290)</f>
        <v>1399.638622</v>
      </c>
      <c r="N290" s="51">
        <f>O289*('AP02'!$P290-1)</f>
        <v>0</v>
      </c>
      <c r="O290" s="51">
        <f>(O289*'AP02'!$P290)-'AP02'!$G290</f>
        <v>75451.96496</v>
      </c>
      <c r="P290" s="53">
        <f t="shared" si="149"/>
        <v>1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56">
        <f t="shared" si="2"/>
        <v>277</v>
      </c>
      <c r="B291" s="50">
        <f t="shared" si="5"/>
        <v>51673</v>
      </c>
      <c r="C291" s="116">
        <f t="shared" si="126"/>
        <v>0.0775</v>
      </c>
      <c r="D291" s="116">
        <f>((1+'AP02'!$C291)^(1/12))-1</f>
        <v>0.006239681461</v>
      </c>
      <c r="E291" s="51">
        <f t="shared" si="127"/>
        <v>2171.261517</v>
      </c>
      <c r="F291" s="51">
        <f>(O290*'AP02'!$P291)*'AP02'!$D291</f>
        <v>470.796227</v>
      </c>
      <c r="G291" s="51">
        <f>(O290*'AP02'!$P291)/($I$5-A290)</f>
        <v>898.2376781</v>
      </c>
      <c r="H291" s="52">
        <f t="shared" ref="H291:L291" si="340">H290</f>
        <v>0</v>
      </c>
      <c r="I291" s="52">
        <f t="shared" si="340"/>
        <v>0</v>
      </c>
      <c r="J291" s="51">
        <f t="shared" si="340"/>
        <v>25</v>
      </c>
      <c r="K291" s="52">
        <f t="shared" si="340"/>
        <v>0</v>
      </c>
      <c r="L291" s="52">
        <f t="shared" si="340"/>
        <v>0</v>
      </c>
      <c r="M291" s="51">
        <f>SUM('AP02'!$F291:$L291)</f>
        <v>1394.033905</v>
      </c>
      <c r="N291" s="51">
        <f>O290*('AP02'!$P291-1)</f>
        <v>0</v>
      </c>
      <c r="O291" s="51">
        <f>(O290*'AP02'!$P291)-'AP02'!$G291</f>
        <v>74553.72729</v>
      </c>
      <c r="P291" s="53">
        <f t="shared" si="149"/>
        <v>1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56">
        <f t="shared" si="2"/>
        <v>278</v>
      </c>
      <c r="B292" s="50">
        <f t="shared" si="5"/>
        <v>51703</v>
      </c>
      <c r="C292" s="116">
        <f t="shared" si="126"/>
        <v>0.0775</v>
      </c>
      <c r="D292" s="116">
        <f>((1+'AP02'!$C292)^(1/12))-1</f>
        <v>0.006239681461</v>
      </c>
      <c r="E292" s="51">
        <f t="shared" si="127"/>
        <v>2171.261517</v>
      </c>
      <c r="F292" s="51">
        <f>(O291*'AP02'!$P292)*'AP02'!$D292</f>
        <v>465.19151</v>
      </c>
      <c r="G292" s="51">
        <f>(O291*'AP02'!$P292)/($I$5-A291)</f>
        <v>898.2376781</v>
      </c>
      <c r="H292" s="52">
        <f t="shared" ref="H292:L292" si="341">H291</f>
        <v>0</v>
      </c>
      <c r="I292" s="52">
        <f t="shared" si="341"/>
        <v>0</v>
      </c>
      <c r="J292" s="51">
        <f t="shared" si="341"/>
        <v>25</v>
      </c>
      <c r="K292" s="52">
        <f t="shared" si="341"/>
        <v>0</v>
      </c>
      <c r="L292" s="52">
        <f t="shared" si="341"/>
        <v>0</v>
      </c>
      <c r="M292" s="51">
        <f>SUM('AP02'!$F292:$L292)</f>
        <v>1388.429188</v>
      </c>
      <c r="N292" s="51">
        <f>O291*('AP02'!$P292-1)</f>
        <v>0</v>
      </c>
      <c r="O292" s="51">
        <f>(O291*'AP02'!$P292)-'AP02'!$G292</f>
        <v>73655.48961</v>
      </c>
      <c r="P292" s="53">
        <f t="shared" si="149"/>
        <v>1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56">
        <f t="shared" si="2"/>
        <v>279</v>
      </c>
      <c r="B293" s="50">
        <f t="shared" si="5"/>
        <v>51734</v>
      </c>
      <c r="C293" s="116">
        <f t="shared" si="126"/>
        <v>0.0775</v>
      </c>
      <c r="D293" s="116">
        <f>((1+'AP02'!$C293)^(1/12))-1</f>
        <v>0.006239681461</v>
      </c>
      <c r="E293" s="51">
        <f t="shared" si="127"/>
        <v>2171.261517</v>
      </c>
      <c r="F293" s="51">
        <f>(O292*'AP02'!$P293)*'AP02'!$D293</f>
        <v>459.586793</v>
      </c>
      <c r="G293" s="51">
        <f>(O292*'AP02'!$P293)/($I$5-A292)</f>
        <v>898.2376781</v>
      </c>
      <c r="H293" s="52">
        <f t="shared" ref="H293:L293" si="342">H292</f>
        <v>0</v>
      </c>
      <c r="I293" s="52">
        <f t="shared" si="342"/>
        <v>0</v>
      </c>
      <c r="J293" s="51">
        <f t="shared" si="342"/>
        <v>25</v>
      </c>
      <c r="K293" s="52">
        <f t="shared" si="342"/>
        <v>0</v>
      </c>
      <c r="L293" s="52">
        <f t="shared" si="342"/>
        <v>0</v>
      </c>
      <c r="M293" s="51">
        <f>SUM('AP02'!$F293:$L293)</f>
        <v>1382.824471</v>
      </c>
      <c r="N293" s="51">
        <f>O292*('AP02'!$P293-1)</f>
        <v>0</v>
      </c>
      <c r="O293" s="51">
        <f>(O292*'AP02'!$P293)-'AP02'!$G293</f>
        <v>72757.25193</v>
      </c>
      <c r="P293" s="53">
        <f t="shared" si="149"/>
        <v>1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56">
        <f t="shared" si="2"/>
        <v>280</v>
      </c>
      <c r="B294" s="50">
        <f t="shared" si="5"/>
        <v>51765</v>
      </c>
      <c r="C294" s="116">
        <f t="shared" si="126"/>
        <v>0.0775</v>
      </c>
      <c r="D294" s="116">
        <f>((1+'AP02'!$C294)^(1/12))-1</f>
        <v>0.006239681461</v>
      </c>
      <c r="E294" s="51">
        <f t="shared" si="127"/>
        <v>2171.261517</v>
      </c>
      <c r="F294" s="51">
        <f>(O293*'AP02'!$P294)*'AP02'!$D294</f>
        <v>453.982076</v>
      </c>
      <c r="G294" s="51">
        <f>(O293*'AP02'!$P294)/($I$5-A293)</f>
        <v>898.2376781</v>
      </c>
      <c r="H294" s="52">
        <f t="shared" ref="H294:L294" si="343">H293</f>
        <v>0</v>
      </c>
      <c r="I294" s="52">
        <f t="shared" si="343"/>
        <v>0</v>
      </c>
      <c r="J294" s="51">
        <f t="shared" si="343"/>
        <v>25</v>
      </c>
      <c r="K294" s="52">
        <f t="shared" si="343"/>
        <v>0</v>
      </c>
      <c r="L294" s="52">
        <f t="shared" si="343"/>
        <v>0</v>
      </c>
      <c r="M294" s="51">
        <f>SUM('AP02'!$F294:$L294)</f>
        <v>1377.219754</v>
      </c>
      <c r="N294" s="51">
        <f>O293*('AP02'!$P294-1)</f>
        <v>0</v>
      </c>
      <c r="O294" s="51">
        <f>(O293*'AP02'!$P294)-'AP02'!$G294</f>
        <v>71859.01425</v>
      </c>
      <c r="P294" s="53">
        <f t="shared" si="149"/>
        <v>1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56">
        <f t="shared" si="2"/>
        <v>281</v>
      </c>
      <c r="B295" s="50">
        <f t="shared" si="5"/>
        <v>51795</v>
      </c>
      <c r="C295" s="116">
        <f t="shared" si="126"/>
        <v>0.0775</v>
      </c>
      <c r="D295" s="116">
        <f>((1+'AP02'!$C295)^(1/12))-1</f>
        <v>0.006239681461</v>
      </c>
      <c r="E295" s="51">
        <f t="shared" si="127"/>
        <v>2171.261517</v>
      </c>
      <c r="F295" s="51">
        <f>(O294*'AP02'!$P295)*'AP02'!$D295</f>
        <v>448.3773591</v>
      </c>
      <c r="G295" s="51">
        <f>(O294*'AP02'!$P295)/($I$5-A294)</f>
        <v>898.2376781</v>
      </c>
      <c r="H295" s="52">
        <f t="shared" ref="H295:L295" si="344">H294</f>
        <v>0</v>
      </c>
      <c r="I295" s="52">
        <f t="shared" si="344"/>
        <v>0</v>
      </c>
      <c r="J295" s="51">
        <f t="shared" si="344"/>
        <v>25</v>
      </c>
      <c r="K295" s="52">
        <f t="shared" si="344"/>
        <v>0</v>
      </c>
      <c r="L295" s="52">
        <f t="shared" si="344"/>
        <v>0</v>
      </c>
      <c r="M295" s="51">
        <f>SUM('AP02'!$F295:$L295)</f>
        <v>1371.615037</v>
      </c>
      <c r="N295" s="51">
        <f>O294*('AP02'!$P295-1)</f>
        <v>0</v>
      </c>
      <c r="O295" s="51">
        <f>(O294*'AP02'!$P295)-'AP02'!$G295</f>
        <v>70960.77657</v>
      </c>
      <c r="P295" s="53">
        <f t="shared" si="149"/>
        <v>1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56">
        <f t="shared" si="2"/>
        <v>282</v>
      </c>
      <c r="B296" s="50">
        <f t="shared" si="5"/>
        <v>51826</v>
      </c>
      <c r="C296" s="116">
        <f t="shared" si="126"/>
        <v>0.0775</v>
      </c>
      <c r="D296" s="116">
        <f>((1+'AP02'!$C296)^(1/12))-1</f>
        <v>0.006239681461</v>
      </c>
      <c r="E296" s="51">
        <f t="shared" si="127"/>
        <v>2171.261517</v>
      </c>
      <c r="F296" s="51">
        <f>(O295*'AP02'!$P296)*'AP02'!$D296</f>
        <v>442.7726421</v>
      </c>
      <c r="G296" s="51">
        <f>(O295*'AP02'!$P296)/($I$5-A295)</f>
        <v>898.2376781</v>
      </c>
      <c r="H296" s="52">
        <f t="shared" ref="H296:L296" si="345">H295</f>
        <v>0</v>
      </c>
      <c r="I296" s="52">
        <f t="shared" si="345"/>
        <v>0</v>
      </c>
      <c r="J296" s="51">
        <f t="shared" si="345"/>
        <v>25</v>
      </c>
      <c r="K296" s="52">
        <f t="shared" si="345"/>
        <v>0</v>
      </c>
      <c r="L296" s="52">
        <f t="shared" si="345"/>
        <v>0</v>
      </c>
      <c r="M296" s="51">
        <f>SUM('AP02'!$F296:$L296)</f>
        <v>1366.01032</v>
      </c>
      <c r="N296" s="51">
        <f>O295*('AP02'!$P296-1)</f>
        <v>0</v>
      </c>
      <c r="O296" s="51">
        <f>(O295*'AP02'!$P296)-'AP02'!$G296</f>
        <v>70062.5389</v>
      </c>
      <c r="P296" s="53">
        <f t="shared" si="149"/>
        <v>1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56">
        <f t="shared" si="2"/>
        <v>283</v>
      </c>
      <c r="B297" s="50">
        <f t="shared" si="5"/>
        <v>51856</v>
      </c>
      <c r="C297" s="116">
        <f t="shared" si="126"/>
        <v>0.0775</v>
      </c>
      <c r="D297" s="116">
        <f>((1+'AP02'!$C297)^(1/12))-1</f>
        <v>0.006239681461</v>
      </c>
      <c r="E297" s="51">
        <f t="shared" si="127"/>
        <v>2171.261517</v>
      </c>
      <c r="F297" s="51">
        <f>(O296*'AP02'!$P297)*'AP02'!$D297</f>
        <v>437.1679251</v>
      </c>
      <c r="G297" s="51">
        <f>(O296*'AP02'!$P297)/($I$5-A296)</f>
        <v>898.2376781</v>
      </c>
      <c r="H297" s="52">
        <f t="shared" ref="H297:L297" si="346">H296</f>
        <v>0</v>
      </c>
      <c r="I297" s="52">
        <f t="shared" si="346"/>
        <v>0</v>
      </c>
      <c r="J297" s="51">
        <f t="shared" si="346"/>
        <v>25</v>
      </c>
      <c r="K297" s="52">
        <f t="shared" si="346"/>
        <v>0</v>
      </c>
      <c r="L297" s="52">
        <f t="shared" si="346"/>
        <v>0</v>
      </c>
      <c r="M297" s="51">
        <f>SUM('AP02'!$F297:$L297)</f>
        <v>1360.405603</v>
      </c>
      <c r="N297" s="51">
        <f>O296*('AP02'!$P297-1)</f>
        <v>0</v>
      </c>
      <c r="O297" s="51">
        <f>(O296*'AP02'!$P297)-'AP02'!$G297</f>
        <v>69164.30122</v>
      </c>
      <c r="P297" s="53">
        <f t="shared" si="149"/>
        <v>1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56">
        <f t="shared" si="2"/>
        <v>284</v>
      </c>
      <c r="B298" s="50">
        <f t="shared" si="5"/>
        <v>51887</v>
      </c>
      <c r="C298" s="116">
        <f t="shared" si="126"/>
        <v>0.0775</v>
      </c>
      <c r="D298" s="116">
        <f>((1+'AP02'!$C298)^(1/12))-1</f>
        <v>0.006239681461</v>
      </c>
      <c r="E298" s="51">
        <f t="shared" si="127"/>
        <v>2171.261517</v>
      </c>
      <c r="F298" s="51">
        <f>(O297*'AP02'!$P298)*'AP02'!$D298</f>
        <v>431.5632081</v>
      </c>
      <c r="G298" s="51">
        <f>(O297*'AP02'!$P298)/($I$5-A297)</f>
        <v>898.2376781</v>
      </c>
      <c r="H298" s="52">
        <f t="shared" ref="H298:L298" si="347">H297</f>
        <v>0</v>
      </c>
      <c r="I298" s="52">
        <f t="shared" si="347"/>
        <v>0</v>
      </c>
      <c r="J298" s="51">
        <f t="shared" si="347"/>
        <v>25</v>
      </c>
      <c r="K298" s="52">
        <f t="shared" si="347"/>
        <v>0</v>
      </c>
      <c r="L298" s="52">
        <f t="shared" si="347"/>
        <v>0</v>
      </c>
      <c r="M298" s="51">
        <f>SUM('AP02'!$F298:$L298)</f>
        <v>1354.800886</v>
      </c>
      <c r="N298" s="51">
        <f>O297*('AP02'!$P298-1)</f>
        <v>0</v>
      </c>
      <c r="O298" s="51">
        <f>(O297*'AP02'!$P298)-'AP02'!$G298</f>
        <v>68266.06354</v>
      </c>
      <c r="P298" s="53">
        <f t="shared" si="149"/>
        <v>1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56">
        <f t="shared" si="2"/>
        <v>285</v>
      </c>
      <c r="B299" s="50">
        <f t="shared" si="5"/>
        <v>51918</v>
      </c>
      <c r="C299" s="116">
        <f t="shared" si="126"/>
        <v>0.0775</v>
      </c>
      <c r="D299" s="116">
        <f>((1+'AP02'!$C299)^(1/12))-1</f>
        <v>0.006239681461</v>
      </c>
      <c r="E299" s="51">
        <f t="shared" si="127"/>
        <v>2171.261517</v>
      </c>
      <c r="F299" s="51">
        <f>(O298*'AP02'!$P299)*'AP02'!$D299</f>
        <v>425.9584911</v>
      </c>
      <c r="G299" s="51">
        <f>(O298*'AP02'!$P299)/($I$5-A298)</f>
        <v>898.2376781</v>
      </c>
      <c r="H299" s="52">
        <f t="shared" ref="H299:L299" si="348">H298</f>
        <v>0</v>
      </c>
      <c r="I299" s="52">
        <f t="shared" si="348"/>
        <v>0</v>
      </c>
      <c r="J299" s="51">
        <f t="shared" si="348"/>
        <v>25</v>
      </c>
      <c r="K299" s="52">
        <f t="shared" si="348"/>
        <v>0</v>
      </c>
      <c r="L299" s="52">
        <f t="shared" si="348"/>
        <v>0</v>
      </c>
      <c r="M299" s="51">
        <f>SUM('AP02'!$F299:$L299)</f>
        <v>1349.196169</v>
      </c>
      <c r="N299" s="51">
        <f>O298*('AP02'!$P299-1)</f>
        <v>0</v>
      </c>
      <c r="O299" s="51">
        <f>(O298*'AP02'!$P299)-'AP02'!$G299</f>
        <v>67367.82586</v>
      </c>
      <c r="P299" s="53">
        <f t="shared" si="149"/>
        <v>1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56">
        <f t="shared" si="2"/>
        <v>286</v>
      </c>
      <c r="B300" s="50">
        <f t="shared" si="5"/>
        <v>51946</v>
      </c>
      <c r="C300" s="116">
        <f t="shared" si="126"/>
        <v>0.0775</v>
      </c>
      <c r="D300" s="116">
        <f>((1+'AP02'!$C300)^(1/12))-1</f>
        <v>0.006239681461</v>
      </c>
      <c r="E300" s="51">
        <f t="shared" si="127"/>
        <v>2171.261517</v>
      </c>
      <c r="F300" s="51">
        <f>(O299*'AP02'!$P300)*'AP02'!$D300</f>
        <v>420.3537741</v>
      </c>
      <c r="G300" s="51">
        <f>(O299*'AP02'!$P300)/($I$5-A299)</f>
        <v>898.2376781</v>
      </c>
      <c r="H300" s="52">
        <f t="shared" ref="H300:L300" si="349">H299</f>
        <v>0</v>
      </c>
      <c r="I300" s="52">
        <f t="shared" si="349"/>
        <v>0</v>
      </c>
      <c r="J300" s="51">
        <f t="shared" si="349"/>
        <v>25</v>
      </c>
      <c r="K300" s="52">
        <f t="shared" si="349"/>
        <v>0</v>
      </c>
      <c r="L300" s="52">
        <f t="shared" si="349"/>
        <v>0</v>
      </c>
      <c r="M300" s="51">
        <f>SUM('AP02'!$F300:$L300)</f>
        <v>1343.591452</v>
      </c>
      <c r="N300" s="51">
        <f>O299*('AP02'!$P300-1)</f>
        <v>0</v>
      </c>
      <c r="O300" s="51">
        <f>(O299*'AP02'!$P300)-'AP02'!$G300</f>
        <v>66469.58818</v>
      </c>
      <c r="P300" s="53">
        <f t="shared" si="149"/>
        <v>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56">
        <f t="shared" si="2"/>
        <v>287</v>
      </c>
      <c r="B301" s="50">
        <f t="shared" si="5"/>
        <v>51977</v>
      </c>
      <c r="C301" s="116">
        <f t="shared" si="126"/>
        <v>0.0775</v>
      </c>
      <c r="D301" s="116">
        <f>((1+'AP02'!$C301)^(1/12))-1</f>
        <v>0.006239681461</v>
      </c>
      <c r="E301" s="51">
        <f t="shared" si="127"/>
        <v>2171.261517</v>
      </c>
      <c r="F301" s="51">
        <f>(O300*'AP02'!$P301)*'AP02'!$D301</f>
        <v>414.7490571</v>
      </c>
      <c r="G301" s="51">
        <f>(O300*'AP02'!$P301)/($I$5-A300)</f>
        <v>898.2376781</v>
      </c>
      <c r="H301" s="52">
        <f t="shared" ref="H301:L301" si="350">H300</f>
        <v>0</v>
      </c>
      <c r="I301" s="52">
        <f t="shared" si="350"/>
        <v>0</v>
      </c>
      <c r="J301" s="51">
        <f t="shared" si="350"/>
        <v>25</v>
      </c>
      <c r="K301" s="52">
        <f t="shared" si="350"/>
        <v>0</v>
      </c>
      <c r="L301" s="52">
        <f t="shared" si="350"/>
        <v>0</v>
      </c>
      <c r="M301" s="51">
        <f>SUM('AP02'!$F301:$L301)</f>
        <v>1337.986735</v>
      </c>
      <c r="N301" s="51">
        <f>O300*('AP02'!$P301-1)</f>
        <v>0</v>
      </c>
      <c r="O301" s="51">
        <f>(O300*'AP02'!$P301)-'AP02'!$G301</f>
        <v>65571.3505</v>
      </c>
      <c r="P301" s="53">
        <f t="shared" si="149"/>
        <v>1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56">
        <f t="shared" si="2"/>
        <v>288</v>
      </c>
      <c r="B302" s="50">
        <f t="shared" si="5"/>
        <v>52007</v>
      </c>
      <c r="C302" s="116">
        <f t="shared" si="126"/>
        <v>0.0775</v>
      </c>
      <c r="D302" s="116">
        <f>((1+'AP02'!$C302)^(1/12))-1</f>
        <v>0.006239681461</v>
      </c>
      <c r="E302" s="51">
        <f t="shared" si="127"/>
        <v>2171.261517</v>
      </c>
      <c r="F302" s="51">
        <f>(O301*'AP02'!$P302)*'AP02'!$D302</f>
        <v>409.1443401</v>
      </c>
      <c r="G302" s="51">
        <f>(O301*'AP02'!$P302)/($I$5-A301)</f>
        <v>898.2376781</v>
      </c>
      <c r="H302" s="52">
        <f t="shared" ref="H302:L302" si="351">H301</f>
        <v>0</v>
      </c>
      <c r="I302" s="52">
        <f t="shared" si="351"/>
        <v>0</v>
      </c>
      <c r="J302" s="51">
        <f t="shared" si="351"/>
        <v>25</v>
      </c>
      <c r="K302" s="52">
        <f t="shared" si="351"/>
        <v>0</v>
      </c>
      <c r="L302" s="52">
        <f t="shared" si="351"/>
        <v>0</v>
      </c>
      <c r="M302" s="51">
        <f>SUM('AP02'!$F302:$L302)</f>
        <v>1332.382018</v>
      </c>
      <c r="N302" s="51">
        <f>O301*('AP02'!$P302-1)</f>
        <v>0</v>
      </c>
      <c r="O302" s="51">
        <f>(O301*'AP02'!$P302)-'AP02'!$G302</f>
        <v>64673.11283</v>
      </c>
      <c r="P302" s="53">
        <f t="shared" si="149"/>
        <v>1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56">
        <f t="shared" si="2"/>
        <v>289</v>
      </c>
      <c r="B303" s="50">
        <f t="shared" si="5"/>
        <v>52038</v>
      </c>
      <c r="C303" s="116">
        <f t="shared" si="126"/>
        <v>0.0775</v>
      </c>
      <c r="D303" s="116">
        <f>((1+'AP02'!$C303)^(1/12))-1</f>
        <v>0.006239681461</v>
      </c>
      <c r="E303" s="51">
        <f t="shared" si="127"/>
        <v>2171.261517</v>
      </c>
      <c r="F303" s="51">
        <f>(O302*'AP02'!$P303)*'AP02'!$D303</f>
        <v>403.5396231</v>
      </c>
      <c r="G303" s="51">
        <f>(O302*'AP02'!$P303)/($I$5-A302)</f>
        <v>898.2376781</v>
      </c>
      <c r="H303" s="52">
        <f t="shared" ref="H303:L303" si="352">H302</f>
        <v>0</v>
      </c>
      <c r="I303" s="52">
        <f t="shared" si="352"/>
        <v>0</v>
      </c>
      <c r="J303" s="51">
        <f t="shared" si="352"/>
        <v>25</v>
      </c>
      <c r="K303" s="52">
        <f t="shared" si="352"/>
        <v>0</v>
      </c>
      <c r="L303" s="52">
        <f t="shared" si="352"/>
        <v>0</v>
      </c>
      <c r="M303" s="51">
        <f>SUM('AP02'!$F303:$L303)</f>
        <v>1326.777301</v>
      </c>
      <c r="N303" s="51">
        <f>O302*('AP02'!$P303-1)</f>
        <v>0</v>
      </c>
      <c r="O303" s="51">
        <f>(O302*'AP02'!$P303)-'AP02'!$G303</f>
        <v>63774.87515</v>
      </c>
      <c r="P303" s="53">
        <f t="shared" si="149"/>
        <v>1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56">
        <f t="shared" si="2"/>
        <v>290</v>
      </c>
      <c r="B304" s="50">
        <f t="shared" si="5"/>
        <v>52068</v>
      </c>
      <c r="C304" s="116">
        <f t="shared" si="126"/>
        <v>0.0775</v>
      </c>
      <c r="D304" s="116">
        <f>((1+'AP02'!$C304)^(1/12))-1</f>
        <v>0.006239681461</v>
      </c>
      <c r="E304" s="51">
        <f t="shared" si="127"/>
        <v>2171.261517</v>
      </c>
      <c r="F304" s="51">
        <f>(O303*'AP02'!$P304)*'AP02'!$D304</f>
        <v>397.9349062</v>
      </c>
      <c r="G304" s="51">
        <f>(O303*'AP02'!$P304)/($I$5-A303)</f>
        <v>898.2376781</v>
      </c>
      <c r="H304" s="52">
        <f t="shared" ref="H304:L304" si="353">H303</f>
        <v>0</v>
      </c>
      <c r="I304" s="52">
        <f t="shared" si="353"/>
        <v>0</v>
      </c>
      <c r="J304" s="51">
        <f t="shared" si="353"/>
        <v>25</v>
      </c>
      <c r="K304" s="52">
        <f t="shared" si="353"/>
        <v>0</v>
      </c>
      <c r="L304" s="52">
        <f t="shared" si="353"/>
        <v>0</v>
      </c>
      <c r="M304" s="51">
        <f>SUM('AP02'!$F304:$L304)</f>
        <v>1321.172584</v>
      </c>
      <c r="N304" s="51">
        <f>O303*('AP02'!$P304-1)</f>
        <v>0</v>
      </c>
      <c r="O304" s="51">
        <f>(O303*'AP02'!$P304)-'AP02'!$G304</f>
        <v>62876.63747</v>
      </c>
      <c r="P304" s="53">
        <f t="shared" si="149"/>
        <v>1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56">
        <f t="shared" si="2"/>
        <v>291</v>
      </c>
      <c r="B305" s="50">
        <f t="shared" si="5"/>
        <v>52099</v>
      </c>
      <c r="C305" s="116">
        <f t="shared" si="126"/>
        <v>0.0775</v>
      </c>
      <c r="D305" s="116">
        <f>((1+'AP02'!$C305)^(1/12))-1</f>
        <v>0.006239681461</v>
      </c>
      <c r="E305" s="51">
        <f t="shared" si="127"/>
        <v>2171.261517</v>
      </c>
      <c r="F305" s="51">
        <f>(O304*'AP02'!$P305)*'AP02'!$D305</f>
        <v>392.3301892</v>
      </c>
      <c r="G305" s="51">
        <f>(O304*'AP02'!$P305)/($I$5-A304)</f>
        <v>898.2376781</v>
      </c>
      <c r="H305" s="52">
        <f t="shared" ref="H305:L305" si="354">H304</f>
        <v>0</v>
      </c>
      <c r="I305" s="52">
        <f t="shared" si="354"/>
        <v>0</v>
      </c>
      <c r="J305" s="51">
        <f t="shared" si="354"/>
        <v>25</v>
      </c>
      <c r="K305" s="52">
        <f t="shared" si="354"/>
        <v>0</v>
      </c>
      <c r="L305" s="52">
        <f t="shared" si="354"/>
        <v>0</v>
      </c>
      <c r="M305" s="51">
        <f>SUM('AP02'!$F305:$L305)</f>
        <v>1315.567867</v>
      </c>
      <c r="N305" s="51">
        <f>O304*('AP02'!$P305-1)</f>
        <v>0</v>
      </c>
      <c r="O305" s="51">
        <f>(O304*'AP02'!$P305)-'AP02'!$G305</f>
        <v>61978.39979</v>
      </c>
      <c r="P305" s="53">
        <f t="shared" si="149"/>
        <v>1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56">
        <f t="shared" si="2"/>
        <v>292</v>
      </c>
      <c r="B306" s="50">
        <f t="shared" si="5"/>
        <v>52130</v>
      </c>
      <c r="C306" s="116">
        <f t="shared" si="126"/>
        <v>0.0775</v>
      </c>
      <c r="D306" s="116">
        <f>((1+'AP02'!$C306)^(1/12))-1</f>
        <v>0.006239681461</v>
      </c>
      <c r="E306" s="51">
        <f t="shared" si="127"/>
        <v>2171.261517</v>
      </c>
      <c r="F306" s="51">
        <f>(O305*'AP02'!$P306)*'AP02'!$D306</f>
        <v>386.7254722</v>
      </c>
      <c r="G306" s="51">
        <f>(O305*'AP02'!$P306)/($I$5-A305)</f>
        <v>898.2376781</v>
      </c>
      <c r="H306" s="52">
        <f t="shared" ref="H306:L306" si="355">H305</f>
        <v>0</v>
      </c>
      <c r="I306" s="52">
        <f t="shared" si="355"/>
        <v>0</v>
      </c>
      <c r="J306" s="51">
        <f t="shared" si="355"/>
        <v>25</v>
      </c>
      <c r="K306" s="52">
        <f t="shared" si="355"/>
        <v>0</v>
      </c>
      <c r="L306" s="52">
        <f t="shared" si="355"/>
        <v>0</v>
      </c>
      <c r="M306" s="51">
        <f>SUM('AP02'!$F306:$L306)</f>
        <v>1309.96315</v>
      </c>
      <c r="N306" s="51">
        <f>O305*('AP02'!$P306-1)</f>
        <v>0</v>
      </c>
      <c r="O306" s="51">
        <f>(O305*'AP02'!$P306)-'AP02'!$G306</f>
        <v>61080.16211</v>
      </c>
      <c r="P306" s="53">
        <f t="shared" si="149"/>
        <v>1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56">
        <f t="shared" si="2"/>
        <v>293</v>
      </c>
      <c r="B307" s="50">
        <f t="shared" si="5"/>
        <v>52160</v>
      </c>
      <c r="C307" s="116">
        <f t="shared" si="126"/>
        <v>0.0775</v>
      </c>
      <c r="D307" s="116">
        <f>((1+'AP02'!$C307)^(1/12))-1</f>
        <v>0.006239681461</v>
      </c>
      <c r="E307" s="51">
        <f t="shared" si="127"/>
        <v>2171.261517</v>
      </c>
      <c r="F307" s="51">
        <f>(O306*'AP02'!$P307)*'AP02'!$D307</f>
        <v>381.1207552</v>
      </c>
      <c r="G307" s="51">
        <f>(O306*'AP02'!$P307)/($I$5-A306)</f>
        <v>898.2376781</v>
      </c>
      <c r="H307" s="52">
        <f t="shared" ref="H307:L307" si="356">H306</f>
        <v>0</v>
      </c>
      <c r="I307" s="52">
        <f t="shared" si="356"/>
        <v>0</v>
      </c>
      <c r="J307" s="51">
        <f t="shared" si="356"/>
        <v>25</v>
      </c>
      <c r="K307" s="52">
        <f t="shared" si="356"/>
        <v>0</v>
      </c>
      <c r="L307" s="52">
        <f t="shared" si="356"/>
        <v>0</v>
      </c>
      <c r="M307" s="51">
        <f>SUM('AP02'!$F307:$L307)</f>
        <v>1304.358433</v>
      </c>
      <c r="N307" s="51">
        <f>O306*('AP02'!$P307-1)</f>
        <v>0</v>
      </c>
      <c r="O307" s="51">
        <f>(O306*'AP02'!$P307)-'AP02'!$G307</f>
        <v>60181.92444</v>
      </c>
      <c r="P307" s="53">
        <f t="shared" si="149"/>
        <v>1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56">
        <f t="shared" si="2"/>
        <v>294</v>
      </c>
      <c r="B308" s="50">
        <f t="shared" si="5"/>
        <v>52191</v>
      </c>
      <c r="C308" s="116">
        <f t="shared" si="126"/>
        <v>0.0775</v>
      </c>
      <c r="D308" s="116">
        <f>((1+'AP02'!$C308)^(1/12))-1</f>
        <v>0.006239681461</v>
      </c>
      <c r="E308" s="51">
        <f t="shared" si="127"/>
        <v>2171.261517</v>
      </c>
      <c r="F308" s="51">
        <f>(O307*'AP02'!$P308)*'AP02'!$D308</f>
        <v>375.5160382</v>
      </c>
      <c r="G308" s="51">
        <f>(O307*'AP02'!$P308)/($I$5-A307)</f>
        <v>898.2376781</v>
      </c>
      <c r="H308" s="52">
        <f t="shared" ref="H308:L308" si="357">H307</f>
        <v>0</v>
      </c>
      <c r="I308" s="52">
        <f t="shared" si="357"/>
        <v>0</v>
      </c>
      <c r="J308" s="51">
        <f t="shared" si="357"/>
        <v>25</v>
      </c>
      <c r="K308" s="52">
        <f t="shared" si="357"/>
        <v>0</v>
      </c>
      <c r="L308" s="52">
        <f t="shared" si="357"/>
        <v>0</v>
      </c>
      <c r="M308" s="51">
        <f>SUM('AP02'!$F308:$L308)</f>
        <v>1298.753716</v>
      </c>
      <c r="N308" s="51">
        <f>O307*('AP02'!$P308-1)</f>
        <v>0</v>
      </c>
      <c r="O308" s="51">
        <f>(O307*'AP02'!$P308)-'AP02'!$G308</f>
        <v>59283.68676</v>
      </c>
      <c r="P308" s="53">
        <f t="shared" si="149"/>
        <v>1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56">
        <f t="shared" si="2"/>
        <v>295</v>
      </c>
      <c r="B309" s="50">
        <f t="shared" si="5"/>
        <v>52221</v>
      </c>
      <c r="C309" s="116">
        <f t="shared" si="126"/>
        <v>0.0775</v>
      </c>
      <c r="D309" s="116">
        <f>((1+'AP02'!$C309)^(1/12))-1</f>
        <v>0.006239681461</v>
      </c>
      <c r="E309" s="51">
        <f t="shared" si="127"/>
        <v>2171.261517</v>
      </c>
      <c r="F309" s="51">
        <f>(O308*'AP02'!$P309)*'AP02'!$D309</f>
        <v>369.9113212</v>
      </c>
      <c r="G309" s="51">
        <f>(O308*'AP02'!$P309)/($I$5-A308)</f>
        <v>898.2376781</v>
      </c>
      <c r="H309" s="52">
        <f t="shared" ref="H309:L309" si="358">H308</f>
        <v>0</v>
      </c>
      <c r="I309" s="52">
        <f t="shared" si="358"/>
        <v>0</v>
      </c>
      <c r="J309" s="51">
        <f t="shared" si="358"/>
        <v>25</v>
      </c>
      <c r="K309" s="52">
        <f t="shared" si="358"/>
        <v>0</v>
      </c>
      <c r="L309" s="52">
        <f t="shared" si="358"/>
        <v>0</v>
      </c>
      <c r="M309" s="51">
        <f>SUM('AP02'!$F309:$L309)</f>
        <v>1293.148999</v>
      </c>
      <c r="N309" s="51">
        <f>O308*('AP02'!$P309-1)</f>
        <v>0</v>
      </c>
      <c r="O309" s="51">
        <f>(O308*'AP02'!$P309)-'AP02'!$G309</f>
        <v>58385.44908</v>
      </c>
      <c r="P309" s="53">
        <f t="shared" si="149"/>
        <v>1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56">
        <f t="shared" si="2"/>
        <v>296</v>
      </c>
      <c r="B310" s="50">
        <f t="shared" si="5"/>
        <v>52252</v>
      </c>
      <c r="C310" s="116">
        <f t="shared" si="126"/>
        <v>0.0775</v>
      </c>
      <c r="D310" s="116">
        <f>((1+'AP02'!$C310)^(1/12))-1</f>
        <v>0.006239681461</v>
      </c>
      <c r="E310" s="51">
        <f t="shared" si="127"/>
        <v>2171.261517</v>
      </c>
      <c r="F310" s="51">
        <f>(O309*'AP02'!$P310)*'AP02'!$D310</f>
        <v>364.3066042</v>
      </c>
      <c r="G310" s="51">
        <f>(O309*'AP02'!$P310)/($I$5-A309)</f>
        <v>898.2376781</v>
      </c>
      <c r="H310" s="52">
        <f t="shared" ref="H310:L310" si="359">H309</f>
        <v>0</v>
      </c>
      <c r="I310" s="52">
        <f t="shared" si="359"/>
        <v>0</v>
      </c>
      <c r="J310" s="51">
        <f t="shared" si="359"/>
        <v>25</v>
      </c>
      <c r="K310" s="52">
        <f t="shared" si="359"/>
        <v>0</v>
      </c>
      <c r="L310" s="52">
        <f t="shared" si="359"/>
        <v>0</v>
      </c>
      <c r="M310" s="51">
        <f>SUM('AP02'!$F310:$L310)</f>
        <v>1287.544282</v>
      </c>
      <c r="N310" s="51">
        <f>O309*('AP02'!$P310-1)</f>
        <v>0</v>
      </c>
      <c r="O310" s="51">
        <f>(O309*'AP02'!$P310)-'AP02'!$G310</f>
        <v>57487.2114</v>
      </c>
      <c r="P310" s="53">
        <f t="shared" si="149"/>
        <v>1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56">
        <f t="shared" si="2"/>
        <v>297</v>
      </c>
      <c r="B311" s="50">
        <f t="shared" si="5"/>
        <v>52283</v>
      </c>
      <c r="C311" s="116">
        <f t="shared" si="126"/>
        <v>0.0775</v>
      </c>
      <c r="D311" s="116">
        <f>((1+'AP02'!$C311)^(1/12))-1</f>
        <v>0.006239681461</v>
      </c>
      <c r="E311" s="51">
        <f t="shared" si="127"/>
        <v>2171.261517</v>
      </c>
      <c r="F311" s="51">
        <f>(O310*'AP02'!$P311)*'AP02'!$D311</f>
        <v>358.7018872</v>
      </c>
      <c r="G311" s="51">
        <f>(O310*'AP02'!$P311)/($I$5-A310)</f>
        <v>898.2376781</v>
      </c>
      <c r="H311" s="52">
        <f t="shared" ref="H311:L311" si="360">H310</f>
        <v>0</v>
      </c>
      <c r="I311" s="52">
        <f t="shared" si="360"/>
        <v>0</v>
      </c>
      <c r="J311" s="51">
        <f t="shared" si="360"/>
        <v>25</v>
      </c>
      <c r="K311" s="52">
        <f t="shared" si="360"/>
        <v>0</v>
      </c>
      <c r="L311" s="52">
        <f t="shared" si="360"/>
        <v>0</v>
      </c>
      <c r="M311" s="51">
        <f>SUM('AP02'!$F311:$L311)</f>
        <v>1281.939565</v>
      </c>
      <c r="N311" s="51">
        <f>O310*('AP02'!$P311-1)</f>
        <v>0</v>
      </c>
      <c r="O311" s="51">
        <f>(O310*'AP02'!$P311)-'AP02'!$G311</f>
        <v>56588.97372</v>
      </c>
      <c r="P311" s="53">
        <f t="shared" si="149"/>
        <v>1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56">
        <f t="shared" si="2"/>
        <v>298</v>
      </c>
      <c r="B312" s="50">
        <f t="shared" si="5"/>
        <v>52311</v>
      </c>
      <c r="C312" s="116">
        <f t="shared" si="126"/>
        <v>0.0775</v>
      </c>
      <c r="D312" s="116">
        <f>((1+'AP02'!$C312)^(1/12))-1</f>
        <v>0.006239681461</v>
      </c>
      <c r="E312" s="51">
        <f t="shared" si="127"/>
        <v>2171.261517</v>
      </c>
      <c r="F312" s="51">
        <f>(O311*'AP02'!$P312)*'AP02'!$D312</f>
        <v>353.0971703</v>
      </c>
      <c r="G312" s="51">
        <f>(O311*'AP02'!$P312)/($I$5-A311)</f>
        <v>898.2376781</v>
      </c>
      <c r="H312" s="52">
        <f t="shared" ref="H312:L312" si="361">H311</f>
        <v>0</v>
      </c>
      <c r="I312" s="52">
        <f t="shared" si="361"/>
        <v>0</v>
      </c>
      <c r="J312" s="51">
        <f t="shared" si="361"/>
        <v>25</v>
      </c>
      <c r="K312" s="52">
        <f t="shared" si="361"/>
        <v>0</v>
      </c>
      <c r="L312" s="52">
        <f t="shared" si="361"/>
        <v>0</v>
      </c>
      <c r="M312" s="51">
        <f>SUM('AP02'!$F312:$L312)</f>
        <v>1276.334848</v>
      </c>
      <c r="N312" s="51">
        <f>O311*('AP02'!$P312-1)</f>
        <v>0</v>
      </c>
      <c r="O312" s="51">
        <f>(O311*'AP02'!$P312)-'AP02'!$G312</f>
        <v>55690.73604</v>
      </c>
      <c r="P312" s="53">
        <f t="shared" si="149"/>
        <v>1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56">
        <f t="shared" si="2"/>
        <v>299</v>
      </c>
      <c r="B313" s="50">
        <f t="shared" si="5"/>
        <v>52342</v>
      </c>
      <c r="C313" s="116">
        <f t="shared" si="126"/>
        <v>0.0775</v>
      </c>
      <c r="D313" s="116">
        <f>((1+'AP02'!$C313)^(1/12))-1</f>
        <v>0.006239681461</v>
      </c>
      <c r="E313" s="51">
        <f t="shared" si="127"/>
        <v>2171.261517</v>
      </c>
      <c r="F313" s="51">
        <f>(O312*'AP02'!$P313)*'AP02'!$D313</f>
        <v>347.4924533</v>
      </c>
      <c r="G313" s="51">
        <f>(O312*'AP02'!$P313)/($I$5-A312)</f>
        <v>898.2376781</v>
      </c>
      <c r="H313" s="52">
        <f t="shared" ref="H313:L313" si="362">H312</f>
        <v>0</v>
      </c>
      <c r="I313" s="52">
        <f t="shared" si="362"/>
        <v>0</v>
      </c>
      <c r="J313" s="51">
        <f t="shared" si="362"/>
        <v>25</v>
      </c>
      <c r="K313" s="52">
        <f t="shared" si="362"/>
        <v>0</v>
      </c>
      <c r="L313" s="52">
        <f t="shared" si="362"/>
        <v>0</v>
      </c>
      <c r="M313" s="51">
        <f>SUM('AP02'!$F313:$L313)</f>
        <v>1270.730131</v>
      </c>
      <c r="N313" s="51">
        <f>O312*('AP02'!$P313-1)</f>
        <v>0</v>
      </c>
      <c r="O313" s="51">
        <f>(O312*'AP02'!$P313)-'AP02'!$G313</f>
        <v>54792.49837</v>
      </c>
      <c r="P313" s="53">
        <f t="shared" si="149"/>
        <v>1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56">
        <f t="shared" si="2"/>
        <v>300</v>
      </c>
      <c r="B314" s="50">
        <f t="shared" si="5"/>
        <v>52372</v>
      </c>
      <c r="C314" s="116">
        <f t="shared" si="126"/>
        <v>0.0775</v>
      </c>
      <c r="D314" s="116">
        <f>((1+'AP02'!$C314)^(1/12))-1</f>
        <v>0.006239681461</v>
      </c>
      <c r="E314" s="51">
        <f t="shared" si="127"/>
        <v>2171.261517</v>
      </c>
      <c r="F314" s="51">
        <f>(O313*'AP02'!$P314)*'AP02'!$D314</f>
        <v>341.8877363</v>
      </c>
      <c r="G314" s="51">
        <f>(O313*'AP02'!$P314)/($I$5-A313)</f>
        <v>898.2376781</v>
      </c>
      <c r="H314" s="52">
        <f t="shared" ref="H314:L314" si="363">H313</f>
        <v>0</v>
      </c>
      <c r="I314" s="52">
        <f t="shared" si="363"/>
        <v>0</v>
      </c>
      <c r="J314" s="51">
        <f t="shared" si="363"/>
        <v>25</v>
      </c>
      <c r="K314" s="52">
        <f t="shared" si="363"/>
        <v>0</v>
      </c>
      <c r="L314" s="52">
        <f t="shared" si="363"/>
        <v>0</v>
      </c>
      <c r="M314" s="51">
        <f>SUM('AP02'!$F314:$L314)</f>
        <v>1265.125414</v>
      </c>
      <c r="N314" s="51">
        <f>O313*('AP02'!$P314-1)</f>
        <v>0</v>
      </c>
      <c r="O314" s="51">
        <f>(O313*'AP02'!$P314)-'AP02'!$G314</f>
        <v>53894.26069</v>
      </c>
      <c r="P314" s="53">
        <f t="shared" si="149"/>
        <v>1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56">
        <f t="shared" si="2"/>
        <v>301</v>
      </c>
      <c r="B315" s="50">
        <f t="shared" si="5"/>
        <v>52403</v>
      </c>
      <c r="C315" s="116">
        <f t="shared" si="126"/>
        <v>0.0775</v>
      </c>
      <c r="D315" s="116">
        <f>((1+'AP02'!$C315)^(1/12))-1</f>
        <v>0.006239681461</v>
      </c>
      <c r="E315" s="51">
        <f t="shared" si="127"/>
        <v>2171.261517</v>
      </c>
      <c r="F315" s="51">
        <f>(O314*'AP02'!$P315)*'AP02'!$D315</f>
        <v>336.2830193</v>
      </c>
      <c r="G315" s="51">
        <f>(O314*'AP02'!$P315)/($I$5-A314)</f>
        <v>898.2376781</v>
      </c>
      <c r="H315" s="52">
        <f t="shared" ref="H315:L315" si="364">H314</f>
        <v>0</v>
      </c>
      <c r="I315" s="52">
        <f t="shared" si="364"/>
        <v>0</v>
      </c>
      <c r="J315" s="51">
        <f t="shared" si="364"/>
        <v>25</v>
      </c>
      <c r="K315" s="52">
        <f t="shared" si="364"/>
        <v>0</v>
      </c>
      <c r="L315" s="52">
        <f t="shared" si="364"/>
        <v>0</v>
      </c>
      <c r="M315" s="51">
        <f>SUM('AP02'!$F315:$L315)</f>
        <v>1259.520697</v>
      </c>
      <c r="N315" s="51">
        <f>O314*('AP02'!$P315-1)</f>
        <v>0</v>
      </c>
      <c r="O315" s="51">
        <f>(O314*'AP02'!$P315)-'AP02'!$G315</f>
        <v>52996.02301</v>
      </c>
      <c r="P315" s="53">
        <f t="shared" si="149"/>
        <v>1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56">
        <f t="shared" si="2"/>
        <v>302</v>
      </c>
      <c r="B316" s="50">
        <f t="shared" si="5"/>
        <v>52433</v>
      </c>
      <c r="C316" s="116">
        <f t="shared" si="126"/>
        <v>0.0775</v>
      </c>
      <c r="D316" s="116">
        <f>((1+'AP02'!$C316)^(1/12))-1</f>
        <v>0.006239681461</v>
      </c>
      <c r="E316" s="51">
        <f t="shared" si="127"/>
        <v>2171.261517</v>
      </c>
      <c r="F316" s="51">
        <f>(O315*'AP02'!$P316)*'AP02'!$D316</f>
        <v>330.6783023</v>
      </c>
      <c r="G316" s="51">
        <f>(O315*'AP02'!$P316)/($I$5-A315)</f>
        <v>898.2376781</v>
      </c>
      <c r="H316" s="52">
        <f t="shared" ref="H316:L316" si="365">H315</f>
        <v>0</v>
      </c>
      <c r="I316" s="52">
        <f t="shared" si="365"/>
        <v>0</v>
      </c>
      <c r="J316" s="51">
        <f t="shared" si="365"/>
        <v>25</v>
      </c>
      <c r="K316" s="52">
        <f t="shared" si="365"/>
        <v>0</v>
      </c>
      <c r="L316" s="52">
        <f t="shared" si="365"/>
        <v>0</v>
      </c>
      <c r="M316" s="51">
        <f>SUM('AP02'!$F316:$L316)</f>
        <v>1253.91598</v>
      </c>
      <c r="N316" s="51">
        <f>O315*('AP02'!$P316-1)</f>
        <v>0</v>
      </c>
      <c r="O316" s="51">
        <f>(O315*'AP02'!$P316)-'AP02'!$G316</f>
        <v>52097.78533</v>
      </c>
      <c r="P316" s="53">
        <f t="shared" si="149"/>
        <v>1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56">
        <f t="shared" si="2"/>
        <v>303</v>
      </c>
      <c r="B317" s="50">
        <f t="shared" si="5"/>
        <v>52464</v>
      </c>
      <c r="C317" s="116">
        <f t="shared" si="126"/>
        <v>0.0775</v>
      </c>
      <c r="D317" s="116">
        <f>((1+'AP02'!$C317)^(1/12))-1</f>
        <v>0.006239681461</v>
      </c>
      <c r="E317" s="51">
        <f t="shared" si="127"/>
        <v>2171.261517</v>
      </c>
      <c r="F317" s="51">
        <f>(O316*'AP02'!$P317)*'AP02'!$D317</f>
        <v>325.0735853</v>
      </c>
      <c r="G317" s="51">
        <f>(O316*'AP02'!$P317)/($I$5-A316)</f>
        <v>898.2376781</v>
      </c>
      <c r="H317" s="52">
        <f t="shared" ref="H317:L317" si="366">H316</f>
        <v>0</v>
      </c>
      <c r="I317" s="52">
        <f t="shared" si="366"/>
        <v>0</v>
      </c>
      <c r="J317" s="51">
        <f t="shared" si="366"/>
        <v>25</v>
      </c>
      <c r="K317" s="52">
        <f t="shared" si="366"/>
        <v>0</v>
      </c>
      <c r="L317" s="52">
        <f t="shared" si="366"/>
        <v>0</v>
      </c>
      <c r="M317" s="51">
        <f>SUM('AP02'!$F317:$L317)</f>
        <v>1248.311263</v>
      </c>
      <c r="N317" s="51">
        <f>O316*('AP02'!$P317-1)</f>
        <v>0</v>
      </c>
      <c r="O317" s="51">
        <f>(O316*'AP02'!$P317)-'AP02'!$G317</f>
        <v>51199.54765</v>
      </c>
      <c r="P317" s="53">
        <f t="shared" si="149"/>
        <v>1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56">
        <f t="shared" si="2"/>
        <v>304</v>
      </c>
      <c r="B318" s="50">
        <f t="shared" si="5"/>
        <v>52495</v>
      </c>
      <c r="C318" s="116">
        <f t="shared" si="126"/>
        <v>0.0775</v>
      </c>
      <c r="D318" s="116">
        <f>((1+'AP02'!$C318)^(1/12))-1</f>
        <v>0.006239681461</v>
      </c>
      <c r="E318" s="51">
        <f t="shared" si="127"/>
        <v>2171.261517</v>
      </c>
      <c r="F318" s="51">
        <f>(O317*'AP02'!$P318)*'AP02'!$D318</f>
        <v>319.4688683</v>
      </c>
      <c r="G318" s="51">
        <f>(O317*'AP02'!$P318)/($I$5-A317)</f>
        <v>898.2376781</v>
      </c>
      <c r="H318" s="52">
        <f t="shared" ref="H318:L318" si="367">H317</f>
        <v>0</v>
      </c>
      <c r="I318" s="52">
        <f t="shared" si="367"/>
        <v>0</v>
      </c>
      <c r="J318" s="51">
        <f t="shared" si="367"/>
        <v>25</v>
      </c>
      <c r="K318" s="52">
        <f t="shared" si="367"/>
        <v>0</v>
      </c>
      <c r="L318" s="52">
        <f t="shared" si="367"/>
        <v>0</v>
      </c>
      <c r="M318" s="51">
        <f>SUM('AP02'!$F318:$L318)</f>
        <v>1242.706546</v>
      </c>
      <c r="N318" s="51">
        <f>O317*('AP02'!$P318-1)</f>
        <v>0</v>
      </c>
      <c r="O318" s="51">
        <f>(O317*'AP02'!$P318)-'AP02'!$G318</f>
        <v>50301.30998</v>
      </c>
      <c r="P318" s="53">
        <f t="shared" si="149"/>
        <v>1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56">
        <f t="shared" si="2"/>
        <v>305</v>
      </c>
      <c r="B319" s="50">
        <f t="shared" si="5"/>
        <v>52525</v>
      </c>
      <c r="C319" s="116">
        <f t="shared" si="126"/>
        <v>0.0775</v>
      </c>
      <c r="D319" s="116">
        <f>((1+'AP02'!$C319)^(1/12))-1</f>
        <v>0.006239681461</v>
      </c>
      <c r="E319" s="51">
        <f t="shared" si="127"/>
        <v>2171.261517</v>
      </c>
      <c r="F319" s="51">
        <f>(O318*'AP02'!$P319)*'AP02'!$D319</f>
        <v>313.8641513</v>
      </c>
      <c r="G319" s="51">
        <f>(O318*'AP02'!$P319)/($I$5-A318)</f>
        <v>898.2376781</v>
      </c>
      <c r="H319" s="52">
        <f t="shared" ref="H319:L319" si="368">H318</f>
        <v>0</v>
      </c>
      <c r="I319" s="52">
        <f t="shared" si="368"/>
        <v>0</v>
      </c>
      <c r="J319" s="51">
        <f t="shared" si="368"/>
        <v>25</v>
      </c>
      <c r="K319" s="52">
        <f t="shared" si="368"/>
        <v>0</v>
      </c>
      <c r="L319" s="52">
        <f t="shared" si="368"/>
        <v>0</v>
      </c>
      <c r="M319" s="51">
        <f>SUM('AP02'!$F319:$L319)</f>
        <v>1237.101829</v>
      </c>
      <c r="N319" s="51">
        <f>O318*('AP02'!$P319-1)</f>
        <v>0</v>
      </c>
      <c r="O319" s="51">
        <f>(O318*'AP02'!$P319)-'AP02'!$G319</f>
        <v>49403.0723</v>
      </c>
      <c r="P319" s="53">
        <f t="shared" si="149"/>
        <v>1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56">
        <f t="shared" si="2"/>
        <v>306</v>
      </c>
      <c r="B320" s="50">
        <f t="shared" si="5"/>
        <v>52556</v>
      </c>
      <c r="C320" s="116">
        <f t="shared" si="126"/>
        <v>0.0775</v>
      </c>
      <c r="D320" s="116">
        <f>((1+'AP02'!$C320)^(1/12))-1</f>
        <v>0.006239681461</v>
      </c>
      <c r="E320" s="51">
        <f t="shared" si="127"/>
        <v>2171.261517</v>
      </c>
      <c r="F320" s="51">
        <f>(O319*'AP02'!$P320)*'AP02'!$D320</f>
        <v>308.2594343</v>
      </c>
      <c r="G320" s="51">
        <f>(O319*'AP02'!$P320)/($I$5-A319)</f>
        <v>898.2376781</v>
      </c>
      <c r="H320" s="52">
        <f t="shared" ref="H320:L320" si="369">H319</f>
        <v>0</v>
      </c>
      <c r="I320" s="52">
        <f t="shared" si="369"/>
        <v>0</v>
      </c>
      <c r="J320" s="51">
        <f t="shared" si="369"/>
        <v>25</v>
      </c>
      <c r="K320" s="52">
        <f t="shared" si="369"/>
        <v>0</v>
      </c>
      <c r="L320" s="52">
        <f t="shared" si="369"/>
        <v>0</v>
      </c>
      <c r="M320" s="51">
        <f>SUM('AP02'!$F320:$L320)</f>
        <v>1231.497112</v>
      </c>
      <c r="N320" s="51">
        <f>O319*('AP02'!$P320-1)</f>
        <v>0</v>
      </c>
      <c r="O320" s="51">
        <f>(O319*'AP02'!$P320)-'AP02'!$G320</f>
        <v>48504.83462</v>
      </c>
      <c r="P320" s="53">
        <f t="shared" si="149"/>
        <v>1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56">
        <f t="shared" si="2"/>
        <v>307</v>
      </c>
      <c r="B321" s="50">
        <f t="shared" si="5"/>
        <v>52586</v>
      </c>
      <c r="C321" s="116">
        <f t="shared" si="126"/>
        <v>0.0775</v>
      </c>
      <c r="D321" s="116">
        <f>((1+'AP02'!$C321)^(1/12))-1</f>
        <v>0.006239681461</v>
      </c>
      <c r="E321" s="51">
        <f t="shared" si="127"/>
        <v>2171.261517</v>
      </c>
      <c r="F321" s="51">
        <f>(O320*'AP02'!$P321)*'AP02'!$D321</f>
        <v>302.6547174</v>
      </c>
      <c r="G321" s="51">
        <f>(O320*'AP02'!$P321)/($I$5-A320)</f>
        <v>898.2376781</v>
      </c>
      <c r="H321" s="52">
        <f t="shared" ref="H321:L321" si="370">H320</f>
        <v>0</v>
      </c>
      <c r="I321" s="52">
        <f t="shared" si="370"/>
        <v>0</v>
      </c>
      <c r="J321" s="51">
        <f t="shared" si="370"/>
        <v>25</v>
      </c>
      <c r="K321" s="52">
        <f t="shared" si="370"/>
        <v>0</v>
      </c>
      <c r="L321" s="52">
        <f t="shared" si="370"/>
        <v>0</v>
      </c>
      <c r="M321" s="51">
        <f>SUM('AP02'!$F321:$L321)</f>
        <v>1225.892396</v>
      </c>
      <c r="N321" s="51">
        <f>O320*('AP02'!$P321-1)</f>
        <v>0</v>
      </c>
      <c r="O321" s="51">
        <f>(O320*'AP02'!$P321)-'AP02'!$G321</f>
        <v>47606.59694</v>
      </c>
      <c r="P321" s="53">
        <f t="shared" si="149"/>
        <v>1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56">
        <f t="shared" si="2"/>
        <v>308</v>
      </c>
      <c r="B322" s="50">
        <f t="shared" si="5"/>
        <v>52617</v>
      </c>
      <c r="C322" s="116">
        <f t="shared" si="126"/>
        <v>0.0775</v>
      </c>
      <c r="D322" s="116">
        <f>((1+'AP02'!$C322)^(1/12))-1</f>
        <v>0.006239681461</v>
      </c>
      <c r="E322" s="51">
        <f t="shared" si="127"/>
        <v>2171.261517</v>
      </c>
      <c r="F322" s="51">
        <f>(O321*'AP02'!$P322)*'AP02'!$D322</f>
        <v>297.0500004</v>
      </c>
      <c r="G322" s="51">
        <f>(O321*'AP02'!$P322)/($I$5-A321)</f>
        <v>898.2376781</v>
      </c>
      <c r="H322" s="52">
        <f t="shared" ref="H322:L322" si="371">H321</f>
        <v>0</v>
      </c>
      <c r="I322" s="52">
        <f t="shared" si="371"/>
        <v>0</v>
      </c>
      <c r="J322" s="51">
        <f t="shared" si="371"/>
        <v>25</v>
      </c>
      <c r="K322" s="52">
        <f t="shared" si="371"/>
        <v>0</v>
      </c>
      <c r="L322" s="52">
        <f t="shared" si="371"/>
        <v>0</v>
      </c>
      <c r="M322" s="51">
        <f>SUM('AP02'!$F322:$L322)</f>
        <v>1220.287679</v>
      </c>
      <c r="N322" s="51">
        <f>O321*('AP02'!$P322-1)</f>
        <v>0</v>
      </c>
      <c r="O322" s="51">
        <f>(O321*'AP02'!$P322)-'AP02'!$G322</f>
        <v>46708.35926</v>
      </c>
      <c r="P322" s="53">
        <f t="shared" si="149"/>
        <v>1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56">
        <f t="shared" si="2"/>
        <v>309</v>
      </c>
      <c r="B323" s="50">
        <f t="shared" si="5"/>
        <v>52648</v>
      </c>
      <c r="C323" s="116">
        <f t="shared" si="126"/>
        <v>0.0775</v>
      </c>
      <c r="D323" s="116">
        <f>((1+'AP02'!$C323)^(1/12))-1</f>
        <v>0.006239681461</v>
      </c>
      <c r="E323" s="51">
        <f t="shared" si="127"/>
        <v>2171.261517</v>
      </c>
      <c r="F323" s="51">
        <f>(O322*'AP02'!$P323)*'AP02'!$D323</f>
        <v>291.4452834</v>
      </c>
      <c r="G323" s="51">
        <f>(O322*'AP02'!$P323)/($I$5-A322)</f>
        <v>898.2376781</v>
      </c>
      <c r="H323" s="52">
        <f t="shared" ref="H323:L323" si="372">H322</f>
        <v>0</v>
      </c>
      <c r="I323" s="52">
        <f t="shared" si="372"/>
        <v>0</v>
      </c>
      <c r="J323" s="51">
        <f t="shared" si="372"/>
        <v>25</v>
      </c>
      <c r="K323" s="52">
        <f t="shared" si="372"/>
        <v>0</v>
      </c>
      <c r="L323" s="52">
        <f t="shared" si="372"/>
        <v>0</v>
      </c>
      <c r="M323" s="51">
        <f>SUM('AP02'!$F323:$L323)</f>
        <v>1214.682962</v>
      </c>
      <c r="N323" s="51">
        <f>O322*('AP02'!$P323-1)</f>
        <v>0</v>
      </c>
      <c r="O323" s="51">
        <f>(O322*'AP02'!$P323)-'AP02'!$G323</f>
        <v>45810.12159</v>
      </c>
      <c r="P323" s="53">
        <f t="shared" si="149"/>
        <v>1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56">
        <f t="shared" si="2"/>
        <v>310</v>
      </c>
      <c r="B324" s="50">
        <f t="shared" si="5"/>
        <v>52677</v>
      </c>
      <c r="C324" s="116">
        <f t="shared" si="126"/>
        <v>0.0775</v>
      </c>
      <c r="D324" s="116">
        <f>((1+'AP02'!$C324)^(1/12))-1</f>
        <v>0.006239681461</v>
      </c>
      <c r="E324" s="51">
        <f t="shared" si="127"/>
        <v>2171.261517</v>
      </c>
      <c r="F324" s="51">
        <f>(O323*'AP02'!$P324)*'AP02'!$D324</f>
        <v>285.8405664</v>
      </c>
      <c r="G324" s="51">
        <f>(O323*'AP02'!$P324)/($I$5-A323)</f>
        <v>898.2376781</v>
      </c>
      <c r="H324" s="52">
        <f t="shared" ref="H324:L324" si="373">H323</f>
        <v>0</v>
      </c>
      <c r="I324" s="52">
        <f t="shared" si="373"/>
        <v>0</v>
      </c>
      <c r="J324" s="51">
        <f t="shared" si="373"/>
        <v>25</v>
      </c>
      <c r="K324" s="52">
        <f t="shared" si="373"/>
        <v>0</v>
      </c>
      <c r="L324" s="52">
        <f t="shared" si="373"/>
        <v>0</v>
      </c>
      <c r="M324" s="51">
        <f>SUM('AP02'!$F324:$L324)</f>
        <v>1209.078245</v>
      </c>
      <c r="N324" s="51">
        <f>O323*('AP02'!$P324-1)</f>
        <v>0</v>
      </c>
      <c r="O324" s="51">
        <f>(O323*'AP02'!$P324)-'AP02'!$G324</f>
        <v>44911.88391</v>
      </c>
      <c r="P324" s="53">
        <f t="shared" si="149"/>
        <v>1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56">
        <f t="shared" si="2"/>
        <v>311</v>
      </c>
      <c r="B325" s="50">
        <f t="shared" si="5"/>
        <v>52708</v>
      </c>
      <c r="C325" s="116">
        <f t="shared" si="126"/>
        <v>0.0775</v>
      </c>
      <c r="D325" s="116">
        <f>((1+'AP02'!$C325)^(1/12))-1</f>
        <v>0.006239681461</v>
      </c>
      <c r="E325" s="51">
        <f t="shared" si="127"/>
        <v>2171.261517</v>
      </c>
      <c r="F325" s="51">
        <f>(O324*'AP02'!$P325)*'AP02'!$D325</f>
        <v>280.2358494</v>
      </c>
      <c r="G325" s="51">
        <f>(O324*'AP02'!$P325)/($I$5-A324)</f>
        <v>898.2376781</v>
      </c>
      <c r="H325" s="52">
        <f t="shared" ref="H325:L325" si="374">H324</f>
        <v>0</v>
      </c>
      <c r="I325" s="52">
        <f t="shared" si="374"/>
        <v>0</v>
      </c>
      <c r="J325" s="51">
        <f t="shared" si="374"/>
        <v>25</v>
      </c>
      <c r="K325" s="52">
        <f t="shared" si="374"/>
        <v>0</v>
      </c>
      <c r="L325" s="52">
        <f t="shared" si="374"/>
        <v>0</v>
      </c>
      <c r="M325" s="51">
        <f>SUM('AP02'!$F325:$L325)</f>
        <v>1203.473528</v>
      </c>
      <c r="N325" s="51">
        <f>O324*('AP02'!$P325-1)</f>
        <v>0</v>
      </c>
      <c r="O325" s="51">
        <f>(O324*'AP02'!$P325)-'AP02'!$G325</f>
        <v>44013.64623</v>
      </c>
      <c r="P325" s="53">
        <f t="shared" si="149"/>
        <v>1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56">
        <f t="shared" si="2"/>
        <v>312</v>
      </c>
      <c r="B326" s="50">
        <f t="shared" si="5"/>
        <v>52738</v>
      </c>
      <c r="C326" s="116">
        <f t="shared" si="126"/>
        <v>0.0775</v>
      </c>
      <c r="D326" s="116">
        <f>((1+'AP02'!$C326)^(1/12))-1</f>
        <v>0.006239681461</v>
      </c>
      <c r="E326" s="51">
        <f t="shared" si="127"/>
        <v>2171.261517</v>
      </c>
      <c r="F326" s="51">
        <f>(O325*'AP02'!$P326)*'AP02'!$D326</f>
        <v>274.6311324</v>
      </c>
      <c r="G326" s="51">
        <f>(O325*'AP02'!$P326)/($I$5-A325)</f>
        <v>898.2376781</v>
      </c>
      <c r="H326" s="52">
        <f t="shared" ref="H326:L326" si="375">H325</f>
        <v>0</v>
      </c>
      <c r="I326" s="52">
        <f t="shared" si="375"/>
        <v>0</v>
      </c>
      <c r="J326" s="51">
        <f t="shared" si="375"/>
        <v>25</v>
      </c>
      <c r="K326" s="52">
        <f t="shared" si="375"/>
        <v>0</v>
      </c>
      <c r="L326" s="52">
        <f t="shared" si="375"/>
        <v>0</v>
      </c>
      <c r="M326" s="51">
        <f>SUM('AP02'!$F326:$L326)</f>
        <v>1197.868811</v>
      </c>
      <c r="N326" s="51">
        <f>O325*('AP02'!$P326-1)</f>
        <v>0</v>
      </c>
      <c r="O326" s="51">
        <f>(O325*'AP02'!$P326)-'AP02'!$G326</f>
        <v>43115.40855</v>
      </c>
      <c r="P326" s="53">
        <f t="shared" si="149"/>
        <v>1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56">
        <f t="shared" si="2"/>
        <v>313</v>
      </c>
      <c r="B327" s="50">
        <f t="shared" si="5"/>
        <v>52769</v>
      </c>
      <c r="C327" s="116">
        <f t="shared" si="126"/>
        <v>0.0775</v>
      </c>
      <c r="D327" s="116">
        <f>((1+'AP02'!$C327)^(1/12))-1</f>
        <v>0.006239681461</v>
      </c>
      <c r="E327" s="51">
        <f t="shared" si="127"/>
        <v>2171.261517</v>
      </c>
      <c r="F327" s="51">
        <f>(O326*'AP02'!$P327)*'AP02'!$D327</f>
        <v>269.0264154</v>
      </c>
      <c r="G327" s="51">
        <f>(O326*'AP02'!$P327)/($I$5-A326)</f>
        <v>898.2376781</v>
      </c>
      <c r="H327" s="52">
        <f t="shared" ref="H327:L327" si="376">H326</f>
        <v>0</v>
      </c>
      <c r="I327" s="52">
        <f t="shared" si="376"/>
        <v>0</v>
      </c>
      <c r="J327" s="51">
        <f t="shared" si="376"/>
        <v>25</v>
      </c>
      <c r="K327" s="52">
        <f t="shared" si="376"/>
        <v>0</v>
      </c>
      <c r="L327" s="52">
        <f t="shared" si="376"/>
        <v>0</v>
      </c>
      <c r="M327" s="51">
        <f>SUM('AP02'!$F327:$L327)</f>
        <v>1192.264094</v>
      </c>
      <c r="N327" s="51">
        <f>O326*('AP02'!$P327-1)</f>
        <v>0</v>
      </c>
      <c r="O327" s="51">
        <f>(O326*'AP02'!$P327)-'AP02'!$G327</f>
        <v>42217.17087</v>
      </c>
      <c r="P327" s="53">
        <f t="shared" si="149"/>
        <v>1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56">
        <f t="shared" si="2"/>
        <v>314</v>
      </c>
      <c r="B328" s="50">
        <f t="shared" si="5"/>
        <v>52799</v>
      </c>
      <c r="C328" s="116">
        <f t="shared" si="126"/>
        <v>0.0775</v>
      </c>
      <c r="D328" s="116">
        <f>((1+'AP02'!$C328)^(1/12))-1</f>
        <v>0.006239681461</v>
      </c>
      <c r="E328" s="51">
        <f t="shared" si="127"/>
        <v>2171.261517</v>
      </c>
      <c r="F328" s="51">
        <f>(O327*'AP02'!$P328)*'AP02'!$D328</f>
        <v>263.4216984</v>
      </c>
      <c r="G328" s="51">
        <f>(O327*'AP02'!$P328)/($I$5-A327)</f>
        <v>898.2376781</v>
      </c>
      <c r="H328" s="52">
        <f t="shared" ref="H328:L328" si="377">H327</f>
        <v>0</v>
      </c>
      <c r="I328" s="52">
        <f t="shared" si="377"/>
        <v>0</v>
      </c>
      <c r="J328" s="51">
        <f t="shared" si="377"/>
        <v>25</v>
      </c>
      <c r="K328" s="52">
        <f t="shared" si="377"/>
        <v>0</v>
      </c>
      <c r="L328" s="52">
        <f t="shared" si="377"/>
        <v>0</v>
      </c>
      <c r="M328" s="51">
        <f>SUM('AP02'!$F328:$L328)</f>
        <v>1186.659377</v>
      </c>
      <c r="N328" s="51">
        <f>O327*('AP02'!$P328-1)</f>
        <v>0</v>
      </c>
      <c r="O328" s="51">
        <f>(O327*'AP02'!$P328)-'AP02'!$G328</f>
        <v>41318.93319</v>
      </c>
      <c r="P328" s="53">
        <f t="shared" si="149"/>
        <v>1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56">
        <f t="shared" si="2"/>
        <v>315</v>
      </c>
      <c r="B329" s="50">
        <f t="shared" si="5"/>
        <v>52830</v>
      </c>
      <c r="C329" s="116">
        <f t="shared" si="126"/>
        <v>0.0775</v>
      </c>
      <c r="D329" s="116">
        <f>((1+'AP02'!$C329)^(1/12))-1</f>
        <v>0.006239681461</v>
      </c>
      <c r="E329" s="51">
        <f t="shared" si="127"/>
        <v>2171.261517</v>
      </c>
      <c r="F329" s="51">
        <f>(O328*'AP02'!$P329)*'AP02'!$D329</f>
        <v>257.8169815</v>
      </c>
      <c r="G329" s="51">
        <f>(O328*'AP02'!$P329)/($I$5-A328)</f>
        <v>898.2376781</v>
      </c>
      <c r="H329" s="52">
        <f t="shared" ref="H329:L329" si="378">H328</f>
        <v>0</v>
      </c>
      <c r="I329" s="52">
        <f t="shared" si="378"/>
        <v>0</v>
      </c>
      <c r="J329" s="51">
        <f t="shared" si="378"/>
        <v>25</v>
      </c>
      <c r="K329" s="52">
        <f t="shared" si="378"/>
        <v>0</v>
      </c>
      <c r="L329" s="52">
        <f t="shared" si="378"/>
        <v>0</v>
      </c>
      <c r="M329" s="51">
        <f>SUM('AP02'!$F329:$L329)</f>
        <v>1181.05466</v>
      </c>
      <c r="N329" s="51">
        <f>O328*('AP02'!$P329-1)</f>
        <v>0</v>
      </c>
      <c r="O329" s="51">
        <f>(O328*'AP02'!$P329)-'AP02'!$G329</f>
        <v>40420.69552</v>
      </c>
      <c r="P329" s="53">
        <f t="shared" si="149"/>
        <v>1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56">
        <f t="shared" si="2"/>
        <v>316</v>
      </c>
      <c r="B330" s="50">
        <f t="shared" si="5"/>
        <v>52861</v>
      </c>
      <c r="C330" s="116">
        <f t="shared" si="126"/>
        <v>0.0775</v>
      </c>
      <c r="D330" s="116">
        <f>((1+'AP02'!$C330)^(1/12))-1</f>
        <v>0.006239681461</v>
      </c>
      <c r="E330" s="51">
        <f t="shared" si="127"/>
        <v>2171.261517</v>
      </c>
      <c r="F330" s="51">
        <f>(O329*'AP02'!$P330)*'AP02'!$D330</f>
        <v>252.2122645</v>
      </c>
      <c r="G330" s="51">
        <f>(O329*'AP02'!$P330)/($I$5-A329)</f>
        <v>898.2376781</v>
      </c>
      <c r="H330" s="52">
        <f t="shared" ref="H330:L330" si="379">H329</f>
        <v>0</v>
      </c>
      <c r="I330" s="52">
        <f t="shared" si="379"/>
        <v>0</v>
      </c>
      <c r="J330" s="51">
        <f t="shared" si="379"/>
        <v>25</v>
      </c>
      <c r="K330" s="52">
        <f t="shared" si="379"/>
        <v>0</v>
      </c>
      <c r="L330" s="52">
        <f t="shared" si="379"/>
        <v>0</v>
      </c>
      <c r="M330" s="51">
        <f>SUM('AP02'!$F330:$L330)</f>
        <v>1175.449943</v>
      </c>
      <c r="N330" s="51">
        <f>O329*('AP02'!$P330-1)</f>
        <v>0</v>
      </c>
      <c r="O330" s="51">
        <f>(O329*'AP02'!$P330)-'AP02'!$G330</f>
        <v>39522.45784</v>
      </c>
      <c r="P330" s="53">
        <f t="shared" si="149"/>
        <v>1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56">
        <f t="shared" si="2"/>
        <v>317</v>
      </c>
      <c r="B331" s="50">
        <f t="shared" si="5"/>
        <v>52891</v>
      </c>
      <c r="C331" s="116">
        <f t="shared" si="126"/>
        <v>0.0775</v>
      </c>
      <c r="D331" s="116">
        <f>((1+'AP02'!$C331)^(1/12))-1</f>
        <v>0.006239681461</v>
      </c>
      <c r="E331" s="51">
        <f t="shared" si="127"/>
        <v>2171.261517</v>
      </c>
      <c r="F331" s="51">
        <f>(O330*'AP02'!$P331)*'AP02'!$D331</f>
        <v>246.6075475</v>
      </c>
      <c r="G331" s="51">
        <f>(O330*'AP02'!$P331)/($I$5-A330)</f>
        <v>898.2376781</v>
      </c>
      <c r="H331" s="52">
        <f t="shared" ref="H331:L331" si="380">H330</f>
        <v>0</v>
      </c>
      <c r="I331" s="52">
        <f t="shared" si="380"/>
        <v>0</v>
      </c>
      <c r="J331" s="51">
        <f t="shared" si="380"/>
        <v>25</v>
      </c>
      <c r="K331" s="52">
        <f t="shared" si="380"/>
        <v>0</v>
      </c>
      <c r="L331" s="52">
        <f t="shared" si="380"/>
        <v>0</v>
      </c>
      <c r="M331" s="51">
        <f>SUM('AP02'!$F331:$L331)</f>
        <v>1169.845226</v>
      </c>
      <c r="N331" s="51">
        <f>O330*('AP02'!$P331-1)</f>
        <v>0</v>
      </c>
      <c r="O331" s="51">
        <f>(O330*'AP02'!$P331)-'AP02'!$G331</f>
        <v>38624.22016</v>
      </c>
      <c r="P331" s="53">
        <f t="shared" si="149"/>
        <v>1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56">
        <f t="shared" si="2"/>
        <v>318</v>
      </c>
      <c r="B332" s="50">
        <f t="shared" si="5"/>
        <v>52922</v>
      </c>
      <c r="C332" s="116">
        <f t="shared" si="126"/>
        <v>0.0775</v>
      </c>
      <c r="D332" s="116">
        <f>((1+'AP02'!$C332)^(1/12))-1</f>
        <v>0.006239681461</v>
      </c>
      <c r="E332" s="51">
        <f t="shared" si="127"/>
        <v>2171.261517</v>
      </c>
      <c r="F332" s="51">
        <f>(O331*'AP02'!$P332)*'AP02'!$D332</f>
        <v>241.0028305</v>
      </c>
      <c r="G332" s="51">
        <f>(O331*'AP02'!$P332)/($I$5-A331)</f>
        <v>898.2376781</v>
      </c>
      <c r="H332" s="52">
        <f t="shared" ref="H332:L332" si="381">H331</f>
        <v>0</v>
      </c>
      <c r="I332" s="52">
        <f t="shared" si="381"/>
        <v>0</v>
      </c>
      <c r="J332" s="51">
        <f t="shared" si="381"/>
        <v>25</v>
      </c>
      <c r="K332" s="52">
        <f t="shared" si="381"/>
        <v>0</v>
      </c>
      <c r="L332" s="52">
        <f t="shared" si="381"/>
        <v>0</v>
      </c>
      <c r="M332" s="51">
        <f>SUM('AP02'!$F332:$L332)</f>
        <v>1164.240509</v>
      </c>
      <c r="N332" s="51">
        <f>O331*('AP02'!$P332-1)</f>
        <v>0</v>
      </c>
      <c r="O332" s="51">
        <f>(O331*'AP02'!$P332)-'AP02'!$G332</f>
        <v>37725.98248</v>
      </c>
      <c r="P332" s="53">
        <f t="shared" si="149"/>
        <v>1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56">
        <f t="shared" si="2"/>
        <v>319</v>
      </c>
      <c r="B333" s="50">
        <f t="shared" si="5"/>
        <v>52952</v>
      </c>
      <c r="C333" s="116">
        <f t="shared" si="126"/>
        <v>0.0775</v>
      </c>
      <c r="D333" s="116">
        <f>((1+'AP02'!$C333)^(1/12))-1</f>
        <v>0.006239681461</v>
      </c>
      <c r="E333" s="51">
        <f t="shared" si="127"/>
        <v>2171.261517</v>
      </c>
      <c r="F333" s="51">
        <f>(O332*'AP02'!$P333)*'AP02'!$D333</f>
        <v>235.3981135</v>
      </c>
      <c r="G333" s="51">
        <f>(O332*'AP02'!$P333)/($I$5-A332)</f>
        <v>898.2376781</v>
      </c>
      <c r="H333" s="52">
        <f t="shared" ref="H333:L333" si="382">H332</f>
        <v>0</v>
      </c>
      <c r="I333" s="52">
        <f t="shared" si="382"/>
        <v>0</v>
      </c>
      <c r="J333" s="51">
        <f t="shared" si="382"/>
        <v>25</v>
      </c>
      <c r="K333" s="52">
        <f t="shared" si="382"/>
        <v>0</v>
      </c>
      <c r="L333" s="52">
        <f t="shared" si="382"/>
        <v>0</v>
      </c>
      <c r="M333" s="51">
        <f>SUM('AP02'!$F333:$L333)</f>
        <v>1158.635792</v>
      </c>
      <c r="N333" s="51">
        <f>O332*('AP02'!$P333-1)</f>
        <v>0</v>
      </c>
      <c r="O333" s="51">
        <f>(O332*'AP02'!$P333)-'AP02'!$G333</f>
        <v>36827.7448</v>
      </c>
      <c r="P333" s="53">
        <f t="shared" si="149"/>
        <v>1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56">
        <f t="shared" si="2"/>
        <v>320</v>
      </c>
      <c r="B334" s="50">
        <f t="shared" si="5"/>
        <v>52983</v>
      </c>
      <c r="C334" s="116">
        <f t="shared" si="126"/>
        <v>0.0775</v>
      </c>
      <c r="D334" s="116">
        <f>((1+'AP02'!$C334)^(1/12))-1</f>
        <v>0.006239681461</v>
      </c>
      <c r="E334" s="51">
        <f t="shared" si="127"/>
        <v>2171.261517</v>
      </c>
      <c r="F334" s="51">
        <f>(O333*'AP02'!$P334)*'AP02'!$D334</f>
        <v>229.7933965</v>
      </c>
      <c r="G334" s="51">
        <f>(O333*'AP02'!$P334)/($I$5-A333)</f>
        <v>898.2376781</v>
      </c>
      <c r="H334" s="52">
        <f t="shared" ref="H334:L334" si="383">H333</f>
        <v>0</v>
      </c>
      <c r="I334" s="52">
        <f t="shared" si="383"/>
        <v>0</v>
      </c>
      <c r="J334" s="51">
        <f t="shared" si="383"/>
        <v>25</v>
      </c>
      <c r="K334" s="52">
        <f t="shared" si="383"/>
        <v>0</v>
      </c>
      <c r="L334" s="52">
        <f t="shared" si="383"/>
        <v>0</v>
      </c>
      <c r="M334" s="51">
        <f>SUM('AP02'!$F334:$L334)</f>
        <v>1153.031075</v>
      </c>
      <c r="N334" s="51">
        <f>O333*('AP02'!$P334-1)</f>
        <v>0</v>
      </c>
      <c r="O334" s="51">
        <f>(O333*'AP02'!$P334)-'AP02'!$G334</f>
        <v>35929.50713</v>
      </c>
      <c r="P334" s="53">
        <f t="shared" si="149"/>
        <v>1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56">
        <f t="shared" si="2"/>
        <v>321</v>
      </c>
      <c r="B335" s="50">
        <f t="shared" si="5"/>
        <v>53014</v>
      </c>
      <c r="C335" s="116">
        <f t="shared" si="126"/>
        <v>0.0775</v>
      </c>
      <c r="D335" s="116">
        <f>((1+'AP02'!$C335)^(1/12))-1</f>
        <v>0.006239681461</v>
      </c>
      <c r="E335" s="51">
        <f t="shared" si="127"/>
        <v>2171.261517</v>
      </c>
      <c r="F335" s="51">
        <f>(O334*'AP02'!$P335)*'AP02'!$D335</f>
        <v>224.1886795</v>
      </c>
      <c r="G335" s="51">
        <f>(O334*'AP02'!$P335)/($I$5-A334)</f>
        <v>898.2376781</v>
      </c>
      <c r="H335" s="52">
        <f t="shared" ref="H335:L335" si="384">H334</f>
        <v>0</v>
      </c>
      <c r="I335" s="52">
        <f t="shared" si="384"/>
        <v>0</v>
      </c>
      <c r="J335" s="51">
        <f t="shared" si="384"/>
        <v>25</v>
      </c>
      <c r="K335" s="52">
        <f t="shared" si="384"/>
        <v>0</v>
      </c>
      <c r="L335" s="52">
        <f t="shared" si="384"/>
        <v>0</v>
      </c>
      <c r="M335" s="51">
        <f>SUM('AP02'!$F335:$L335)</f>
        <v>1147.426358</v>
      </c>
      <c r="N335" s="51">
        <f>O334*('AP02'!$P335-1)</f>
        <v>0</v>
      </c>
      <c r="O335" s="51">
        <f>(O334*'AP02'!$P335)-'AP02'!$G335</f>
        <v>35031.26945</v>
      </c>
      <c r="P335" s="53">
        <f t="shared" si="149"/>
        <v>1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56">
        <f t="shared" si="2"/>
        <v>322</v>
      </c>
      <c r="B336" s="50">
        <f t="shared" si="5"/>
        <v>53042</v>
      </c>
      <c r="C336" s="116">
        <f t="shared" si="126"/>
        <v>0.0775</v>
      </c>
      <c r="D336" s="116">
        <f>((1+'AP02'!$C336)^(1/12))-1</f>
        <v>0.006239681461</v>
      </c>
      <c r="E336" s="51">
        <f t="shared" si="127"/>
        <v>2171.261517</v>
      </c>
      <c r="F336" s="51">
        <f>(O335*'AP02'!$P336)*'AP02'!$D336</f>
        <v>218.5839625</v>
      </c>
      <c r="G336" s="51">
        <f>(O335*'AP02'!$P336)/($I$5-A335)</f>
        <v>898.2376781</v>
      </c>
      <c r="H336" s="52">
        <f t="shared" ref="H336:L336" si="385">H335</f>
        <v>0</v>
      </c>
      <c r="I336" s="52">
        <f t="shared" si="385"/>
        <v>0</v>
      </c>
      <c r="J336" s="51">
        <f t="shared" si="385"/>
        <v>25</v>
      </c>
      <c r="K336" s="52">
        <f t="shared" si="385"/>
        <v>0</v>
      </c>
      <c r="L336" s="52">
        <f t="shared" si="385"/>
        <v>0</v>
      </c>
      <c r="M336" s="51">
        <f>SUM('AP02'!$F336:$L336)</f>
        <v>1141.821641</v>
      </c>
      <c r="N336" s="51">
        <f>O335*('AP02'!$P336-1)</f>
        <v>0</v>
      </c>
      <c r="O336" s="51">
        <f>(O335*'AP02'!$P336)-'AP02'!$G336</f>
        <v>34133.03177</v>
      </c>
      <c r="P336" s="53">
        <f t="shared" si="149"/>
        <v>1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56">
        <f t="shared" si="2"/>
        <v>323</v>
      </c>
      <c r="B337" s="50">
        <f t="shared" si="5"/>
        <v>53073</v>
      </c>
      <c r="C337" s="116">
        <f t="shared" si="126"/>
        <v>0.0775</v>
      </c>
      <c r="D337" s="116">
        <f>((1+'AP02'!$C337)^(1/12))-1</f>
        <v>0.006239681461</v>
      </c>
      <c r="E337" s="51">
        <f t="shared" si="127"/>
        <v>2171.261517</v>
      </c>
      <c r="F337" s="51">
        <f>(O336*'AP02'!$P337)*'AP02'!$D337</f>
        <v>212.9792455</v>
      </c>
      <c r="G337" s="51">
        <f>(O336*'AP02'!$P337)/($I$5-A336)</f>
        <v>898.2376781</v>
      </c>
      <c r="H337" s="52">
        <f t="shared" ref="H337:L337" si="386">H336</f>
        <v>0</v>
      </c>
      <c r="I337" s="52">
        <f t="shared" si="386"/>
        <v>0</v>
      </c>
      <c r="J337" s="51">
        <f t="shared" si="386"/>
        <v>25</v>
      </c>
      <c r="K337" s="52">
        <f t="shared" si="386"/>
        <v>0</v>
      </c>
      <c r="L337" s="52">
        <f t="shared" si="386"/>
        <v>0</v>
      </c>
      <c r="M337" s="51">
        <f>SUM('AP02'!$F337:$L337)</f>
        <v>1136.216924</v>
      </c>
      <c r="N337" s="51">
        <f>O336*('AP02'!$P337-1)</f>
        <v>0</v>
      </c>
      <c r="O337" s="51">
        <f>(O336*'AP02'!$P337)-'AP02'!$G337</f>
        <v>33234.79409</v>
      </c>
      <c r="P337" s="53">
        <f t="shared" si="149"/>
        <v>1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56">
        <f t="shared" si="2"/>
        <v>324</v>
      </c>
      <c r="B338" s="50">
        <f t="shared" si="5"/>
        <v>53103</v>
      </c>
      <c r="C338" s="116">
        <f t="shared" si="126"/>
        <v>0.0775</v>
      </c>
      <c r="D338" s="116">
        <f>((1+'AP02'!$C338)^(1/12))-1</f>
        <v>0.006239681461</v>
      </c>
      <c r="E338" s="51">
        <f t="shared" si="127"/>
        <v>2171.261517</v>
      </c>
      <c r="F338" s="51">
        <f>(O337*'AP02'!$P338)*'AP02'!$D338</f>
        <v>207.3745286</v>
      </c>
      <c r="G338" s="51">
        <f>(O337*'AP02'!$P338)/($I$5-A337)</f>
        <v>898.2376781</v>
      </c>
      <c r="H338" s="52">
        <f t="shared" ref="H338:L338" si="387">H337</f>
        <v>0</v>
      </c>
      <c r="I338" s="52">
        <f t="shared" si="387"/>
        <v>0</v>
      </c>
      <c r="J338" s="51">
        <f t="shared" si="387"/>
        <v>25</v>
      </c>
      <c r="K338" s="52">
        <f t="shared" si="387"/>
        <v>0</v>
      </c>
      <c r="L338" s="52">
        <f t="shared" si="387"/>
        <v>0</v>
      </c>
      <c r="M338" s="51">
        <f>SUM('AP02'!$F338:$L338)</f>
        <v>1130.612207</v>
      </c>
      <c r="N338" s="51">
        <f>O337*('AP02'!$P338-1)</f>
        <v>0</v>
      </c>
      <c r="O338" s="51">
        <f>(O337*'AP02'!$P338)-'AP02'!$G338</f>
        <v>32336.55641</v>
      </c>
      <c r="P338" s="53">
        <f t="shared" si="149"/>
        <v>1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56">
        <f t="shared" si="2"/>
        <v>325</v>
      </c>
      <c r="B339" s="50">
        <f t="shared" si="5"/>
        <v>53134</v>
      </c>
      <c r="C339" s="116">
        <f t="shared" si="126"/>
        <v>0.0775</v>
      </c>
      <c r="D339" s="116">
        <f>((1+'AP02'!$C339)^(1/12))-1</f>
        <v>0.006239681461</v>
      </c>
      <c r="E339" s="51">
        <f t="shared" si="127"/>
        <v>2171.261517</v>
      </c>
      <c r="F339" s="51">
        <f>(O338*'AP02'!$P339)*'AP02'!$D339</f>
        <v>201.7698116</v>
      </c>
      <c r="G339" s="51">
        <f>(O338*'AP02'!$P339)/($I$5-A338)</f>
        <v>898.2376781</v>
      </c>
      <c r="H339" s="52">
        <f t="shared" ref="H339:L339" si="388">H338</f>
        <v>0</v>
      </c>
      <c r="I339" s="52">
        <f t="shared" si="388"/>
        <v>0</v>
      </c>
      <c r="J339" s="51">
        <f t="shared" si="388"/>
        <v>25</v>
      </c>
      <c r="K339" s="52">
        <f t="shared" si="388"/>
        <v>0</v>
      </c>
      <c r="L339" s="52">
        <f t="shared" si="388"/>
        <v>0</v>
      </c>
      <c r="M339" s="51">
        <f>SUM('AP02'!$F339:$L339)</f>
        <v>1125.00749</v>
      </c>
      <c r="N339" s="51">
        <f>O338*('AP02'!$P339-1)</f>
        <v>0</v>
      </c>
      <c r="O339" s="51">
        <f>(O338*'AP02'!$P339)-'AP02'!$G339</f>
        <v>31438.31874</v>
      </c>
      <c r="P339" s="53">
        <f t="shared" si="149"/>
        <v>1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56">
        <f t="shared" si="2"/>
        <v>326</v>
      </c>
      <c r="B340" s="50">
        <f t="shared" si="5"/>
        <v>53164</v>
      </c>
      <c r="C340" s="116">
        <f t="shared" si="126"/>
        <v>0.0775</v>
      </c>
      <c r="D340" s="116">
        <f>((1+'AP02'!$C340)^(1/12))-1</f>
        <v>0.006239681461</v>
      </c>
      <c r="E340" s="51">
        <f t="shared" si="127"/>
        <v>2171.261517</v>
      </c>
      <c r="F340" s="51">
        <f>(O339*'AP02'!$P340)*'AP02'!$D340</f>
        <v>196.1650946</v>
      </c>
      <c r="G340" s="51">
        <f>(O339*'AP02'!$P340)/($I$5-A339)</f>
        <v>898.2376781</v>
      </c>
      <c r="H340" s="52">
        <f t="shared" ref="H340:L340" si="389">H339</f>
        <v>0</v>
      </c>
      <c r="I340" s="52">
        <f t="shared" si="389"/>
        <v>0</v>
      </c>
      <c r="J340" s="51">
        <f t="shared" si="389"/>
        <v>25</v>
      </c>
      <c r="K340" s="52">
        <f t="shared" si="389"/>
        <v>0</v>
      </c>
      <c r="L340" s="52">
        <f t="shared" si="389"/>
        <v>0</v>
      </c>
      <c r="M340" s="51">
        <f>SUM('AP02'!$F340:$L340)</f>
        <v>1119.402773</v>
      </c>
      <c r="N340" s="51">
        <f>O339*('AP02'!$P340-1)</f>
        <v>0</v>
      </c>
      <c r="O340" s="51">
        <f>(O339*'AP02'!$P340)-'AP02'!$G340</f>
        <v>30540.08106</v>
      </c>
      <c r="P340" s="53">
        <f t="shared" si="149"/>
        <v>1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56">
        <f t="shared" si="2"/>
        <v>327</v>
      </c>
      <c r="B341" s="50">
        <f t="shared" si="5"/>
        <v>53195</v>
      </c>
      <c r="C341" s="116">
        <f t="shared" si="126"/>
        <v>0.0775</v>
      </c>
      <c r="D341" s="116">
        <f>((1+'AP02'!$C341)^(1/12))-1</f>
        <v>0.006239681461</v>
      </c>
      <c r="E341" s="51">
        <f t="shared" si="127"/>
        <v>2171.261517</v>
      </c>
      <c r="F341" s="51">
        <f>(O340*'AP02'!$P341)*'AP02'!$D341</f>
        <v>190.5603776</v>
      </c>
      <c r="G341" s="51">
        <f>(O340*'AP02'!$P341)/($I$5-A340)</f>
        <v>898.2376781</v>
      </c>
      <c r="H341" s="52">
        <f t="shared" ref="H341:L341" si="390">H340</f>
        <v>0</v>
      </c>
      <c r="I341" s="52">
        <f t="shared" si="390"/>
        <v>0</v>
      </c>
      <c r="J341" s="51">
        <f t="shared" si="390"/>
        <v>25</v>
      </c>
      <c r="K341" s="52">
        <f t="shared" si="390"/>
        <v>0</v>
      </c>
      <c r="L341" s="52">
        <f t="shared" si="390"/>
        <v>0</v>
      </c>
      <c r="M341" s="51">
        <f>SUM('AP02'!$F341:$L341)</f>
        <v>1113.798056</v>
      </c>
      <c r="N341" s="51">
        <f>O340*('AP02'!$P341-1)</f>
        <v>0</v>
      </c>
      <c r="O341" s="51">
        <f>(O340*'AP02'!$P341)-'AP02'!$G341</f>
        <v>29641.84338</v>
      </c>
      <c r="P341" s="53">
        <f t="shared" si="149"/>
        <v>1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56">
        <f t="shared" si="2"/>
        <v>328</v>
      </c>
      <c r="B342" s="50">
        <f t="shared" si="5"/>
        <v>53226</v>
      </c>
      <c r="C342" s="116">
        <f t="shared" si="126"/>
        <v>0.0775</v>
      </c>
      <c r="D342" s="116">
        <f>((1+'AP02'!$C342)^(1/12))-1</f>
        <v>0.006239681461</v>
      </c>
      <c r="E342" s="51">
        <f t="shared" si="127"/>
        <v>2171.261517</v>
      </c>
      <c r="F342" s="51">
        <f>(O341*'AP02'!$P342)*'AP02'!$D342</f>
        <v>184.9556606</v>
      </c>
      <c r="G342" s="51">
        <f>(O341*'AP02'!$P342)/($I$5-A341)</f>
        <v>898.2376781</v>
      </c>
      <c r="H342" s="52">
        <f t="shared" ref="H342:L342" si="391">H341</f>
        <v>0</v>
      </c>
      <c r="I342" s="52">
        <f t="shared" si="391"/>
        <v>0</v>
      </c>
      <c r="J342" s="51">
        <f t="shared" si="391"/>
        <v>25</v>
      </c>
      <c r="K342" s="52">
        <f t="shared" si="391"/>
        <v>0</v>
      </c>
      <c r="L342" s="52">
        <f t="shared" si="391"/>
        <v>0</v>
      </c>
      <c r="M342" s="51">
        <f>SUM('AP02'!$F342:$L342)</f>
        <v>1108.193339</v>
      </c>
      <c r="N342" s="51">
        <f>O341*('AP02'!$P342-1)</f>
        <v>0</v>
      </c>
      <c r="O342" s="51">
        <f>(O341*'AP02'!$P342)-'AP02'!$G342</f>
        <v>28743.6057</v>
      </c>
      <c r="P342" s="53">
        <f t="shared" si="149"/>
        <v>1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56">
        <f t="shared" si="2"/>
        <v>329</v>
      </c>
      <c r="B343" s="50">
        <f t="shared" si="5"/>
        <v>53256</v>
      </c>
      <c r="C343" s="116">
        <f t="shared" si="126"/>
        <v>0.0775</v>
      </c>
      <c r="D343" s="116">
        <f>((1+'AP02'!$C343)^(1/12))-1</f>
        <v>0.006239681461</v>
      </c>
      <c r="E343" s="51">
        <f t="shared" si="127"/>
        <v>2171.261517</v>
      </c>
      <c r="F343" s="51">
        <f>(O342*'AP02'!$P343)*'AP02'!$D343</f>
        <v>179.3509436</v>
      </c>
      <c r="G343" s="51">
        <f>(O342*'AP02'!$P343)/($I$5-A342)</f>
        <v>898.2376781</v>
      </c>
      <c r="H343" s="52">
        <f t="shared" ref="H343:L343" si="392">H342</f>
        <v>0</v>
      </c>
      <c r="I343" s="52">
        <f t="shared" si="392"/>
        <v>0</v>
      </c>
      <c r="J343" s="51">
        <f t="shared" si="392"/>
        <v>25</v>
      </c>
      <c r="K343" s="52">
        <f t="shared" si="392"/>
        <v>0</v>
      </c>
      <c r="L343" s="52">
        <f t="shared" si="392"/>
        <v>0</v>
      </c>
      <c r="M343" s="51">
        <f>SUM('AP02'!$F343:$L343)</f>
        <v>1102.588622</v>
      </c>
      <c r="N343" s="51">
        <f>O342*('AP02'!$P343-1)</f>
        <v>0</v>
      </c>
      <c r="O343" s="51">
        <f>(O342*'AP02'!$P343)-'AP02'!$G343</f>
        <v>27845.36802</v>
      </c>
      <c r="P343" s="53">
        <f t="shared" si="149"/>
        <v>1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56">
        <f t="shared" si="2"/>
        <v>330</v>
      </c>
      <c r="B344" s="50">
        <f t="shared" si="5"/>
        <v>53287</v>
      </c>
      <c r="C344" s="116">
        <f t="shared" si="126"/>
        <v>0.0775</v>
      </c>
      <c r="D344" s="116">
        <f>((1+'AP02'!$C344)^(1/12))-1</f>
        <v>0.006239681461</v>
      </c>
      <c r="E344" s="51">
        <f t="shared" si="127"/>
        <v>2171.261517</v>
      </c>
      <c r="F344" s="51">
        <f>(O343*'AP02'!$P344)*'AP02'!$D344</f>
        <v>173.7462266</v>
      </c>
      <c r="G344" s="51">
        <f>(O343*'AP02'!$P344)/($I$5-A343)</f>
        <v>898.2376781</v>
      </c>
      <c r="H344" s="52">
        <f t="shared" ref="H344:L344" si="393">H343</f>
        <v>0</v>
      </c>
      <c r="I344" s="52">
        <f t="shared" si="393"/>
        <v>0</v>
      </c>
      <c r="J344" s="51">
        <f t="shared" si="393"/>
        <v>25</v>
      </c>
      <c r="K344" s="52">
        <f t="shared" si="393"/>
        <v>0</v>
      </c>
      <c r="L344" s="52">
        <f t="shared" si="393"/>
        <v>0</v>
      </c>
      <c r="M344" s="51">
        <f>SUM('AP02'!$F344:$L344)</f>
        <v>1096.983905</v>
      </c>
      <c r="N344" s="51">
        <f>O343*('AP02'!$P344-1)</f>
        <v>0</v>
      </c>
      <c r="O344" s="51">
        <f>(O343*'AP02'!$P344)-'AP02'!$G344</f>
        <v>26947.13034</v>
      </c>
      <c r="P344" s="53">
        <f t="shared" si="149"/>
        <v>1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56">
        <f t="shared" si="2"/>
        <v>331</v>
      </c>
      <c r="B345" s="50">
        <f t="shared" si="5"/>
        <v>53317</v>
      </c>
      <c r="C345" s="116">
        <f t="shared" si="126"/>
        <v>0.0775</v>
      </c>
      <c r="D345" s="116">
        <f>((1+'AP02'!$C345)^(1/12))-1</f>
        <v>0.006239681461</v>
      </c>
      <c r="E345" s="51">
        <f t="shared" si="127"/>
        <v>2171.261517</v>
      </c>
      <c r="F345" s="51">
        <f>(O344*'AP02'!$P345)*'AP02'!$D345</f>
        <v>168.1415096</v>
      </c>
      <c r="G345" s="51">
        <f>(O344*'AP02'!$P345)/($I$5-A344)</f>
        <v>898.2376781</v>
      </c>
      <c r="H345" s="52">
        <f t="shared" ref="H345:L345" si="394">H344</f>
        <v>0</v>
      </c>
      <c r="I345" s="52">
        <f t="shared" si="394"/>
        <v>0</v>
      </c>
      <c r="J345" s="51">
        <f t="shared" si="394"/>
        <v>25</v>
      </c>
      <c r="K345" s="52">
        <f t="shared" si="394"/>
        <v>0</v>
      </c>
      <c r="L345" s="52">
        <f t="shared" si="394"/>
        <v>0</v>
      </c>
      <c r="M345" s="51">
        <f>SUM('AP02'!$F345:$L345)</f>
        <v>1091.379188</v>
      </c>
      <c r="N345" s="51">
        <f>O344*('AP02'!$P345-1)</f>
        <v>0</v>
      </c>
      <c r="O345" s="51">
        <f>(O344*'AP02'!$P345)-'AP02'!$G345</f>
        <v>26048.89267</v>
      </c>
      <c r="P345" s="53">
        <f t="shared" si="149"/>
        <v>1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56">
        <f t="shared" si="2"/>
        <v>332</v>
      </c>
      <c r="B346" s="50">
        <f t="shared" si="5"/>
        <v>53348</v>
      </c>
      <c r="C346" s="116">
        <f t="shared" si="126"/>
        <v>0.0775</v>
      </c>
      <c r="D346" s="116">
        <f>((1+'AP02'!$C346)^(1/12))-1</f>
        <v>0.006239681461</v>
      </c>
      <c r="E346" s="51">
        <f t="shared" si="127"/>
        <v>2171.261517</v>
      </c>
      <c r="F346" s="51">
        <f>(O345*'AP02'!$P346)*'AP02'!$D346</f>
        <v>162.5367927</v>
      </c>
      <c r="G346" s="51">
        <f>(O345*'AP02'!$P346)/($I$5-A345)</f>
        <v>898.2376781</v>
      </c>
      <c r="H346" s="52">
        <f t="shared" ref="H346:L346" si="395">H345</f>
        <v>0</v>
      </c>
      <c r="I346" s="52">
        <f t="shared" si="395"/>
        <v>0</v>
      </c>
      <c r="J346" s="51">
        <f t="shared" si="395"/>
        <v>25</v>
      </c>
      <c r="K346" s="52">
        <f t="shared" si="395"/>
        <v>0</v>
      </c>
      <c r="L346" s="52">
        <f t="shared" si="395"/>
        <v>0</v>
      </c>
      <c r="M346" s="51">
        <f>SUM('AP02'!$F346:$L346)</f>
        <v>1085.774471</v>
      </c>
      <c r="N346" s="51">
        <f>O345*('AP02'!$P346-1)</f>
        <v>0</v>
      </c>
      <c r="O346" s="51">
        <f>(O345*'AP02'!$P346)-'AP02'!$G346</f>
        <v>25150.65499</v>
      </c>
      <c r="P346" s="53">
        <f t="shared" si="149"/>
        <v>1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56">
        <f t="shared" si="2"/>
        <v>333</v>
      </c>
      <c r="B347" s="50">
        <f t="shared" si="5"/>
        <v>53379</v>
      </c>
      <c r="C347" s="116">
        <f t="shared" si="126"/>
        <v>0.0775</v>
      </c>
      <c r="D347" s="116">
        <f>((1+'AP02'!$C347)^(1/12))-1</f>
        <v>0.006239681461</v>
      </c>
      <c r="E347" s="51">
        <f t="shared" si="127"/>
        <v>2171.261517</v>
      </c>
      <c r="F347" s="51">
        <f>(O346*'AP02'!$P347)*'AP02'!$D347</f>
        <v>156.9320757</v>
      </c>
      <c r="G347" s="51">
        <f>(O346*'AP02'!$P347)/($I$5-A346)</f>
        <v>898.2376781</v>
      </c>
      <c r="H347" s="52">
        <f t="shared" ref="H347:L347" si="396">H346</f>
        <v>0</v>
      </c>
      <c r="I347" s="52">
        <f t="shared" si="396"/>
        <v>0</v>
      </c>
      <c r="J347" s="51">
        <f t="shared" si="396"/>
        <v>25</v>
      </c>
      <c r="K347" s="52">
        <f t="shared" si="396"/>
        <v>0</v>
      </c>
      <c r="L347" s="52">
        <f t="shared" si="396"/>
        <v>0</v>
      </c>
      <c r="M347" s="51">
        <f>SUM('AP02'!$F347:$L347)</f>
        <v>1080.169754</v>
      </c>
      <c r="N347" s="51">
        <f>O346*('AP02'!$P347-1)</f>
        <v>0</v>
      </c>
      <c r="O347" s="51">
        <f>(O346*'AP02'!$P347)-'AP02'!$G347</f>
        <v>24252.41731</v>
      </c>
      <c r="P347" s="53">
        <f t="shared" si="149"/>
        <v>1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56">
        <f t="shared" si="2"/>
        <v>334</v>
      </c>
      <c r="B348" s="50">
        <f t="shared" si="5"/>
        <v>53407</v>
      </c>
      <c r="C348" s="116">
        <f t="shared" si="126"/>
        <v>0.0775</v>
      </c>
      <c r="D348" s="116">
        <f>((1+'AP02'!$C348)^(1/12))-1</f>
        <v>0.006239681461</v>
      </c>
      <c r="E348" s="51">
        <f t="shared" si="127"/>
        <v>2171.261517</v>
      </c>
      <c r="F348" s="51">
        <f>(O347*'AP02'!$P348)*'AP02'!$D348</f>
        <v>151.3273587</v>
      </c>
      <c r="G348" s="51">
        <f>(O347*'AP02'!$P348)/($I$5-A347)</f>
        <v>898.2376781</v>
      </c>
      <c r="H348" s="52">
        <f t="shared" ref="H348:L348" si="397">H347</f>
        <v>0</v>
      </c>
      <c r="I348" s="52">
        <f t="shared" si="397"/>
        <v>0</v>
      </c>
      <c r="J348" s="51">
        <f t="shared" si="397"/>
        <v>25</v>
      </c>
      <c r="K348" s="52">
        <f t="shared" si="397"/>
        <v>0</v>
      </c>
      <c r="L348" s="52">
        <f t="shared" si="397"/>
        <v>0</v>
      </c>
      <c r="M348" s="51">
        <f>SUM('AP02'!$F348:$L348)</f>
        <v>1074.565037</v>
      </c>
      <c r="N348" s="51">
        <f>O347*('AP02'!$P348-1)</f>
        <v>0</v>
      </c>
      <c r="O348" s="51">
        <f>(O347*'AP02'!$P348)-'AP02'!$G348</f>
        <v>23354.17963</v>
      </c>
      <c r="P348" s="53">
        <f t="shared" si="149"/>
        <v>1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56">
        <f t="shared" si="2"/>
        <v>335</v>
      </c>
      <c r="B349" s="50">
        <f t="shared" si="5"/>
        <v>53438</v>
      </c>
      <c r="C349" s="116">
        <f t="shared" si="126"/>
        <v>0.0775</v>
      </c>
      <c r="D349" s="116">
        <f>((1+'AP02'!$C349)^(1/12))-1</f>
        <v>0.006239681461</v>
      </c>
      <c r="E349" s="51">
        <f t="shared" si="127"/>
        <v>2171.261517</v>
      </c>
      <c r="F349" s="51">
        <f>(O348*'AP02'!$P349)*'AP02'!$D349</f>
        <v>145.7226417</v>
      </c>
      <c r="G349" s="51">
        <f>(O348*'AP02'!$P349)/($I$5-A348)</f>
        <v>898.2376781</v>
      </c>
      <c r="H349" s="52">
        <f t="shared" ref="H349:L349" si="398">H348</f>
        <v>0</v>
      </c>
      <c r="I349" s="52">
        <f t="shared" si="398"/>
        <v>0</v>
      </c>
      <c r="J349" s="51">
        <f t="shared" si="398"/>
        <v>25</v>
      </c>
      <c r="K349" s="52">
        <f t="shared" si="398"/>
        <v>0</v>
      </c>
      <c r="L349" s="52">
        <f t="shared" si="398"/>
        <v>0</v>
      </c>
      <c r="M349" s="51">
        <f>SUM('AP02'!$F349:$L349)</f>
        <v>1068.96032</v>
      </c>
      <c r="N349" s="51">
        <f>O348*('AP02'!$P349-1)</f>
        <v>0</v>
      </c>
      <c r="O349" s="51">
        <f>(O348*'AP02'!$P349)-'AP02'!$G349</f>
        <v>22455.94195</v>
      </c>
      <c r="P349" s="53">
        <f t="shared" si="149"/>
        <v>1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56">
        <f t="shared" si="2"/>
        <v>336</v>
      </c>
      <c r="B350" s="50">
        <f t="shared" si="5"/>
        <v>53468</v>
      </c>
      <c r="C350" s="116">
        <f t="shared" si="126"/>
        <v>0.0775</v>
      </c>
      <c r="D350" s="116">
        <f>((1+'AP02'!$C350)^(1/12))-1</f>
        <v>0.006239681461</v>
      </c>
      <c r="E350" s="51">
        <f t="shared" si="127"/>
        <v>2171.261517</v>
      </c>
      <c r="F350" s="51">
        <f>(O349*'AP02'!$P350)*'AP02'!$D350</f>
        <v>140.1179247</v>
      </c>
      <c r="G350" s="51">
        <f>(O349*'AP02'!$P350)/($I$5-A349)</f>
        <v>898.2376781</v>
      </c>
      <c r="H350" s="52">
        <f t="shared" ref="H350:L350" si="399">H349</f>
        <v>0</v>
      </c>
      <c r="I350" s="52">
        <f t="shared" si="399"/>
        <v>0</v>
      </c>
      <c r="J350" s="51">
        <f t="shared" si="399"/>
        <v>25</v>
      </c>
      <c r="K350" s="52">
        <f t="shared" si="399"/>
        <v>0</v>
      </c>
      <c r="L350" s="52">
        <f t="shared" si="399"/>
        <v>0</v>
      </c>
      <c r="M350" s="51">
        <f>SUM('AP02'!$F350:$L350)</f>
        <v>1063.355603</v>
      </c>
      <c r="N350" s="51">
        <f>O349*('AP02'!$P350-1)</f>
        <v>0</v>
      </c>
      <c r="O350" s="51">
        <f>(O349*'AP02'!$P350)-'AP02'!$G350</f>
        <v>21557.70428</v>
      </c>
      <c r="P350" s="53">
        <f t="shared" si="149"/>
        <v>1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56">
        <f t="shared" si="2"/>
        <v>337</v>
      </c>
      <c r="B351" s="50">
        <f t="shared" si="5"/>
        <v>53499</v>
      </c>
      <c r="C351" s="116">
        <f t="shared" si="126"/>
        <v>0.0775</v>
      </c>
      <c r="D351" s="116">
        <f>((1+'AP02'!$C351)^(1/12))-1</f>
        <v>0.006239681461</v>
      </c>
      <c r="E351" s="51">
        <f t="shared" si="127"/>
        <v>2171.261517</v>
      </c>
      <c r="F351" s="51">
        <f>(O350*'AP02'!$P351)*'AP02'!$D351</f>
        <v>134.5132077</v>
      </c>
      <c r="G351" s="51">
        <f>(O350*'AP02'!$P351)/($I$5-A350)</f>
        <v>898.2376781</v>
      </c>
      <c r="H351" s="52">
        <f t="shared" ref="H351:L351" si="400">H350</f>
        <v>0</v>
      </c>
      <c r="I351" s="52">
        <f t="shared" si="400"/>
        <v>0</v>
      </c>
      <c r="J351" s="51">
        <f t="shared" si="400"/>
        <v>25</v>
      </c>
      <c r="K351" s="52">
        <f t="shared" si="400"/>
        <v>0</v>
      </c>
      <c r="L351" s="52">
        <f t="shared" si="400"/>
        <v>0</v>
      </c>
      <c r="M351" s="51">
        <f>SUM('AP02'!$F351:$L351)</f>
        <v>1057.750886</v>
      </c>
      <c r="N351" s="51">
        <f>O350*('AP02'!$P351-1)</f>
        <v>0</v>
      </c>
      <c r="O351" s="51">
        <f>(O350*'AP02'!$P351)-'AP02'!$G351</f>
        <v>20659.4666</v>
      </c>
      <c r="P351" s="53">
        <f t="shared" si="149"/>
        <v>1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56">
        <f t="shared" si="2"/>
        <v>338</v>
      </c>
      <c r="B352" s="50">
        <f t="shared" si="5"/>
        <v>53529</v>
      </c>
      <c r="C352" s="116">
        <f t="shared" si="126"/>
        <v>0.0775</v>
      </c>
      <c r="D352" s="116">
        <f>((1+'AP02'!$C352)^(1/12))-1</f>
        <v>0.006239681461</v>
      </c>
      <c r="E352" s="51">
        <f t="shared" si="127"/>
        <v>2171.261517</v>
      </c>
      <c r="F352" s="51">
        <f>(O351*'AP02'!$P352)*'AP02'!$D352</f>
        <v>128.9084907</v>
      </c>
      <c r="G352" s="51">
        <f>(O351*'AP02'!$P352)/($I$5-A351)</f>
        <v>898.2376781</v>
      </c>
      <c r="H352" s="52">
        <f t="shared" ref="H352:L352" si="401">H351</f>
        <v>0</v>
      </c>
      <c r="I352" s="52">
        <f t="shared" si="401"/>
        <v>0</v>
      </c>
      <c r="J352" s="51">
        <f t="shared" si="401"/>
        <v>25</v>
      </c>
      <c r="K352" s="52">
        <f t="shared" si="401"/>
        <v>0</v>
      </c>
      <c r="L352" s="52">
        <f t="shared" si="401"/>
        <v>0</v>
      </c>
      <c r="M352" s="51">
        <f>SUM('AP02'!$F352:$L352)</f>
        <v>1052.146169</v>
      </c>
      <c r="N352" s="51">
        <f>O351*('AP02'!$P352-1)</f>
        <v>0</v>
      </c>
      <c r="O352" s="51">
        <f>(O351*'AP02'!$P352)-'AP02'!$G352</f>
        <v>19761.22892</v>
      </c>
      <c r="P352" s="53">
        <f t="shared" si="149"/>
        <v>1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56">
        <f t="shared" si="2"/>
        <v>339</v>
      </c>
      <c r="B353" s="50">
        <f t="shared" si="5"/>
        <v>53560</v>
      </c>
      <c r="C353" s="116">
        <f t="shared" si="126"/>
        <v>0.0775</v>
      </c>
      <c r="D353" s="116">
        <f>((1+'AP02'!$C353)^(1/12))-1</f>
        <v>0.006239681461</v>
      </c>
      <c r="E353" s="51">
        <f t="shared" si="127"/>
        <v>2171.261517</v>
      </c>
      <c r="F353" s="51">
        <f>(O352*'AP02'!$P353)*'AP02'!$D353</f>
        <v>123.3037737</v>
      </c>
      <c r="G353" s="51">
        <f>(O352*'AP02'!$P353)/($I$5-A352)</f>
        <v>898.2376781</v>
      </c>
      <c r="H353" s="52">
        <f t="shared" ref="H353:L353" si="402">H352</f>
        <v>0</v>
      </c>
      <c r="I353" s="52">
        <f t="shared" si="402"/>
        <v>0</v>
      </c>
      <c r="J353" s="51">
        <f t="shared" si="402"/>
        <v>25</v>
      </c>
      <c r="K353" s="52">
        <f t="shared" si="402"/>
        <v>0</v>
      </c>
      <c r="L353" s="52">
        <f t="shared" si="402"/>
        <v>0</v>
      </c>
      <c r="M353" s="51">
        <f>SUM('AP02'!$F353:$L353)</f>
        <v>1046.541452</v>
      </c>
      <c r="N353" s="51">
        <f>O352*('AP02'!$P353-1)</f>
        <v>0</v>
      </c>
      <c r="O353" s="51">
        <f>(O352*'AP02'!$P353)-'AP02'!$G353</f>
        <v>18862.99124</v>
      </c>
      <c r="P353" s="53">
        <f t="shared" si="149"/>
        <v>1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56">
        <f t="shared" si="2"/>
        <v>340</v>
      </c>
      <c r="B354" s="50">
        <f t="shared" si="5"/>
        <v>53591</v>
      </c>
      <c r="C354" s="116">
        <f t="shared" si="126"/>
        <v>0.0775</v>
      </c>
      <c r="D354" s="116">
        <f>((1+'AP02'!$C354)^(1/12))-1</f>
        <v>0.006239681461</v>
      </c>
      <c r="E354" s="51">
        <f t="shared" si="127"/>
        <v>2171.261517</v>
      </c>
      <c r="F354" s="51">
        <f>(O353*'AP02'!$P354)*'AP02'!$D354</f>
        <v>117.6990568</v>
      </c>
      <c r="G354" s="51">
        <f>(O353*'AP02'!$P354)/($I$5-A353)</f>
        <v>898.2376781</v>
      </c>
      <c r="H354" s="52">
        <f t="shared" ref="H354:L354" si="403">H353</f>
        <v>0</v>
      </c>
      <c r="I354" s="52">
        <f t="shared" si="403"/>
        <v>0</v>
      </c>
      <c r="J354" s="51">
        <f t="shared" si="403"/>
        <v>25</v>
      </c>
      <c r="K354" s="52">
        <f t="shared" si="403"/>
        <v>0</v>
      </c>
      <c r="L354" s="52">
        <f t="shared" si="403"/>
        <v>0</v>
      </c>
      <c r="M354" s="51">
        <f>SUM('AP02'!$F354:$L354)</f>
        <v>1040.936735</v>
      </c>
      <c r="N354" s="51">
        <f>O353*('AP02'!$P354-1)</f>
        <v>0</v>
      </c>
      <c r="O354" s="51">
        <f>(O353*'AP02'!$P354)-'AP02'!$G354</f>
        <v>17964.75356</v>
      </c>
      <c r="P354" s="53">
        <f t="shared" si="149"/>
        <v>1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56">
        <f t="shared" si="2"/>
        <v>341</v>
      </c>
      <c r="B355" s="50">
        <f t="shared" si="5"/>
        <v>53621</v>
      </c>
      <c r="C355" s="116">
        <f t="shared" si="126"/>
        <v>0.0775</v>
      </c>
      <c r="D355" s="116">
        <f>((1+'AP02'!$C355)^(1/12))-1</f>
        <v>0.006239681461</v>
      </c>
      <c r="E355" s="51">
        <f t="shared" si="127"/>
        <v>2171.261517</v>
      </c>
      <c r="F355" s="51">
        <f>(O354*'AP02'!$P355)*'AP02'!$D355</f>
        <v>112.0943398</v>
      </c>
      <c r="G355" s="51">
        <f>(O354*'AP02'!$P355)/($I$5-A354)</f>
        <v>898.2376781</v>
      </c>
      <c r="H355" s="52">
        <f t="shared" ref="H355:L355" si="404">H354</f>
        <v>0</v>
      </c>
      <c r="I355" s="52">
        <f t="shared" si="404"/>
        <v>0</v>
      </c>
      <c r="J355" s="51">
        <f t="shared" si="404"/>
        <v>25</v>
      </c>
      <c r="K355" s="52">
        <f t="shared" si="404"/>
        <v>0</v>
      </c>
      <c r="L355" s="52">
        <f t="shared" si="404"/>
        <v>0</v>
      </c>
      <c r="M355" s="51">
        <f>SUM('AP02'!$F355:$L355)</f>
        <v>1035.332018</v>
      </c>
      <c r="N355" s="51">
        <f>O354*('AP02'!$P355-1)</f>
        <v>0</v>
      </c>
      <c r="O355" s="51">
        <f>(O354*'AP02'!$P355)-'AP02'!$G355</f>
        <v>17066.51588</v>
      </c>
      <c r="P355" s="53">
        <f t="shared" si="149"/>
        <v>1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56">
        <f t="shared" si="2"/>
        <v>342</v>
      </c>
      <c r="B356" s="50">
        <f t="shared" si="5"/>
        <v>53652</v>
      </c>
      <c r="C356" s="116">
        <f t="shared" si="126"/>
        <v>0.0775</v>
      </c>
      <c r="D356" s="116">
        <f>((1+'AP02'!$C356)^(1/12))-1</f>
        <v>0.006239681461</v>
      </c>
      <c r="E356" s="51">
        <f t="shared" si="127"/>
        <v>2171.261517</v>
      </c>
      <c r="F356" s="51">
        <f>(O355*'AP02'!$P356)*'AP02'!$D356</f>
        <v>106.4896228</v>
      </c>
      <c r="G356" s="51">
        <f>(O355*'AP02'!$P356)/($I$5-A355)</f>
        <v>898.2376781</v>
      </c>
      <c r="H356" s="52">
        <f t="shared" ref="H356:L356" si="405">H355</f>
        <v>0</v>
      </c>
      <c r="I356" s="52">
        <f t="shared" si="405"/>
        <v>0</v>
      </c>
      <c r="J356" s="51">
        <f t="shared" si="405"/>
        <v>25</v>
      </c>
      <c r="K356" s="52">
        <f t="shared" si="405"/>
        <v>0</v>
      </c>
      <c r="L356" s="52">
        <f t="shared" si="405"/>
        <v>0</v>
      </c>
      <c r="M356" s="51">
        <f>SUM('AP02'!$F356:$L356)</f>
        <v>1029.727301</v>
      </c>
      <c r="N356" s="51">
        <f>O355*('AP02'!$P356-1)</f>
        <v>0</v>
      </c>
      <c r="O356" s="51">
        <f>(O355*'AP02'!$P356)-'AP02'!$G356</f>
        <v>16168.27821</v>
      </c>
      <c r="P356" s="53">
        <f t="shared" si="149"/>
        <v>1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56">
        <f t="shared" si="2"/>
        <v>343</v>
      </c>
      <c r="B357" s="50">
        <f t="shared" si="5"/>
        <v>53682</v>
      </c>
      <c r="C357" s="116">
        <f t="shared" si="126"/>
        <v>0.0775</v>
      </c>
      <c r="D357" s="116">
        <f>((1+'AP02'!$C357)^(1/12))-1</f>
        <v>0.006239681461</v>
      </c>
      <c r="E357" s="51">
        <f t="shared" si="127"/>
        <v>2171.261517</v>
      </c>
      <c r="F357" s="51">
        <f>(O356*'AP02'!$P357)*'AP02'!$D357</f>
        <v>100.8849058</v>
      </c>
      <c r="G357" s="51">
        <f>(O356*'AP02'!$P357)/($I$5-A356)</f>
        <v>898.2376781</v>
      </c>
      <c r="H357" s="52">
        <f t="shared" ref="H357:L357" si="406">H356</f>
        <v>0</v>
      </c>
      <c r="I357" s="52">
        <f t="shared" si="406"/>
        <v>0</v>
      </c>
      <c r="J357" s="51">
        <f t="shared" si="406"/>
        <v>25</v>
      </c>
      <c r="K357" s="52">
        <f t="shared" si="406"/>
        <v>0</v>
      </c>
      <c r="L357" s="52">
        <f t="shared" si="406"/>
        <v>0</v>
      </c>
      <c r="M357" s="51">
        <f>SUM('AP02'!$F357:$L357)</f>
        <v>1024.122584</v>
      </c>
      <c r="N357" s="51">
        <f>O356*('AP02'!$P357-1)</f>
        <v>0</v>
      </c>
      <c r="O357" s="51">
        <f>(O356*'AP02'!$P357)-'AP02'!$G357</f>
        <v>15270.04053</v>
      </c>
      <c r="P357" s="53">
        <f t="shared" si="149"/>
        <v>1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56">
        <f t="shared" si="2"/>
        <v>344</v>
      </c>
      <c r="B358" s="50">
        <f t="shared" si="5"/>
        <v>53713</v>
      </c>
      <c r="C358" s="116">
        <f t="shared" si="126"/>
        <v>0.0775</v>
      </c>
      <c r="D358" s="116">
        <f>((1+'AP02'!$C358)^(1/12))-1</f>
        <v>0.006239681461</v>
      </c>
      <c r="E358" s="51">
        <f t="shared" si="127"/>
        <v>2171.261517</v>
      </c>
      <c r="F358" s="51">
        <f>(O357*'AP02'!$P358)*'AP02'!$D358</f>
        <v>95.2801888</v>
      </c>
      <c r="G358" s="51">
        <f>(O357*'AP02'!$P358)/($I$5-A357)</f>
        <v>898.2376781</v>
      </c>
      <c r="H358" s="52">
        <f t="shared" ref="H358:L358" si="407">H357</f>
        <v>0</v>
      </c>
      <c r="I358" s="52">
        <f t="shared" si="407"/>
        <v>0</v>
      </c>
      <c r="J358" s="51">
        <f t="shared" si="407"/>
        <v>25</v>
      </c>
      <c r="K358" s="52">
        <f t="shared" si="407"/>
        <v>0</v>
      </c>
      <c r="L358" s="52">
        <f t="shared" si="407"/>
        <v>0</v>
      </c>
      <c r="M358" s="51">
        <f>SUM('AP02'!$F358:$L358)</f>
        <v>1018.517867</v>
      </c>
      <c r="N358" s="51">
        <f>O357*('AP02'!$P358-1)</f>
        <v>0</v>
      </c>
      <c r="O358" s="51">
        <f>(O357*'AP02'!$P358)-'AP02'!$G358</f>
        <v>14371.80285</v>
      </c>
      <c r="P358" s="53">
        <f t="shared" si="149"/>
        <v>1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56">
        <f t="shared" si="2"/>
        <v>345</v>
      </c>
      <c r="B359" s="50">
        <f t="shared" si="5"/>
        <v>53744</v>
      </c>
      <c r="C359" s="116">
        <f t="shared" si="126"/>
        <v>0.0775</v>
      </c>
      <c r="D359" s="116">
        <f>((1+'AP02'!$C359)^(1/12))-1</f>
        <v>0.006239681461</v>
      </c>
      <c r="E359" s="51">
        <f t="shared" si="127"/>
        <v>2171.261517</v>
      </c>
      <c r="F359" s="51">
        <f>(O358*'AP02'!$P359)*'AP02'!$D359</f>
        <v>89.67547181</v>
      </c>
      <c r="G359" s="51">
        <f>(O358*'AP02'!$P359)/($I$5-A358)</f>
        <v>898.2376781</v>
      </c>
      <c r="H359" s="52">
        <f t="shared" ref="H359:L359" si="408">H358</f>
        <v>0</v>
      </c>
      <c r="I359" s="52">
        <f t="shared" si="408"/>
        <v>0</v>
      </c>
      <c r="J359" s="51">
        <f t="shared" si="408"/>
        <v>25</v>
      </c>
      <c r="K359" s="52">
        <f t="shared" si="408"/>
        <v>0</v>
      </c>
      <c r="L359" s="52">
        <f t="shared" si="408"/>
        <v>0</v>
      </c>
      <c r="M359" s="51">
        <f>SUM('AP02'!$F359:$L359)</f>
        <v>1012.91315</v>
      </c>
      <c r="N359" s="51">
        <f>O358*('AP02'!$P359-1)</f>
        <v>0</v>
      </c>
      <c r="O359" s="51">
        <f>(O358*'AP02'!$P359)-'AP02'!$G359</f>
        <v>13473.56517</v>
      </c>
      <c r="P359" s="53">
        <f t="shared" si="149"/>
        <v>1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56">
        <f t="shared" si="2"/>
        <v>346</v>
      </c>
      <c r="B360" s="50">
        <f t="shared" si="5"/>
        <v>53772</v>
      </c>
      <c r="C360" s="116">
        <f t="shared" si="126"/>
        <v>0.0775</v>
      </c>
      <c r="D360" s="116">
        <f>((1+'AP02'!$C360)^(1/12))-1</f>
        <v>0.006239681461</v>
      </c>
      <c r="E360" s="51">
        <f t="shared" si="127"/>
        <v>2171.261517</v>
      </c>
      <c r="F360" s="51">
        <f>(O359*'AP02'!$P360)*'AP02'!$D360</f>
        <v>84.07075482</v>
      </c>
      <c r="G360" s="51">
        <f>(O359*'AP02'!$P360)/($I$5-A359)</f>
        <v>898.2376781</v>
      </c>
      <c r="H360" s="52">
        <f t="shared" ref="H360:L360" si="409">H359</f>
        <v>0</v>
      </c>
      <c r="I360" s="52">
        <f t="shared" si="409"/>
        <v>0</v>
      </c>
      <c r="J360" s="51">
        <f t="shared" si="409"/>
        <v>25</v>
      </c>
      <c r="K360" s="52">
        <f t="shared" si="409"/>
        <v>0</v>
      </c>
      <c r="L360" s="52">
        <f t="shared" si="409"/>
        <v>0</v>
      </c>
      <c r="M360" s="51">
        <f>SUM('AP02'!$F360:$L360)</f>
        <v>1007.308433</v>
      </c>
      <c r="N360" s="51">
        <f>O359*('AP02'!$P360-1)</f>
        <v>0</v>
      </c>
      <c r="O360" s="51">
        <f>(O359*'AP02'!$P360)-'AP02'!$G360</f>
        <v>12575.32749</v>
      </c>
      <c r="P360" s="53">
        <f t="shared" si="149"/>
        <v>1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56">
        <f t="shared" si="2"/>
        <v>347</v>
      </c>
      <c r="B361" s="50">
        <f t="shared" si="5"/>
        <v>53803</v>
      </c>
      <c r="C361" s="116">
        <f t="shared" si="126"/>
        <v>0.0775</v>
      </c>
      <c r="D361" s="116">
        <f>((1+'AP02'!$C361)^(1/12))-1</f>
        <v>0.006239681461</v>
      </c>
      <c r="E361" s="51">
        <f t="shared" si="127"/>
        <v>2171.261517</v>
      </c>
      <c r="F361" s="51">
        <f>(O360*'AP02'!$P361)*'AP02'!$D361</f>
        <v>78.46603783</v>
      </c>
      <c r="G361" s="51">
        <f>(O360*'AP02'!$P361)/($I$5-A360)</f>
        <v>898.2376781</v>
      </c>
      <c r="H361" s="52">
        <f t="shared" ref="H361:L361" si="410">H360</f>
        <v>0</v>
      </c>
      <c r="I361" s="52">
        <f t="shared" si="410"/>
        <v>0</v>
      </c>
      <c r="J361" s="51">
        <f t="shared" si="410"/>
        <v>25</v>
      </c>
      <c r="K361" s="52">
        <f t="shared" si="410"/>
        <v>0</v>
      </c>
      <c r="L361" s="52">
        <f t="shared" si="410"/>
        <v>0</v>
      </c>
      <c r="M361" s="51">
        <f>SUM('AP02'!$F361:$L361)</f>
        <v>1001.703716</v>
      </c>
      <c r="N361" s="51">
        <f>O360*('AP02'!$P361-1)</f>
        <v>0</v>
      </c>
      <c r="O361" s="51">
        <f>(O360*'AP02'!$P361)-'AP02'!$G361</f>
        <v>11677.08982</v>
      </c>
      <c r="P361" s="53">
        <f t="shared" si="149"/>
        <v>1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56">
        <f t="shared" si="2"/>
        <v>348</v>
      </c>
      <c r="B362" s="50">
        <f t="shared" si="5"/>
        <v>53833</v>
      </c>
      <c r="C362" s="116">
        <f t="shared" si="126"/>
        <v>0.0775</v>
      </c>
      <c r="D362" s="116">
        <f>((1+'AP02'!$C362)^(1/12))-1</f>
        <v>0.006239681461</v>
      </c>
      <c r="E362" s="51">
        <f t="shared" si="127"/>
        <v>2171.261517</v>
      </c>
      <c r="F362" s="51">
        <f>(O361*'AP02'!$P362)*'AP02'!$D362</f>
        <v>72.86132085</v>
      </c>
      <c r="G362" s="51">
        <f>(O361*'AP02'!$P362)/($I$5-A361)</f>
        <v>898.2376781</v>
      </c>
      <c r="H362" s="52">
        <f t="shared" ref="H362:L362" si="411">H361</f>
        <v>0</v>
      </c>
      <c r="I362" s="52">
        <f t="shared" si="411"/>
        <v>0</v>
      </c>
      <c r="J362" s="51">
        <f t="shared" si="411"/>
        <v>25</v>
      </c>
      <c r="K362" s="52">
        <f t="shared" si="411"/>
        <v>0</v>
      </c>
      <c r="L362" s="52">
        <f t="shared" si="411"/>
        <v>0</v>
      </c>
      <c r="M362" s="51">
        <f>SUM('AP02'!$F362:$L362)</f>
        <v>996.098999</v>
      </c>
      <c r="N362" s="51">
        <f>O361*('AP02'!$P362-1)</f>
        <v>0</v>
      </c>
      <c r="O362" s="51">
        <f>(O361*'AP02'!$P362)-'AP02'!$G362</f>
        <v>10778.85214</v>
      </c>
      <c r="P362" s="53">
        <f t="shared" si="149"/>
        <v>1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56">
        <f t="shared" si="2"/>
        <v>349</v>
      </c>
      <c r="B363" s="50">
        <f t="shared" si="5"/>
        <v>53864</v>
      </c>
      <c r="C363" s="116">
        <f t="shared" si="126"/>
        <v>0.0775</v>
      </c>
      <c r="D363" s="116">
        <f>((1+'AP02'!$C363)^(1/12))-1</f>
        <v>0.006239681461</v>
      </c>
      <c r="E363" s="51">
        <f t="shared" si="127"/>
        <v>2171.261517</v>
      </c>
      <c r="F363" s="51">
        <f>(O362*'AP02'!$P363)*'AP02'!$D363</f>
        <v>67.25660386</v>
      </c>
      <c r="G363" s="51">
        <f>(O362*'AP02'!$P363)/($I$5-A362)</f>
        <v>898.2376781</v>
      </c>
      <c r="H363" s="52">
        <f t="shared" ref="H363:L363" si="412">H362</f>
        <v>0</v>
      </c>
      <c r="I363" s="52">
        <f t="shared" si="412"/>
        <v>0</v>
      </c>
      <c r="J363" s="51">
        <f t="shared" si="412"/>
        <v>25</v>
      </c>
      <c r="K363" s="52">
        <f t="shared" si="412"/>
        <v>0</v>
      </c>
      <c r="L363" s="52">
        <f t="shared" si="412"/>
        <v>0</v>
      </c>
      <c r="M363" s="51">
        <f>SUM('AP02'!$F363:$L363)</f>
        <v>990.494282</v>
      </c>
      <c r="N363" s="51">
        <f>O362*('AP02'!$P363-1)</f>
        <v>0</v>
      </c>
      <c r="O363" s="51">
        <f>(O362*'AP02'!$P363)-'AP02'!$G363</f>
        <v>9880.61446</v>
      </c>
      <c r="P363" s="53">
        <f t="shared" si="149"/>
        <v>1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56">
        <f t="shared" si="2"/>
        <v>350</v>
      </c>
      <c r="B364" s="50">
        <f t="shared" si="5"/>
        <v>53894</v>
      </c>
      <c r="C364" s="116">
        <f t="shared" si="126"/>
        <v>0.0775</v>
      </c>
      <c r="D364" s="116">
        <f>((1+'AP02'!$C364)^(1/12))-1</f>
        <v>0.006239681461</v>
      </c>
      <c r="E364" s="51">
        <f t="shared" si="127"/>
        <v>2171.261517</v>
      </c>
      <c r="F364" s="51">
        <f>(O363*'AP02'!$P364)*'AP02'!$D364</f>
        <v>61.65188687</v>
      </c>
      <c r="G364" s="51">
        <f>(O363*'AP02'!$P364)/($I$5-A363)</f>
        <v>898.2376781</v>
      </c>
      <c r="H364" s="52">
        <f t="shared" ref="H364:L364" si="413">H363</f>
        <v>0</v>
      </c>
      <c r="I364" s="52">
        <f t="shared" si="413"/>
        <v>0</v>
      </c>
      <c r="J364" s="51">
        <f t="shared" si="413"/>
        <v>25</v>
      </c>
      <c r="K364" s="52">
        <f t="shared" si="413"/>
        <v>0</v>
      </c>
      <c r="L364" s="52">
        <f t="shared" si="413"/>
        <v>0</v>
      </c>
      <c r="M364" s="51">
        <f>SUM('AP02'!$F364:$L364)</f>
        <v>984.889565</v>
      </c>
      <c r="N364" s="51">
        <f>O363*('AP02'!$P364-1)</f>
        <v>0</v>
      </c>
      <c r="O364" s="51">
        <f>(O363*'AP02'!$P364)-'AP02'!$G364</f>
        <v>8982.376781</v>
      </c>
      <c r="P364" s="53">
        <f t="shared" si="149"/>
        <v>1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56">
        <f t="shared" si="2"/>
        <v>351</v>
      </c>
      <c r="B365" s="50">
        <f t="shared" si="5"/>
        <v>53925</v>
      </c>
      <c r="C365" s="116">
        <f t="shared" si="126"/>
        <v>0.0775</v>
      </c>
      <c r="D365" s="116">
        <f>((1+'AP02'!$C365)^(1/12))-1</f>
        <v>0.006239681461</v>
      </c>
      <c r="E365" s="51">
        <f t="shared" si="127"/>
        <v>2171.261517</v>
      </c>
      <c r="F365" s="51">
        <f>(O364*'AP02'!$P365)*'AP02'!$D365</f>
        <v>56.04716988</v>
      </c>
      <c r="G365" s="51">
        <f>(O364*'AP02'!$P365)/($I$5-A364)</f>
        <v>898.2376781</v>
      </c>
      <c r="H365" s="52">
        <f t="shared" ref="H365:L365" si="414">H364</f>
        <v>0</v>
      </c>
      <c r="I365" s="52">
        <f t="shared" si="414"/>
        <v>0</v>
      </c>
      <c r="J365" s="51">
        <f t="shared" si="414"/>
        <v>25</v>
      </c>
      <c r="K365" s="52">
        <f t="shared" si="414"/>
        <v>0</v>
      </c>
      <c r="L365" s="52">
        <f t="shared" si="414"/>
        <v>0</v>
      </c>
      <c r="M365" s="51">
        <f>SUM('AP02'!$F365:$L365)</f>
        <v>979.284848</v>
      </c>
      <c r="N365" s="51">
        <f>O364*('AP02'!$P365-1)</f>
        <v>0</v>
      </c>
      <c r="O365" s="51">
        <f>(O364*'AP02'!$P365)-'AP02'!$G365</f>
        <v>8084.139103</v>
      </c>
      <c r="P365" s="53">
        <f t="shared" si="149"/>
        <v>1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56">
        <f t="shared" si="2"/>
        <v>352</v>
      </c>
      <c r="B366" s="50">
        <f t="shared" si="5"/>
        <v>53956</v>
      </c>
      <c r="C366" s="116">
        <f t="shared" si="126"/>
        <v>0.0775</v>
      </c>
      <c r="D366" s="116">
        <f>((1+'AP02'!$C366)^(1/12))-1</f>
        <v>0.006239681461</v>
      </c>
      <c r="E366" s="51">
        <f t="shared" si="127"/>
        <v>2171.261517</v>
      </c>
      <c r="F366" s="51">
        <f>(O365*'AP02'!$P366)*'AP02'!$D366</f>
        <v>50.44245289</v>
      </c>
      <c r="G366" s="51">
        <f>(O365*'AP02'!$P366)/($I$5-A365)</f>
        <v>898.2376781</v>
      </c>
      <c r="H366" s="52">
        <f t="shared" ref="H366:L366" si="415">H365</f>
        <v>0</v>
      </c>
      <c r="I366" s="52">
        <f t="shared" si="415"/>
        <v>0</v>
      </c>
      <c r="J366" s="51">
        <f t="shared" si="415"/>
        <v>25</v>
      </c>
      <c r="K366" s="52">
        <f t="shared" si="415"/>
        <v>0</v>
      </c>
      <c r="L366" s="52">
        <f t="shared" si="415"/>
        <v>0</v>
      </c>
      <c r="M366" s="51">
        <f>SUM('AP02'!$F366:$L366)</f>
        <v>973.680131</v>
      </c>
      <c r="N366" s="51">
        <f>O365*('AP02'!$P366-1)</f>
        <v>0</v>
      </c>
      <c r="O366" s="51">
        <f>(O365*'AP02'!$P366)-'AP02'!$G366</f>
        <v>7185.901425</v>
      </c>
      <c r="P366" s="53">
        <f t="shared" si="149"/>
        <v>1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56">
        <f t="shared" si="2"/>
        <v>353</v>
      </c>
      <c r="B367" s="50">
        <f t="shared" si="5"/>
        <v>53986</v>
      </c>
      <c r="C367" s="116">
        <f t="shared" si="126"/>
        <v>0.0775</v>
      </c>
      <c r="D367" s="116">
        <f>((1+'AP02'!$C367)^(1/12))-1</f>
        <v>0.006239681461</v>
      </c>
      <c r="E367" s="51">
        <f t="shared" si="127"/>
        <v>2171.261517</v>
      </c>
      <c r="F367" s="51">
        <f>(O366*'AP02'!$P367)*'AP02'!$D367</f>
        <v>44.83773591</v>
      </c>
      <c r="G367" s="51">
        <f>(O366*'AP02'!$P367)/($I$5-A366)</f>
        <v>898.2376781</v>
      </c>
      <c r="H367" s="52">
        <f t="shared" ref="H367:L367" si="416">H366</f>
        <v>0</v>
      </c>
      <c r="I367" s="52">
        <f t="shared" si="416"/>
        <v>0</v>
      </c>
      <c r="J367" s="51">
        <f t="shared" si="416"/>
        <v>25</v>
      </c>
      <c r="K367" s="52">
        <f t="shared" si="416"/>
        <v>0</v>
      </c>
      <c r="L367" s="52">
        <f t="shared" si="416"/>
        <v>0</v>
      </c>
      <c r="M367" s="51">
        <f>SUM('AP02'!$F367:$L367)</f>
        <v>968.0754141</v>
      </c>
      <c r="N367" s="51">
        <f>O366*('AP02'!$P367-1)</f>
        <v>0</v>
      </c>
      <c r="O367" s="51">
        <f>(O366*'AP02'!$P367)-'AP02'!$G367</f>
        <v>6287.663747</v>
      </c>
      <c r="P367" s="53">
        <f t="shared" si="149"/>
        <v>1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56">
        <f t="shared" si="2"/>
        <v>354</v>
      </c>
      <c r="B368" s="50">
        <f t="shared" si="5"/>
        <v>54017</v>
      </c>
      <c r="C368" s="116">
        <f t="shared" si="126"/>
        <v>0.0775</v>
      </c>
      <c r="D368" s="116">
        <f>((1+'AP02'!$C368)^(1/12))-1</f>
        <v>0.006239681461</v>
      </c>
      <c r="E368" s="51">
        <f t="shared" si="127"/>
        <v>2171.261517</v>
      </c>
      <c r="F368" s="51">
        <f>(O367*'AP02'!$P368)*'AP02'!$D368</f>
        <v>39.23301892</v>
      </c>
      <c r="G368" s="51">
        <f>(O367*'AP02'!$P368)/($I$5-A367)</f>
        <v>898.2376781</v>
      </c>
      <c r="H368" s="52">
        <f t="shared" ref="H368:L368" si="417">H367</f>
        <v>0</v>
      </c>
      <c r="I368" s="52">
        <f t="shared" si="417"/>
        <v>0</v>
      </c>
      <c r="J368" s="51">
        <f t="shared" si="417"/>
        <v>25</v>
      </c>
      <c r="K368" s="52">
        <f t="shared" si="417"/>
        <v>0</v>
      </c>
      <c r="L368" s="52">
        <f t="shared" si="417"/>
        <v>0</v>
      </c>
      <c r="M368" s="51">
        <f>SUM('AP02'!$F368:$L368)</f>
        <v>962.4706971</v>
      </c>
      <c r="N368" s="51">
        <f>O367*('AP02'!$P368-1)</f>
        <v>0</v>
      </c>
      <c r="O368" s="51">
        <f>(O367*'AP02'!$P368)-'AP02'!$G368</f>
        <v>5389.426069</v>
      </c>
      <c r="P368" s="53">
        <f t="shared" si="149"/>
        <v>1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56">
        <f t="shared" si="2"/>
        <v>355</v>
      </c>
      <c r="B369" s="50">
        <f t="shared" si="5"/>
        <v>54047</v>
      </c>
      <c r="C369" s="116">
        <f t="shared" si="126"/>
        <v>0.0775</v>
      </c>
      <c r="D369" s="116">
        <f>((1+'AP02'!$C369)^(1/12))-1</f>
        <v>0.006239681461</v>
      </c>
      <c r="E369" s="51">
        <f t="shared" si="127"/>
        <v>2171.261517</v>
      </c>
      <c r="F369" s="51">
        <f>(O368*'AP02'!$P369)*'AP02'!$D369</f>
        <v>33.62830193</v>
      </c>
      <c r="G369" s="51">
        <f>(O368*'AP02'!$P369)/($I$5-A368)</f>
        <v>898.2376781</v>
      </c>
      <c r="H369" s="52">
        <f t="shared" ref="H369:L369" si="418">H368</f>
        <v>0</v>
      </c>
      <c r="I369" s="52">
        <f t="shared" si="418"/>
        <v>0</v>
      </c>
      <c r="J369" s="51">
        <f t="shared" si="418"/>
        <v>25</v>
      </c>
      <c r="K369" s="52">
        <f t="shared" si="418"/>
        <v>0</v>
      </c>
      <c r="L369" s="52">
        <f t="shared" si="418"/>
        <v>0</v>
      </c>
      <c r="M369" s="51">
        <f>SUM('AP02'!$F369:$L369)</f>
        <v>956.8659801</v>
      </c>
      <c r="N369" s="51">
        <f>O368*('AP02'!$P369-1)</f>
        <v>0</v>
      </c>
      <c r="O369" s="51">
        <f>(O368*'AP02'!$P369)-'AP02'!$G369</f>
        <v>4491.188391</v>
      </c>
      <c r="P369" s="53">
        <f t="shared" si="149"/>
        <v>1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56">
        <f t="shared" si="2"/>
        <v>356</v>
      </c>
      <c r="B370" s="50">
        <f t="shared" si="5"/>
        <v>54078</v>
      </c>
      <c r="C370" s="116">
        <f t="shared" si="126"/>
        <v>0.0775</v>
      </c>
      <c r="D370" s="116">
        <f>((1+'AP02'!$C370)^(1/12))-1</f>
        <v>0.006239681461</v>
      </c>
      <c r="E370" s="51">
        <f t="shared" si="127"/>
        <v>2171.261517</v>
      </c>
      <c r="F370" s="51">
        <f>(O369*'AP02'!$P370)*'AP02'!$D370</f>
        <v>28.02358494</v>
      </c>
      <c r="G370" s="51">
        <f>(O369*'AP02'!$P370)/($I$5-A369)</f>
        <v>898.2376781</v>
      </c>
      <c r="H370" s="52">
        <f t="shared" ref="H370:L370" si="419">H369</f>
        <v>0</v>
      </c>
      <c r="I370" s="52">
        <f t="shared" si="419"/>
        <v>0</v>
      </c>
      <c r="J370" s="51">
        <f t="shared" si="419"/>
        <v>25</v>
      </c>
      <c r="K370" s="52">
        <f t="shared" si="419"/>
        <v>0</v>
      </c>
      <c r="L370" s="52">
        <f t="shared" si="419"/>
        <v>0</v>
      </c>
      <c r="M370" s="51">
        <f>SUM('AP02'!$F370:$L370)</f>
        <v>951.2612631</v>
      </c>
      <c r="N370" s="51">
        <f>O369*('AP02'!$P370-1)</f>
        <v>0</v>
      </c>
      <c r="O370" s="51">
        <f>(O369*'AP02'!$P370)-'AP02'!$G370</f>
        <v>3592.950713</v>
      </c>
      <c r="P370" s="53">
        <f t="shared" si="149"/>
        <v>1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56">
        <f t="shared" si="2"/>
        <v>357</v>
      </c>
      <c r="B371" s="50">
        <f t="shared" si="5"/>
        <v>54109</v>
      </c>
      <c r="C371" s="116">
        <f t="shared" si="126"/>
        <v>0.0775</v>
      </c>
      <c r="D371" s="116">
        <f>((1+'AP02'!$C371)^(1/12))-1</f>
        <v>0.006239681461</v>
      </c>
      <c r="E371" s="51">
        <f t="shared" si="127"/>
        <v>2171.261517</v>
      </c>
      <c r="F371" s="51">
        <f>(O370*'AP02'!$P371)*'AP02'!$D371</f>
        <v>22.41886795</v>
      </c>
      <c r="G371" s="51">
        <f>(O370*'AP02'!$P371)/($I$5-A370)</f>
        <v>898.2376781</v>
      </c>
      <c r="H371" s="52">
        <f t="shared" ref="H371:L371" si="420">H370</f>
        <v>0</v>
      </c>
      <c r="I371" s="52">
        <f t="shared" si="420"/>
        <v>0</v>
      </c>
      <c r="J371" s="51">
        <f t="shared" si="420"/>
        <v>25</v>
      </c>
      <c r="K371" s="52">
        <f t="shared" si="420"/>
        <v>0</v>
      </c>
      <c r="L371" s="52">
        <f t="shared" si="420"/>
        <v>0</v>
      </c>
      <c r="M371" s="51">
        <f>SUM('AP02'!$F371:$L371)</f>
        <v>945.6565461</v>
      </c>
      <c r="N371" s="51">
        <f>O370*('AP02'!$P371-1)</f>
        <v>0</v>
      </c>
      <c r="O371" s="51">
        <f>(O370*'AP02'!$P371)-'AP02'!$G371</f>
        <v>2694.713034</v>
      </c>
      <c r="P371" s="53">
        <f t="shared" si="149"/>
        <v>1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56">
        <f t="shared" si="2"/>
        <v>358</v>
      </c>
      <c r="B372" s="50">
        <f t="shared" si="5"/>
        <v>54138</v>
      </c>
      <c r="C372" s="116">
        <f t="shared" si="126"/>
        <v>0.0775</v>
      </c>
      <c r="D372" s="116">
        <f>((1+'AP02'!$C372)^(1/12))-1</f>
        <v>0.006239681461</v>
      </c>
      <c r="E372" s="51">
        <f t="shared" si="127"/>
        <v>2171.261517</v>
      </c>
      <c r="F372" s="51">
        <f>(O371*'AP02'!$P372)*'AP02'!$D372</f>
        <v>16.81415096</v>
      </c>
      <c r="G372" s="51">
        <f>(O371*'AP02'!$P372)/($I$5-A371)</f>
        <v>898.2376781</v>
      </c>
      <c r="H372" s="52">
        <f t="shared" ref="H372:L372" si="421">H371</f>
        <v>0</v>
      </c>
      <c r="I372" s="52">
        <f t="shared" si="421"/>
        <v>0</v>
      </c>
      <c r="J372" s="51">
        <f t="shared" si="421"/>
        <v>25</v>
      </c>
      <c r="K372" s="52">
        <f t="shared" si="421"/>
        <v>0</v>
      </c>
      <c r="L372" s="52">
        <f t="shared" si="421"/>
        <v>0</v>
      </c>
      <c r="M372" s="51">
        <f>SUM('AP02'!$F372:$L372)</f>
        <v>940.0518291</v>
      </c>
      <c r="N372" s="51">
        <f>O371*('AP02'!$P372-1)</f>
        <v>0</v>
      </c>
      <c r="O372" s="51">
        <f>(O371*'AP02'!$P372)-'AP02'!$G372</f>
        <v>1796.475356</v>
      </c>
      <c r="P372" s="53">
        <f t="shared" si="149"/>
        <v>1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56">
        <f t="shared" si="2"/>
        <v>359</v>
      </c>
      <c r="B373" s="50">
        <f t="shared" si="5"/>
        <v>54169</v>
      </c>
      <c r="C373" s="116">
        <f t="shared" si="126"/>
        <v>0.0775</v>
      </c>
      <c r="D373" s="116">
        <f>((1+'AP02'!$C373)^(1/12))-1</f>
        <v>0.006239681461</v>
      </c>
      <c r="E373" s="51">
        <f t="shared" si="127"/>
        <v>2171.261517</v>
      </c>
      <c r="F373" s="51">
        <f>(O372*'AP02'!$P373)*'AP02'!$D373</f>
        <v>11.20943398</v>
      </c>
      <c r="G373" s="51">
        <f>(O372*'AP02'!$P373)/($I$5-A372)</f>
        <v>898.2376781</v>
      </c>
      <c r="H373" s="52">
        <f t="shared" ref="H373:L373" si="422">H372</f>
        <v>0</v>
      </c>
      <c r="I373" s="52">
        <f t="shared" si="422"/>
        <v>0</v>
      </c>
      <c r="J373" s="51">
        <f t="shared" si="422"/>
        <v>25</v>
      </c>
      <c r="K373" s="52">
        <f t="shared" si="422"/>
        <v>0</v>
      </c>
      <c r="L373" s="52">
        <f t="shared" si="422"/>
        <v>0</v>
      </c>
      <c r="M373" s="51">
        <f>SUM('AP02'!$F373:$L373)</f>
        <v>934.4471121</v>
      </c>
      <c r="N373" s="51">
        <f>O372*('AP02'!$P373-1)</f>
        <v>0</v>
      </c>
      <c r="O373" s="51">
        <f>(O372*'AP02'!$P373)-'AP02'!$G373</f>
        <v>898.2376781</v>
      </c>
      <c r="P373" s="53">
        <f t="shared" si="149"/>
        <v>1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56">
        <f t="shared" si="2"/>
        <v>360</v>
      </c>
      <c r="B374" s="50">
        <f t="shared" si="5"/>
        <v>54199</v>
      </c>
      <c r="C374" s="116">
        <f t="shared" si="126"/>
        <v>0.0775</v>
      </c>
      <c r="D374" s="116">
        <f>((1+'AP02'!$C374)^(1/12))-1</f>
        <v>0.006239681461</v>
      </c>
      <c r="E374" s="51">
        <f t="shared" si="127"/>
        <v>2171.261517</v>
      </c>
      <c r="F374" s="51">
        <f>(O373*'AP02'!$P374)*'AP02'!$D374</f>
        <v>5.604716988</v>
      </c>
      <c r="G374" s="51">
        <f>(O373*'AP02'!$P374)/($I$5-A373)</f>
        <v>898.2376781</v>
      </c>
      <c r="H374" s="52">
        <f t="shared" ref="H374:L374" si="423">H373</f>
        <v>0</v>
      </c>
      <c r="I374" s="52">
        <f t="shared" si="423"/>
        <v>0</v>
      </c>
      <c r="J374" s="51">
        <f t="shared" si="423"/>
        <v>25</v>
      </c>
      <c r="K374" s="52">
        <f t="shared" si="423"/>
        <v>0</v>
      </c>
      <c r="L374" s="52">
        <f t="shared" si="423"/>
        <v>0</v>
      </c>
      <c r="M374" s="51">
        <f>SUM('AP02'!$F374:$L374)</f>
        <v>928.8423951</v>
      </c>
      <c r="N374" s="51">
        <f>O373*('AP02'!$P374-1)</f>
        <v>0</v>
      </c>
      <c r="O374" s="85">
        <f>(O373*'AP02'!$P374)-'AP02'!$G374</f>
        <v>0</v>
      </c>
      <c r="P374" s="53">
        <f t="shared" si="149"/>
        <v>1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0" customHeight="1">
      <c r="A376" s="86" t="s">
        <v>64</v>
      </c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8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89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1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P1"/>
    <mergeCell ref="T6:Y9"/>
    <mergeCell ref="A376:P377"/>
  </mergeCells>
  <printOptions horizontalCentered="1"/>
  <pageMargins bottom="1.1498958333333333" footer="0.0" header="0.0" left="0.5118110236220472" right="0.5118110236220472" top="1.0547916666666666"/>
  <pageSetup paperSize="9" scale="83" orientation="landscape"/>
  <headerFooter>
    <oddHeader/>
    <oddFooter>&amp;RPágina &amp;P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4.0"/>
    <col customWidth="1" min="3" max="3" width="13.29"/>
    <col customWidth="1" min="4" max="4" width="15.71"/>
    <col customWidth="1" min="5" max="5" width="15.14"/>
    <col customWidth="1" min="6" max="6" width="14.0"/>
    <col customWidth="1" min="7" max="7" width="15.43"/>
    <col customWidth="1" min="8" max="8" width="9.14"/>
    <col customWidth="1" min="9" max="9" width="12.71"/>
    <col customWidth="1" min="10" max="14" width="9.14"/>
    <col customWidth="1" min="15" max="26" width="8.71"/>
  </cols>
  <sheetData>
    <row r="1" ht="18.75" customHeight="1">
      <c r="A1" s="1" t="s">
        <v>65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tr">
        <f>'AP01'!A3</f>
        <v>Requerente: ADRIANA MELO DE OLIVEIRA</v>
      </c>
      <c r="B3" s="6"/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 t="str">
        <f>'AP01'!A4</f>
        <v>Requerido: ITAÚ UNIBANCO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.5" customHeight="1">
      <c r="A5" s="4"/>
      <c r="B5" s="4"/>
      <c r="C5" s="4"/>
      <c r="D5" s="4"/>
      <c r="E5" s="4"/>
      <c r="F5" s="4"/>
      <c r="G5" s="3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4.0" customHeight="1">
      <c r="A6" s="37" t="s">
        <v>21</v>
      </c>
      <c r="B6" s="38" t="s">
        <v>22</v>
      </c>
      <c r="C6" s="39" t="s">
        <v>66</v>
      </c>
      <c r="D6" s="39" t="s">
        <v>67</v>
      </c>
      <c r="E6" s="40" t="s">
        <v>68</v>
      </c>
      <c r="F6" s="40" t="s">
        <v>69</v>
      </c>
      <c r="G6" s="40" t="s">
        <v>70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0">
        <v>0.0</v>
      </c>
      <c r="B7" s="122">
        <f>'AP01'!B14</f>
        <v>43241</v>
      </c>
      <c r="C7" s="122"/>
      <c r="D7" s="123"/>
      <c r="E7" s="123"/>
      <c r="F7" s="123"/>
      <c r="G7" s="124">
        <v>0.0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1">
        <f t="shared" ref="A8:A367" si="1">A7+1</f>
        <v>1</v>
      </c>
      <c r="B8" s="122">
        <f>'AP01'!B15</f>
        <v>43272</v>
      </c>
      <c r="C8" s="42" t="s">
        <v>71</v>
      </c>
      <c r="D8" s="45">
        <v>2714.96</v>
      </c>
      <c r="E8" s="45">
        <f>'AP02'!M15</f>
        <v>2574.7696</v>
      </c>
      <c r="F8" s="45">
        <f>D8-E8</f>
        <v>140.1904</v>
      </c>
      <c r="G8" s="45">
        <f>G7+'AP03'!$F8</f>
        <v>140.1904</v>
      </c>
      <c r="H8" s="4"/>
      <c r="I8" s="112"/>
      <c r="J8" s="4"/>
      <c r="K8" s="84"/>
      <c r="L8" s="4"/>
      <c r="M8" s="84"/>
      <c r="N8" s="5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1">
        <f t="shared" si="1"/>
        <v>2</v>
      </c>
      <c r="B9" s="122">
        <f>'AP01'!B16</f>
        <v>43302</v>
      </c>
      <c r="C9" s="42" t="s">
        <v>71</v>
      </c>
      <c r="D9" s="45">
        <v>2640.04</v>
      </c>
      <c r="E9" s="45">
        <f>'AP02'!M16</f>
        <v>2570.02024</v>
      </c>
      <c r="F9" s="45">
        <f>F8</f>
        <v>140.1904</v>
      </c>
      <c r="G9" s="45">
        <f>G8+'AP03'!$F9</f>
        <v>280.3808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9">
        <f t="shared" si="1"/>
        <v>3</v>
      </c>
      <c r="B10" s="122">
        <f>'AP01'!B17</f>
        <v>43333</v>
      </c>
      <c r="C10" s="50" t="s">
        <v>71</v>
      </c>
      <c r="D10" s="51">
        <v>2635.2</v>
      </c>
      <c r="E10" s="45">
        <f>'AP02'!M17</f>
        <v>2565.27088</v>
      </c>
      <c r="F10" s="51">
        <f t="shared" ref="F10:F367" si="2">D10-E10</f>
        <v>69.92912</v>
      </c>
      <c r="G10" s="45">
        <f>G9+'AP03'!$F10</f>
        <v>350.30992</v>
      </c>
      <c r="H10" s="4"/>
      <c r="I10" s="125"/>
      <c r="J10" s="36"/>
      <c r="K10" s="12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9">
        <f t="shared" si="1"/>
        <v>4</v>
      </c>
      <c r="B11" s="122">
        <f>'AP01'!B18</f>
        <v>43364</v>
      </c>
      <c r="C11" s="50" t="s">
        <v>71</v>
      </c>
      <c r="D11" s="51">
        <v>2630.36</v>
      </c>
      <c r="E11" s="45">
        <f>'AP02'!M18</f>
        <v>2560.52152</v>
      </c>
      <c r="F11" s="51">
        <f t="shared" si="2"/>
        <v>69.83848</v>
      </c>
      <c r="G11" s="45">
        <f>G10+'AP03'!$F11</f>
        <v>420.1484</v>
      </c>
      <c r="H11" s="4"/>
      <c r="I11" s="6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9">
        <f t="shared" si="1"/>
        <v>5</v>
      </c>
      <c r="B12" s="122">
        <f>'AP01'!B19</f>
        <v>43394</v>
      </c>
      <c r="C12" s="50" t="s">
        <v>71</v>
      </c>
      <c r="D12" s="51">
        <v>2625.52</v>
      </c>
      <c r="E12" s="45">
        <f>'AP02'!M19</f>
        <v>2555.77216</v>
      </c>
      <c r="F12" s="51">
        <f t="shared" si="2"/>
        <v>69.74784</v>
      </c>
      <c r="G12" s="45">
        <f>G11+'AP03'!$F12</f>
        <v>489.89624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9">
        <f t="shared" si="1"/>
        <v>6</v>
      </c>
      <c r="B13" s="122">
        <f>'AP01'!B20</f>
        <v>43425</v>
      </c>
      <c r="C13" s="50" t="s">
        <v>71</v>
      </c>
      <c r="D13" s="51">
        <v>2620.69</v>
      </c>
      <c r="E13" s="45">
        <f>'AP02'!M20</f>
        <v>2551.0228</v>
      </c>
      <c r="F13" s="51">
        <f t="shared" si="2"/>
        <v>69.6672</v>
      </c>
      <c r="G13" s="45">
        <f>G12+'AP03'!$F13</f>
        <v>559.56344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9">
        <f t="shared" si="1"/>
        <v>7</v>
      </c>
      <c r="B14" s="122">
        <f>'AP01'!B21</f>
        <v>43455</v>
      </c>
      <c r="C14" s="50" t="s">
        <v>71</v>
      </c>
      <c r="D14" s="51">
        <v>2616.41</v>
      </c>
      <c r="E14" s="45">
        <f>'AP02'!M21</f>
        <v>2546.27344</v>
      </c>
      <c r="F14" s="51">
        <f t="shared" si="2"/>
        <v>70.13656</v>
      </c>
      <c r="G14" s="45">
        <f>G13+'AP03'!$F14</f>
        <v>629.7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9">
        <f t="shared" si="1"/>
        <v>8</v>
      </c>
      <c r="B15" s="122">
        <f>'AP01'!B22</f>
        <v>43486</v>
      </c>
      <c r="C15" s="50" t="s">
        <v>71</v>
      </c>
      <c r="D15" s="51">
        <v>2611.57</v>
      </c>
      <c r="E15" s="45">
        <f>'AP02'!M22</f>
        <v>2541.52408</v>
      </c>
      <c r="F15" s="51">
        <f t="shared" si="2"/>
        <v>70.04592</v>
      </c>
      <c r="G15" s="45">
        <f>G14+'AP03'!$F15</f>
        <v>699.74592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9">
        <f t="shared" si="1"/>
        <v>9</v>
      </c>
      <c r="B16" s="122">
        <f>'AP01'!B23</f>
        <v>43517</v>
      </c>
      <c r="C16" s="50" t="s">
        <v>71</v>
      </c>
      <c r="D16" s="51">
        <v>2606.73</v>
      </c>
      <c r="E16" s="45">
        <f>'AP02'!M23</f>
        <v>2536.77472</v>
      </c>
      <c r="F16" s="51">
        <f t="shared" si="2"/>
        <v>69.95528</v>
      </c>
      <c r="G16" s="45">
        <f>G15+'AP03'!$F16</f>
        <v>769.7012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9">
        <f t="shared" si="1"/>
        <v>10</v>
      </c>
      <c r="B17" s="122">
        <f>'AP01'!B24</f>
        <v>43545</v>
      </c>
      <c r="C17" s="50" t="s">
        <v>71</v>
      </c>
      <c r="D17" s="51">
        <v>2601.89</v>
      </c>
      <c r="E17" s="45">
        <f>'AP02'!M24</f>
        <v>2532.02536</v>
      </c>
      <c r="F17" s="51">
        <f t="shared" si="2"/>
        <v>69.86464</v>
      </c>
      <c r="G17" s="45">
        <f>G16+'AP03'!$F17</f>
        <v>839.56584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9">
        <f t="shared" si="1"/>
        <v>11</v>
      </c>
      <c r="B18" s="122">
        <f>'AP01'!B25</f>
        <v>43576</v>
      </c>
      <c r="C18" s="50" t="s">
        <v>71</v>
      </c>
      <c r="D18" s="51">
        <v>2597.05</v>
      </c>
      <c r="E18" s="45">
        <f>'AP02'!M25</f>
        <v>2527.276</v>
      </c>
      <c r="F18" s="51">
        <f t="shared" si="2"/>
        <v>69.774</v>
      </c>
      <c r="G18" s="45">
        <f>G17+'AP03'!$F18</f>
        <v>909.33984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9">
        <f t="shared" si="1"/>
        <v>12</v>
      </c>
      <c r="B19" s="122">
        <f>'AP01'!B26</f>
        <v>43606</v>
      </c>
      <c r="C19" s="50" t="s">
        <v>71</v>
      </c>
      <c r="D19" s="51">
        <v>2592.21</v>
      </c>
      <c r="E19" s="45">
        <f>'AP02'!M26</f>
        <v>2522.52664</v>
      </c>
      <c r="F19" s="51">
        <f t="shared" si="2"/>
        <v>69.68336</v>
      </c>
      <c r="G19" s="45">
        <f>G18+'AP03'!$F19</f>
        <v>979.0232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9">
        <f t="shared" si="1"/>
        <v>13</v>
      </c>
      <c r="B20" s="122">
        <f>'AP01'!B27</f>
        <v>43637</v>
      </c>
      <c r="C20" s="50" t="s">
        <v>71</v>
      </c>
      <c r="D20" s="51">
        <v>2587.38</v>
      </c>
      <c r="E20" s="45">
        <f>'AP02'!M27</f>
        <v>2517.77728</v>
      </c>
      <c r="F20" s="51">
        <f t="shared" si="2"/>
        <v>69.60272</v>
      </c>
      <c r="G20" s="45">
        <f>G19+'AP03'!$F20</f>
        <v>1048.62592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9">
        <f t="shared" si="1"/>
        <v>14</v>
      </c>
      <c r="B21" s="122">
        <f>'AP01'!B28</f>
        <v>43667</v>
      </c>
      <c r="C21" s="50" t="s">
        <v>71</v>
      </c>
      <c r="D21" s="51">
        <v>2582.54</v>
      </c>
      <c r="E21" s="45">
        <f>'AP02'!M28</f>
        <v>2513.02792</v>
      </c>
      <c r="F21" s="51">
        <f t="shared" si="2"/>
        <v>69.51208</v>
      </c>
      <c r="G21" s="45">
        <f>G20+'AP03'!$F21</f>
        <v>1118.138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9">
        <f t="shared" si="1"/>
        <v>15</v>
      </c>
      <c r="B22" s="122">
        <f>'AP01'!B29</f>
        <v>43698</v>
      </c>
      <c r="C22" s="50" t="s">
        <v>71</v>
      </c>
      <c r="D22" s="51">
        <v>2577.7</v>
      </c>
      <c r="E22" s="45">
        <f>'AP02'!M29</f>
        <v>2508.27856</v>
      </c>
      <c r="F22" s="51">
        <f t="shared" si="2"/>
        <v>69.42144</v>
      </c>
      <c r="G22" s="45">
        <f>G21+'AP03'!$F22</f>
        <v>1187.55944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9">
        <f t="shared" si="1"/>
        <v>16</v>
      </c>
      <c r="B23" s="122">
        <f>'AP01'!B30</f>
        <v>43729</v>
      </c>
      <c r="C23" s="50" t="s">
        <v>71</v>
      </c>
      <c r="D23" s="51">
        <v>2572.86</v>
      </c>
      <c r="E23" s="45">
        <f>'AP02'!M30</f>
        <v>2503.5292</v>
      </c>
      <c r="F23" s="51">
        <f t="shared" si="2"/>
        <v>69.3308</v>
      </c>
      <c r="G23" s="45">
        <f>G22+'AP03'!$F23</f>
        <v>1256.89024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9">
        <f t="shared" si="1"/>
        <v>17</v>
      </c>
      <c r="B24" s="122">
        <f>'AP01'!B31</f>
        <v>43759</v>
      </c>
      <c r="C24" s="50" t="s">
        <v>71</v>
      </c>
      <c r="D24" s="51">
        <v>2568.02</v>
      </c>
      <c r="E24" s="45">
        <f>'AP02'!M31</f>
        <v>2498.77984</v>
      </c>
      <c r="F24" s="51">
        <f t="shared" si="2"/>
        <v>69.24016</v>
      </c>
      <c r="G24" s="45">
        <f>G23+'AP03'!$F24</f>
        <v>1326.1304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9">
        <f t="shared" si="1"/>
        <v>18</v>
      </c>
      <c r="B25" s="122">
        <f>'AP01'!B32</f>
        <v>43790</v>
      </c>
      <c r="C25" s="50" t="s">
        <v>71</v>
      </c>
      <c r="D25" s="51">
        <v>2563.19</v>
      </c>
      <c r="E25" s="45">
        <f>'AP02'!M32</f>
        <v>2494.03048</v>
      </c>
      <c r="F25" s="51">
        <f t="shared" si="2"/>
        <v>69.15952</v>
      </c>
      <c r="G25" s="45">
        <f>G24+'AP03'!$F25</f>
        <v>1395.28992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9">
        <f t="shared" si="1"/>
        <v>19</v>
      </c>
      <c r="B26" s="122">
        <f>'AP01'!B33</f>
        <v>43820</v>
      </c>
      <c r="C26" s="50" t="s">
        <v>71</v>
      </c>
      <c r="D26" s="51">
        <v>2558.98</v>
      </c>
      <c r="E26" s="45">
        <f>'AP02'!M33</f>
        <v>2489.28112</v>
      </c>
      <c r="F26" s="51">
        <f t="shared" si="2"/>
        <v>69.69888</v>
      </c>
      <c r="G26" s="45">
        <f>G25+'AP03'!$F26</f>
        <v>1464.9888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9">
        <f t="shared" si="1"/>
        <v>20</v>
      </c>
      <c r="B27" s="122">
        <f>'AP01'!B34</f>
        <v>43851</v>
      </c>
      <c r="C27" s="50" t="s">
        <v>71</v>
      </c>
      <c r="D27" s="51">
        <v>2554.14</v>
      </c>
      <c r="E27" s="45">
        <f>'AP02'!M34</f>
        <v>2484.53176</v>
      </c>
      <c r="F27" s="51">
        <f t="shared" si="2"/>
        <v>69.60824</v>
      </c>
      <c r="G27" s="45">
        <f>G26+'AP03'!$F27</f>
        <v>1534.59704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9">
        <f t="shared" si="1"/>
        <v>21</v>
      </c>
      <c r="B28" s="122">
        <f>'AP01'!B35</f>
        <v>43882</v>
      </c>
      <c r="C28" s="50" t="s">
        <v>71</v>
      </c>
      <c r="D28" s="51">
        <v>2558.55</v>
      </c>
      <c r="E28" s="45">
        <f>'AP02'!M35</f>
        <v>2479.7824</v>
      </c>
      <c r="F28" s="51">
        <f t="shared" si="2"/>
        <v>78.7676</v>
      </c>
      <c r="G28" s="45">
        <f>G27+'AP03'!$F28</f>
        <v>1613.36464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9">
        <f t="shared" si="1"/>
        <v>22</v>
      </c>
      <c r="B29" s="122">
        <f>'AP01'!B36</f>
        <v>43911</v>
      </c>
      <c r="C29" s="50" t="s">
        <v>71</v>
      </c>
      <c r="D29" s="51">
        <v>2374.56</v>
      </c>
      <c r="E29" s="45">
        <f>'AP02'!M36</f>
        <v>2295.919</v>
      </c>
      <c r="F29" s="51">
        <f t="shared" si="2"/>
        <v>78.641</v>
      </c>
      <c r="G29" s="45">
        <f>G28+'AP03'!$F29</f>
        <v>1692.00564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9">
        <f t="shared" si="1"/>
        <v>23</v>
      </c>
      <c r="B30" s="122">
        <f>'AP01'!B37</f>
        <v>43942</v>
      </c>
      <c r="C30" s="50" t="s">
        <v>71</v>
      </c>
      <c r="D30" s="51">
        <v>2370.23</v>
      </c>
      <c r="E30" s="45">
        <f>'AP02'!M37</f>
        <v>2291.698</v>
      </c>
      <c r="F30" s="51">
        <f t="shared" si="2"/>
        <v>78.532</v>
      </c>
      <c r="G30" s="45">
        <f>G29+'AP03'!$F30</f>
        <v>1770.53764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56">
        <f t="shared" si="1"/>
        <v>24</v>
      </c>
      <c r="B31" s="122">
        <f>'AP01'!B38</f>
        <v>43972</v>
      </c>
      <c r="C31" s="67" t="s">
        <v>71</v>
      </c>
      <c r="D31" s="51">
        <v>2365.89</v>
      </c>
      <c r="E31" s="45">
        <f>'AP02'!M38</f>
        <v>2287.477</v>
      </c>
      <c r="F31" s="69">
        <f t="shared" si="2"/>
        <v>78.413</v>
      </c>
      <c r="G31" s="45">
        <f>G30+'AP03'!$F31</f>
        <v>1848.95064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56">
        <f t="shared" si="1"/>
        <v>25</v>
      </c>
      <c r="B32" s="122">
        <f>'AP01'!B39</f>
        <v>44003</v>
      </c>
      <c r="C32" s="50" t="s">
        <v>71</v>
      </c>
      <c r="D32" s="51">
        <v>2361.55</v>
      </c>
      <c r="E32" s="45">
        <f>'AP02'!M39</f>
        <v>2283.256</v>
      </c>
      <c r="F32" s="51">
        <f t="shared" si="2"/>
        <v>78.294</v>
      </c>
      <c r="G32" s="45">
        <f>G31+'AP03'!$F32</f>
        <v>1927.24464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56">
        <f t="shared" si="1"/>
        <v>26</v>
      </c>
      <c r="B33" s="122">
        <f>'AP01'!B40</f>
        <v>44033</v>
      </c>
      <c r="C33" s="50" t="s">
        <v>71</v>
      </c>
      <c r="D33" s="51">
        <v>2357.21</v>
      </c>
      <c r="E33" s="45">
        <f>'AP02'!M40</f>
        <v>2279.035</v>
      </c>
      <c r="F33" s="51">
        <f t="shared" si="2"/>
        <v>78.175</v>
      </c>
      <c r="G33" s="45">
        <f>G32+'AP03'!$F33</f>
        <v>2005.41964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56">
        <f t="shared" si="1"/>
        <v>27</v>
      </c>
      <c r="B34" s="122">
        <f>'AP01'!B41</f>
        <v>44064</v>
      </c>
      <c r="C34" s="50" t="s">
        <v>71</v>
      </c>
      <c r="D34" s="51">
        <v>2352.88</v>
      </c>
      <c r="E34" s="45">
        <f>'AP02'!M41</f>
        <v>2274.814</v>
      </c>
      <c r="F34" s="51">
        <f t="shared" si="2"/>
        <v>78.066</v>
      </c>
      <c r="G34" s="45">
        <f>G33+'AP03'!$F34</f>
        <v>2083.48564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56">
        <f t="shared" si="1"/>
        <v>28</v>
      </c>
      <c r="B35" s="122">
        <f>'AP01'!B42</f>
        <v>44095</v>
      </c>
      <c r="C35" s="50" t="s">
        <v>71</v>
      </c>
      <c r="D35" s="51">
        <v>2348.54</v>
      </c>
      <c r="E35" s="45">
        <f>'AP02'!M42</f>
        <v>2270.593</v>
      </c>
      <c r="F35" s="51">
        <f t="shared" si="2"/>
        <v>77.947</v>
      </c>
      <c r="G35" s="45">
        <f>G34+'AP03'!$F35</f>
        <v>2161.43264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56">
        <f t="shared" si="1"/>
        <v>29</v>
      </c>
      <c r="B36" s="122">
        <f>'AP01'!B43</f>
        <v>44125</v>
      </c>
      <c r="C36" s="50" t="s">
        <v>71</v>
      </c>
      <c r="D36" s="51">
        <v>2344.34</v>
      </c>
      <c r="E36" s="45">
        <f>'AP02'!M43</f>
        <v>2266.372</v>
      </c>
      <c r="F36" s="51">
        <f t="shared" si="2"/>
        <v>77.968</v>
      </c>
      <c r="G36" s="45">
        <f>G35+'AP03'!$F36</f>
        <v>2239.40064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56">
        <f t="shared" si="1"/>
        <v>30</v>
      </c>
      <c r="B37" s="122">
        <f>'AP01'!B44</f>
        <v>44156</v>
      </c>
      <c r="C37" s="50" t="s">
        <v>71</v>
      </c>
      <c r="D37" s="51">
        <v>2340.0</v>
      </c>
      <c r="E37" s="45">
        <f>'AP02'!M44</f>
        <v>2262.151</v>
      </c>
      <c r="F37" s="51">
        <f t="shared" si="2"/>
        <v>77.849</v>
      </c>
      <c r="G37" s="45">
        <f>G36+'AP03'!$F37</f>
        <v>2317.24964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56">
        <f t="shared" si="1"/>
        <v>31</v>
      </c>
      <c r="B38" s="122">
        <f>'AP01'!B45</f>
        <v>44186</v>
      </c>
      <c r="C38" s="50" t="s">
        <v>71</v>
      </c>
      <c r="D38" s="51">
        <v>2336.59</v>
      </c>
      <c r="E38" s="45">
        <f>'AP02'!M45</f>
        <v>2257.93</v>
      </c>
      <c r="F38" s="51">
        <f t="shared" si="2"/>
        <v>78.66</v>
      </c>
      <c r="G38" s="45">
        <f>G37+'AP03'!$F38</f>
        <v>2395.90964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56">
        <f t="shared" si="1"/>
        <v>32</v>
      </c>
      <c r="B39" s="122">
        <f>'AP01'!B46</f>
        <v>44217</v>
      </c>
      <c r="C39" s="50" t="s">
        <v>71</v>
      </c>
      <c r="D39" s="51">
        <v>2332.25</v>
      </c>
      <c r="E39" s="45">
        <f>'AP02'!M46</f>
        <v>2253.709</v>
      </c>
      <c r="F39" s="51">
        <f t="shared" si="2"/>
        <v>78.541</v>
      </c>
      <c r="G39" s="45">
        <f>G38+'AP03'!$F39</f>
        <v>2474.45064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56">
        <f t="shared" si="1"/>
        <v>33</v>
      </c>
      <c r="B40" s="122">
        <f>'AP01'!B47</f>
        <v>44248</v>
      </c>
      <c r="C40" s="50" t="s">
        <v>71</v>
      </c>
      <c r="D40" s="51">
        <v>2328.53</v>
      </c>
      <c r="E40" s="45">
        <f>'AP02'!M47</f>
        <v>2249.488</v>
      </c>
      <c r="F40" s="51">
        <f t="shared" si="2"/>
        <v>79.042</v>
      </c>
      <c r="G40" s="45">
        <f>G39+'AP03'!$F40</f>
        <v>2553.49264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56">
        <f t="shared" si="1"/>
        <v>34</v>
      </c>
      <c r="B41" s="122">
        <f>'AP01'!B48</f>
        <v>44276</v>
      </c>
      <c r="C41" s="50" t="s">
        <v>71</v>
      </c>
      <c r="D41" s="51">
        <v>2324.19</v>
      </c>
      <c r="E41" s="45">
        <f>'AP02'!M48</f>
        <v>2245.267</v>
      </c>
      <c r="F41" s="51">
        <f t="shared" si="2"/>
        <v>78.923</v>
      </c>
      <c r="G41" s="45">
        <f>G40+'AP03'!$F41</f>
        <v>2632.41564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56">
        <f t="shared" si="1"/>
        <v>35</v>
      </c>
      <c r="B42" s="122">
        <f>'AP01'!B49</f>
        <v>44307</v>
      </c>
      <c r="C42" s="50" t="s">
        <v>71</v>
      </c>
      <c r="D42" s="51">
        <v>2319.85</v>
      </c>
      <c r="E42" s="45">
        <f>'AP02'!M49</f>
        <v>2241.046</v>
      </c>
      <c r="F42" s="51">
        <f t="shared" si="2"/>
        <v>78.804</v>
      </c>
      <c r="G42" s="45">
        <f>G41+'AP03'!$F42</f>
        <v>2711.21964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56">
        <f t="shared" si="1"/>
        <v>36</v>
      </c>
      <c r="B43" s="122">
        <f>'AP01'!B50</f>
        <v>44337</v>
      </c>
      <c r="C43" s="50" t="s">
        <v>71</v>
      </c>
      <c r="D43" s="51">
        <v>2315.51</v>
      </c>
      <c r="E43" s="45">
        <f>'AP02'!M50</f>
        <v>2236.825</v>
      </c>
      <c r="F43" s="51">
        <f t="shared" si="2"/>
        <v>78.685</v>
      </c>
      <c r="G43" s="45">
        <f>G42+'AP03'!$F43</f>
        <v>2789.90464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56">
        <f t="shared" si="1"/>
        <v>37</v>
      </c>
      <c r="B44" s="122">
        <f>'AP01'!B51</f>
        <v>44368</v>
      </c>
      <c r="C44" s="50" t="s">
        <v>71</v>
      </c>
      <c r="D44" s="51">
        <v>2311.16</v>
      </c>
      <c r="E44" s="45">
        <f>'AP02'!M51</f>
        <v>2232.604</v>
      </c>
      <c r="F44" s="51">
        <f t="shared" si="2"/>
        <v>78.556</v>
      </c>
      <c r="G44" s="45">
        <f>G43+'AP03'!$F44</f>
        <v>2868.46064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56">
        <f t="shared" si="1"/>
        <v>38</v>
      </c>
      <c r="B45" s="122">
        <f>'AP01'!B52</f>
        <v>44398</v>
      </c>
      <c r="C45" s="50" t="s">
        <v>71</v>
      </c>
      <c r="D45" s="51">
        <v>2306.81</v>
      </c>
      <c r="E45" s="45">
        <f>'AP02'!M52</f>
        <v>2228.383</v>
      </c>
      <c r="F45" s="51">
        <f t="shared" si="2"/>
        <v>78.427</v>
      </c>
      <c r="G45" s="45">
        <f>G44+'AP03'!$F45</f>
        <v>2946.88764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56">
        <f t="shared" si="1"/>
        <v>39</v>
      </c>
      <c r="B46" s="122">
        <f>'AP01'!B53</f>
        <v>44429</v>
      </c>
      <c r="C46" s="50" t="s">
        <v>71</v>
      </c>
      <c r="D46" s="51">
        <v>2302.47</v>
      </c>
      <c r="E46" s="45">
        <f>'AP02'!M53</f>
        <v>2224.162</v>
      </c>
      <c r="F46" s="51">
        <f t="shared" si="2"/>
        <v>78.308</v>
      </c>
      <c r="G46" s="45">
        <f>G45+'AP03'!$F46</f>
        <v>3025.19564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56">
        <f t="shared" si="1"/>
        <v>40</v>
      </c>
      <c r="B47" s="122">
        <f>'AP01'!B54</f>
        <v>44460</v>
      </c>
      <c r="C47" s="50" t="s">
        <v>71</v>
      </c>
      <c r="D47" s="51">
        <v>2298.13</v>
      </c>
      <c r="E47" s="45">
        <f>'AP02'!M54</f>
        <v>2219.941</v>
      </c>
      <c r="F47" s="51">
        <f t="shared" si="2"/>
        <v>78.189</v>
      </c>
      <c r="G47" s="45">
        <f>G46+'AP03'!$F47</f>
        <v>3103.38464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56">
        <f t="shared" si="1"/>
        <v>41</v>
      </c>
      <c r="B48" s="122">
        <f>'AP01'!B55</f>
        <v>44490</v>
      </c>
      <c r="C48" s="50" t="s">
        <v>71</v>
      </c>
      <c r="D48" s="51">
        <v>2293.79</v>
      </c>
      <c r="E48" s="45">
        <f>'AP02'!M55</f>
        <v>2215.72</v>
      </c>
      <c r="F48" s="51">
        <f t="shared" si="2"/>
        <v>78.07</v>
      </c>
      <c r="G48" s="45">
        <f>G47+'AP03'!$F48</f>
        <v>3181.45464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56">
        <f t="shared" si="1"/>
        <v>42</v>
      </c>
      <c r="B49" s="122">
        <f>'AP01'!B56</f>
        <v>44521</v>
      </c>
      <c r="C49" s="50" t="s">
        <v>71</v>
      </c>
      <c r="D49" s="51">
        <v>2289.44</v>
      </c>
      <c r="E49" s="45">
        <f>'AP02'!M56</f>
        <v>2211.499</v>
      </c>
      <c r="F49" s="51">
        <f t="shared" si="2"/>
        <v>77.941</v>
      </c>
      <c r="G49" s="45">
        <f>G48+'AP03'!$F49</f>
        <v>3259.39564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56">
        <f t="shared" si="1"/>
        <v>43</v>
      </c>
      <c r="B50" s="122">
        <f>'AP01'!B57</f>
        <v>44551</v>
      </c>
      <c r="C50" s="50" t="s">
        <v>71</v>
      </c>
      <c r="D50" s="51">
        <v>2294.47</v>
      </c>
      <c r="E50" s="45">
        <f>'AP02'!M57</f>
        <v>2207.278</v>
      </c>
      <c r="F50" s="51">
        <f t="shared" si="2"/>
        <v>87.192</v>
      </c>
      <c r="G50" s="45">
        <f>G49+'AP03'!$F50</f>
        <v>3346.58764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56">
        <f t="shared" si="1"/>
        <v>44</v>
      </c>
      <c r="B51" s="122">
        <f>'AP01'!B58</f>
        <v>44582</v>
      </c>
      <c r="C51" s="50" t="s">
        <v>71</v>
      </c>
      <c r="D51" s="51">
        <v>2292.79</v>
      </c>
      <c r="E51" s="45">
        <f>'AP02'!M58</f>
        <v>2205.659778</v>
      </c>
      <c r="F51" s="51">
        <f t="shared" si="2"/>
        <v>87.13022189</v>
      </c>
      <c r="G51" s="45">
        <f>G50+'AP03'!$F51</f>
        <v>3433.717862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56">
        <f t="shared" si="1"/>
        <v>45</v>
      </c>
      <c r="B52" s="122">
        <f>'AP01'!B59</f>
        <v>44613</v>
      </c>
      <c r="C52" s="50" t="s">
        <v>71</v>
      </c>
      <c r="D52" s="51">
        <v>2290.94</v>
      </c>
      <c r="E52" s="45">
        <f>'AP02'!M59</f>
        <v>2203.264115</v>
      </c>
      <c r="F52" s="51">
        <f t="shared" si="2"/>
        <v>87.67588521</v>
      </c>
      <c r="G52" s="45">
        <f>G51+'AP03'!$F52</f>
        <v>3521.393747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56">
        <f t="shared" si="1"/>
        <v>46</v>
      </c>
      <c r="B53" s="122">
        <f>'AP01'!B60</f>
        <v>44641</v>
      </c>
      <c r="C53" s="50" t="s">
        <v>71</v>
      </c>
      <c r="D53" s="51">
        <v>2286.56</v>
      </c>
      <c r="E53" s="45">
        <f>'AP02'!M60</f>
        <v>2199.034517</v>
      </c>
      <c r="F53" s="51">
        <f t="shared" si="2"/>
        <v>87.52548341</v>
      </c>
      <c r="G53" s="45">
        <f>G52+'AP03'!$F53</f>
        <v>3608.919231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56">
        <f t="shared" si="1"/>
        <v>47</v>
      </c>
      <c r="B54" s="122">
        <f>'AP01'!B61</f>
        <v>44672</v>
      </c>
      <c r="C54" s="50" t="s">
        <v>71</v>
      </c>
      <c r="D54" s="51">
        <v>2282.17</v>
      </c>
      <c r="E54" s="45">
        <f>'AP02'!M61</f>
        <v>2197.6734</v>
      </c>
      <c r="F54" s="51">
        <f t="shared" si="2"/>
        <v>84.4965995</v>
      </c>
      <c r="G54" s="45">
        <f>G53+'AP03'!$F54</f>
        <v>3693.41583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56">
        <f t="shared" si="1"/>
        <v>48</v>
      </c>
      <c r="B55" s="122">
        <f>'AP01'!B62</f>
        <v>44702</v>
      </c>
      <c r="C55" s="50" t="s">
        <v>71</v>
      </c>
      <c r="D55" s="51">
        <v>2283.71</v>
      </c>
      <c r="E55" s="45">
        <f>'AP02'!M62</f>
        <v>2196.261517</v>
      </c>
      <c r="F55" s="126">
        <f t="shared" si="2"/>
        <v>87.44848268</v>
      </c>
      <c r="G55" s="45">
        <f>G54+'AP03'!$F55</f>
        <v>3780.864313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56">
        <f t="shared" si="1"/>
        <v>49</v>
      </c>
      <c r="B56" s="50">
        <f>'AP01'!B63</f>
        <v>44733</v>
      </c>
      <c r="C56" s="50" t="s">
        <v>71</v>
      </c>
      <c r="D56" s="51">
        <v>2284.69</v>
      </c>
      <c r="E56" s="45">
        <f>'AP02'!M63</f>
        <v>2194.322189</v>
      </c>
      <c r="F56" s="51">
        <f t="shared" si="2"/>
        <v>90.36781052</v>
      </c>
      <c r="G56" s="45">
        <f>G55+'AP03'!$F56</f>
        <v>3871.232123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56">
        <f t="shared" si="1"/>
        <v>50</v>
      </c>
      <c r="B57" s="50">
        <f>'AP01'!B64</f>
        <v>44763</v>
      </c>
      <c r="C57" s="50" t="s">
        <v>71</v>
      </c>
      <c r="D57" s="51">
        <v>2281.63</v>
      </c>
      <c r="E57" s="45">
        <f>'AP02'!M64</f>
        <v>2194.240425</v>
      </c>
      <c r="F57" s="51">
        <f t="shared" si="2"/>
        <v>87.38957506</v>
      </c>
      <c r="G57" s="45">
        <f>G56+'AP03'!$F57</f>
        <v>3958.621698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56">
        <f t="shared" si="1"/>
        <v>51</v>
      </c>
      <c r="B58" s="50">
        <f>'AP01'!B65</f>
        <v>44794</v>
      </c>
      <c r="C58" s="50" t="s">
        <v>71</v>
      </c>
      <c r="D58" s="51">
        <v>2281.94</v>
      </c>
      <c r="E58" s="45">
        <f>'AP02'!M65</f>
        <v>2194.511877</v>
      </c>
      <c r="F58" s="51">
        <f t="shared" si="2"/>
        <v>87.42812322</v>
      </c>
      <c r="G58" s="45">
        <f>G57+'AP03'!$F58</f>
        <v>4046.049821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56">
        <f t="shared" si="1"/>
        <v>52</v>
      </c>
      <c r="B59" s="50">
        <f>'AP01'!B66</f>
        <v>44825</v>
      </c>
      <c r="C59" s="50" t="s">
        <v>71</v>
      </c>
      <c r="D59" s="51">
        <v>2281.56</v>
      </c>
      <c r="E59" s="45">
        <f>'AP02'!M66</f>
        <v>2194.129743</v>
      </c>
      <c r="F59" s="51">
        <f t="shared" si="2"/>
        <v>87.43025656</v>
      </c>
      <c r="G59" s="45">
        <f>G58+'AP03'!$F59</f>
        <v>4133.480078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56">
        <f t="shared" si="1"/>
        <v>53</v>
      </c>
      <c r="B60" s="50">
        <f>'AP01'!B67</f>
        <v>44855</v>
      </c>
      <c r="C60" s="50" t="s">
        <v>71</v>
      </c>
      <c r="D60" s="51">
        <v>2281.26</v>
      </c>
      <c r="E60" s="45">
        <f>'AP02'!M67</f>
        <v>2193.834527</v>
      </c>
      <c r="F60" s="51">
        <f t="shared" si="2"/>
        <v>87.42547251</v>
      </c>
      <c r="G60" s="45">
        <f>G59+'AP03'!$F60</f>
        <v>4220.905551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56">
        <f t="shared" si="1"/>
        <v>54</v>
      </c>
      <c r="B61" s="50">
        <f>'AP01'!B68</f>
        <v>44886</v>
      </c>
      <c r="C61" s="50" t="s">
        <v>71</v>
      </c>
      <c r="D61" s="51">
        <v>2279.39</v>
      </c>
      <c r="E61" s="45">
        <f>'AP02'!M68</f>
        <v>2192.01789</v>
      </c>
      <c r="F61" s="51">
        <f t="shared" si="2"/>
        <v>87.37210959</v>
      </c>
      <c r="G61" s="45">
        <f>G60+'AP03'!$F61</f>
        <v>4308.27766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56">
        <f t="shared" si="1"/>
        <v>55</v>
      </c>
      <c r="B62" s="50">
        <f>'AP01'!B69</f>
        <v>44916</v>
      </c>
      <c r="C62" s="50" t="s">
        <v>71</v>
      </c>
      <c r="D62" s="51">
        <v>2281.2</v>
      </c>
      <c r="E62" s="45">
        <f>'AP02'!M69</f>
        <v>2192.261893</v>
      </c>
      <c r="F62" s="51">
        <f t="shared" si="2"/>
        <v>88.93810658</v>
      </c>
      <c r="G62" s="45">
        <f>G61+'AP03'!$F62</f>
        <v>4397.215767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56">
        <f t="shared" si="1"/>
        <v>56</v>
      </c>
      <c r="B63" s="50">
        <f>'AP01'!B70</f>
        <v>44947</v>
      </c>
      <c r="C63" s="50" t="s">
        <v>71</v>
      </c>
      <c r="D63" s="51">
        <v>2282.16</v>
      </c>
      <c r="E63" s="45">
        <f>'AP02'!M70</f>
        <v>2193.183086</v>
      </c>
      <c r="F63" s="51">
        <f t="shared" si="2"/>
        <v>88.97691352</v>
      </c>
      <c r="G63" s="45">
        <f>G62+'AP03'!$F63</f>
        <v>4486.19268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56">
        <f t="shared" si="1"/>
        <v>57</v>
      </c>
      <c r="B64" s="50">
        <f>'AP01'!B71</f>
        <v>44978</v>
      </c>
      <c r="C64" s="50" t="s">
        <v>71</v>
      </c>
      <c r="D64" s="51">
        <v>2281.76</v>
      </c>
      <c r="E64" s="45">
        <f>'AP02'!M71</f>
        <v>2192.101034</v>
      </c>
      <c r="F64" s="51">
        <f t="shared" si="2"/>
        <v>89.65896643</v>
      </c>
      <c r="G64" s="45">
        <f>G63+'AP03'!$F64</f>
        <v>4575.851647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56">
        <f t="shared" si="1"/>
        <v>58</v>
      </c>
      <c r="B65" s="50">
        <f>'AP01'!B72</f>
        <v>45006</v>
      </c>
      <c r="C65" s="50" t="s">
        <v>71</v>
      </c>
      <c r="D65" s="51">
        <v>2279.74</v>
      </c>
      <c r="E65" s="45">
        <f>'AP02'!M72</f>
        <v>2190.158819</v>
      </c>
      <c r="F65" s="51">
        <f t="shared" si="2"/>
        <v>89.58118053</v>
      </c>
      <c r="G65" s="45">
        <f>G64+'AP03'!$F65</f>
        <v>4665.432827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56">
        <f t="shared" si="1"/>
        <v>59</v>
      </c>
      <c r="B66" s="50">
        <f>'AP01'!B73</f>
        <v>45037</v>
      </c>
      <c r="C66" s="50" t="s">
        <v>71</v>
      </c>
      <c r="D66" s="51">
        <v>2279.98</v>
      </c>
      <c r="E66" s="45">
        <f>'AP02'!M73</f>
        <v>2190.359804</v>
      </c>
      <c r="F66" s="51">
        <f t="shared" si="2"/>
        <v>89.62019629</v>
      </c>
      <c r="G66" s="45">
        <f>G65+'AP03'!$F66</f>
        <v>4755.053023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56">
        <f t="shared" si="1"/>
        <v>60</v>
      </c>
      <c r="B67" s="50">
        <f>'AP01'!B74</f>
        <v>45067</v>
      </c>
      <c r="C67" s="50" t="s">
        <v>71</v>
      </c>
      <c r="D67" s="51">
        <v>2278.01</v>
      </c>
      <c r="E67" s="45">
        <f>'AP02'!M74</f>
        <v>2188.458133</v>
      </c>
      <c r="F67" s="51">
        <f t="shared" si="2"/>
        <v>89.55186653</v>
      </c>
      <c r="G67" s="45">
        <f>G66+'AP03'!$F67</f>
        <v>4844.60489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56">
        <f t="shared" si="1"/>
        <v>61</v>
      </c>
      <c r="B68" s="50">
        <f>'AP01'!B75</f>
        <v>45098</v>
      </c>
      <c r="C68" s="50" t="s">
        <v>71</v>
      </c>
      <c r="D68" s="51">
        <v>2277.54</v>
      </c>
      <c r="E68" s="45">
        <f>'AP02'!M75</f>
        <v>2187.998264</v>
      </c>
      <c r="F68" s="51">
        <f t="shared" si="2"/>
        <v>89.54173565</v>
      </c>
      <c r="G68" s="45">
        <f>G67+'AP03'!$F68</f>
        <v>4934.146626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56">
        <f t="shared" si="1"/>
        <v>62</v>
      </c>
      <c r="B69" s="50">
        <f>'AP01'!B76</f>
        <v>45128</v>
      </c>
      <c r="C69" s="50" t="s">
        <v>71</v>
      </c>
      <c r="D69" s="51">
        <v>2277.54</v>
      </c>
      <c r="E69" s="45">
        <f>'AP02'!M76</f>
        <v>2187.987445</v>
      </c>
      <c r="F69" s="51">
        <f t="shared" si="2"/>
        <v>89.55255502</v>
      </c>
      <c r="G69" s="45">
        <f>G68+'AP03'!$F69</f>
        <v>5023.699181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56">
        <f t="shared" si="1"/>
        <v>63</v>
      </c>
      <c r="B70" s="50">
        <f>'AP01'!B77</f>
        <v>45159</v>
      </c>
      <c r="C70" s="50" t="s">
        <v>71</v>
      </c>
      <c r="D70" s="51">
        <v>3133.63</v>
      </c>
      <c r="E70" s="45">
        <f>'AP02'!M77</f>
        <v>2490.181382</v>
      </c>
      <c r="F70" s="51">
        <f t="shared" si="2"/>
        <v>643.4486181</v>
      </c>
      <c r="G70" s="45">
        <f>G69+'AP03'!$F70</f>
        <v>5667.147799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56">
        <f t="shared" si="1"/>
        <v>64</v>
      </c>
      <c r="B71" s="50">
        <f>'AP01'!B78</f>
        <v>45190</v>
      </c>
      <c r="C71" s="50" t="s">
        <v>71</v>
      </c>
      <c r="D71" s="51">
        <v>3131.76</v>
      </c>
      <c r="E71" s="45">
        <f>'AP02'!M78</f>
        <v>2489.187561</v>
      </c>
      <c r="F71" s="51">
        <f t="shared" si="2"/>
        <v>642.5724394</v>
      </c>
      <c r="G71" s="45">
        <f>G70+'AP03'!$F71</f>
        <v>6309.720238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56">
        <f t="shared" si="1"/>
        <v>65</v>
      </c>
      <c r="B72" s="50">
        <f>'AP01'!B79</f>
        <v>45220</v>
      </c>
      <c r="C72" s="50" t="s">
        <v>71</v>
      </c>
      <c r="D72" s="51">
        <v>3127.92</v>
      </c>
      <c r="E72" s="45">
        <f>'AP02'!M79</f>
        <v>2496.836394</v>
      </c>
      <c r="F72" s="51">
        <f t="shared" si="2"/>
        <v>631.083606</v>
      </c>
      <c r="G72" s="45">
        <f>G71+'AP03'!$F72</f>
        <v>6940.803844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56">
        <f t="shared" si="1"/>
        <v>66</v>
      </c>
      <c r="B73" s="50">
        <f>'AP01'!B80</f>
        <v>45251</v>
      </c>
      <c r="C73" s="50" t="s">
        <v>71</v>
      </c>
      <c r="D73" s="51">
        <v>3122.04</v>
      </c>
      <c r="E73" s="45">
        <f>'AP02'!M80</f>
        <v>2492.644654</v>
      </c>
      <c r="F73" s="51">
        <f t="shared" si="2"/>
        <v>629.3953461</v>
      </c>
      <c r="G73" s="45">
        <f>G72+'AP03'!$F73</f>
        <v>7570.19919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56">
        <f t="shared" si="1"/>
        <v>67</v>
      </c>
      <c r="B74" s="50">
        <f>'AP01'!B81</f>
        <v>45281</v>
      </c>
      <c r="C74" s="50" t="s">
        <v>71</v>
      </c>
      <c r="D74" s="51">
        <v>3120.41</v>
      </c>
      <c r="E74" s="45">
        <f>'AP02'!M81</f>
        <v>2490.368672</v>
      </c>
      <c r="F74" s="51">
        <f t="shared" si="2"/>
        <v>630.0413284</v>
      </c>
      <c r="G74" s="45">
        <f>G73+'AP03'!$F74</f>
        <v>8200.240519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56">
        <f t="shared" si="1"/>
        <v>68</v>
      </c>
      <c r="B75" s="50">
        <f>'AP01'!B82</f>
        <v>45312</v>
      </c>
      <c r="C75" s="50" t="s">
        <v>71</v>
      </c>
      <c r="D75" s="51">
        <v>3114.42</v>
      </c>
      <c r="E75" s="45">
        <f>'AP02'!M82</f>
        <v>2486.08292</v>
      </c>
      <c r="F75" s="51">
        <f t="shared" si="2"/>
        <v>628.3370801</v>
      </c>
      <c r="G75" s="45">
        <f>G74+'AP03'!$F75</f>
        <v>8828.577599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56">
        <f t="shared" si="1"/>
        <v>69</v>
      </c>
      <c r="B76" s="50">
        <f>'AP01'!B83</f>
        <v>45343</v>
      </c>
      <c r="C76" s="50" t="s">
        <v>71</v>
      </c>
      <c r="D76" s="51">
        <v>3109.21</v>
      </c>
      <c r="E76" s="45">
        <f>'AP02'!M83</f>
        <v>2481.579018</v>
      </c>
      <c r="F76" s="51">
        <f t="shared" si="2"/>
        <v>627.6309815</v>
      </c>
      <c r="G76" s="45">
        <f>G75+'AP03'!$F76</f>
        <v>9456.20858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75" customHeight="1">
      <c r="A77" s="127">
        <f t="shared" si="1"/>
        <v>70</v>
      </c>
      <c r="B77" s="128">
        <f>'AP01'!B84</f>
        <v>45372</v>
      </c>
      <c r="C77" s="128" t="s">
        <v>72</v>
      </c>
      <c r="D77" s="129">
        <v>3103.77</v>
      </c>
      <c r="E77" s="130">
        <f>'AP02'!M84</f>
        <v>2477.735632</v>
      </c>
      <c r="F77" s="129">
        <f t="shared" si="2"/>
        <v>626.0343678</v>
      </c>
      <c r="G77" s="130">
        <f>G76+'AP03'!$F77</f>
        <v>10082.24295</v>
      </c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33.75" customHeight="1">
      <c r="A78" s="127">
        <f t="shared" si="1"/>
        <v>71</v>
      </c>
      <c r="B78" s="128">
        <f>'AP01'!B85</f>
        <v>45403</v>
      </c>
      <c r="C78" s="128" t="s">
        <v>72</v>
      </c>
      <c r="D78" s="129">
        <v>3135.52</v>
      </c>
      <c r="E78" s="130">
        <f>'AP02'!M85</f>
        <v>2473.837287</v>
      </c>
      <c r="F78" s="129">
        <f t="shared" si="2"/>
        <v>661.6827126</v>
      </c>
      <c r="G78" s="130">
        <f>G77+'AP03'!$F78</f>
        <v>10743.92566</v>
      </c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8.75" customHeight="1">
      <c r="A79" s="56">
        <f t="shared" si="1"/>
        <v>72</v>
      </c>
      <c r="B79" s="50">
        <f>'AP01'!B86</f>
        <v>45433</v>
      </c>
      <c r="C79" s="50" t="s">
        <v>71</v>
      </c>
      <c r="D79" s="51">
        <v>3977.85</v>
      </c>
      <c r="E79" s="45">
        <f>'AP02'!M86</f>
        <v>2493.047651</v>
      </c>
      <c r="F79" s="51">
        <f t="shared" si="2"/>
        <v>1484.802349</v>
      </c>
      <c r="G79" s="45">
        <f>G78+'AP03'!$F79</f>
        <v>12228.72801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56">
        <f t="shared" si="1"/>
        <v>73</v>
      </c>
      <c r="B80" s="50">
        <f>'AP01'!B87</f>
        <v>45464</v>
      </c>
      <c r="C80" s="50" t="s">
        <v>71</v>
      </c>
      <c r="D80" s="51">
        <v>3898.81</v>
      </c>
      <c r="E80" s="45">
        <f>'AP02'!M87</f>
        <v>2513.813652</v>
      </c>
      <c r="F80" s="51">
        <f t="shared" si="2"/>
        <v>1384.996348</v>
      </c>
      <c r="G80" s="45">
        <f>G79+'AP03'!$F80</f>
        <v>13613.72436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56">
        <f t="shared" si="1"/>
        <v>74</v>
      </c>
      <c r="B81" s="50">
        <f>'AP01'!B88</f>
        <v>45494</v>
      </c>
      <c r="C81" s="50" t="s">
        <v>71</v>
      </c>
      <c r="D81" s="51">
        <v>3822.16</v>
      </c>
      <c r="E81" s="45">
        <f>'AP02'!M88</f>
        <v>2509.883113</v>
      </c>
      <c r="F81" s="51">
        <f t="shared" si="2"/>
        <v>1312.276887</v>
      </c>
      <c r="G81" s="45">
        <f>G80+'AP03'!$F81</f>
        <v>14926.00124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56">
        <f t="shared" si="1"/>
        <v>75</v>
      </c>
      <c r="B82" s="50">
        <f>'AP01'!B89</f>
        <v>45525</v>
      </c>
      <c r="C82" s="50" t="s">
        <v>71</v>
      </c>
      <c r="D82" s="51">
        <v>3745.51</v>
      </c>
      <c r="E82" s="45">
        <f>'AP02'!M89</f>
        <v>2506.082743</v>
      </c>
      <c r="F82" s="51">
        <f t="shared" si="2"/>
        <v>1239.427257</v>
      </c>
      <c r="G82" s="45">
        <f>G81+'AP03'!$F82</f>
        <v>16165.4285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56">
        <f t="shared" si="1"/>
        <v>76</v>
      </c>
      <c r="B83" s="50">
        <f>'AP01'!B90</f>
        <v>45556</v>
      </c>
      <c r="C83" s="50" t="s">
        <v>71</v>
      </c>
      <c r="D83" s="51">
        <v>3670.04</v>
      </c>
      <c r="E83" s="45">
        <f>'AP02'!M90</f>
        <v>2502.36734</v>
      </c>
      <c r="F83" s="51">
        <f t="shared" si="2"/>
        <v>1167.67266</v>
      </c>
      <c r="G83" s="45">
        <f>G82+'AP03'!$F83</f>
        <v>17333.10116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56">
        <f t="shared" si="1"/>
        <v>77</v>
      </c>
      <c r="B84" s="50">
        <f>'AP01'!B91</f>
        <v>45586</v>
      </c>
      <c r="C84" s="50" t="s">
        <v>71</v>
      </c>
      <c r="D84" s="51">
        <v>3596.87</v>
      </c>
      <c r="E84" s="45">
        <f>'AP02'!M91</f>
        <v>2498.44728</v>
      </c>
      <c r="F84" s="51">
        <f t="shared" si="2"/>
        <v>1098.42272</v>
      </c>
      <c r="G84" s="45">
        <f>G83+'AP03'!$F84</f>
        <v>18431.52388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56">
        <f t="shared" si="1"/>
        <v>78</v>
      </c>
      <c r="B85" s="50">
        <f>'AP01'!B92</f>
        <v>45617</v>
      </c>
      <c r="C85" s="50" t="s">
        <v>71</v>
      </c>
      <c r="D85" s="51">
        <v>3523.71</v>
      </c>
      <c r="E85" s="45">
        <f>'AP02'!M92</f>
        <v>2494.664048</v>
      </c>
      <c r="F85" s="51">
        <f t="shared" si="2"/>
        <v>1029.045952</v>
      </c>
      <c r="G85" s="45">
        <f>G84+'AP03'!$F85</f>
        <v>19460.56983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56">
        <f t="shared" si="1"/>
        <v>79</v>
      </c>
      <c r="B86" s="50">
        <f>'AP01'!B93</f>
        <v>45647</v>
      </c>
      <c r="C86" s="50" t="s">
        <v>71</v>
      </c>
      <c r="D86" s="51">
        <v>3455.26</v>
      </c>
      <c r="E86" s="45">
        <f>'AP02'!M93</f>
        <v>2491.554142</v>
      </c>
      <c r="F86" s="51">
        <f t="shared" si="2"/>
        <v>963.7058584</v>
      </c>
      <c r="G86" s="45">
        <f>G85+'AP03'!$F86</f>
        <v>20424.27569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56">
        <f t="shared" si="1"/>
        <v>80</v>
      </c>
      <c r="B87" s="50">
        <f>'AP01'!B94</f>
        <v>45678</v>
      </c>
      <c r="C87" s="50" t="s">
        <v>71</v>
      </c>
      <c r="D87" s="51">
        <v>3384.28</v>
      </c>
      <c r="E87" s="45">
        <f>'AP02'!M94</f>
        <v>2487.945823</v>
      </c>
      <c r="F87" s="51">
        <f t="shared" si="2"/>
        <v>896.3341775</v>
      </c>
      <c r="G87" s="45">
        <f>G86+'AP03'!$F87</f>
        <v>21320.60987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56">
        <f t="shared" si="1"/>
        <v>81</v>
      </c>
      <c r="B88" s="50">
        <f>'AP01'!B95</f>
        <v>45709</v>
      </c>
      <c r="C88" s="50" t="s">
        <v>71</v>
      </c>
      <c r="D88" s="51">
        <v>3326.09</v>
      </c>
      <c r="E88" s="45">
        <f>'AP02'!M95</f>
        <v>2486.571268</v>
      </c>
      <c r="F88" s="51">
        <f t="shared" si="2"/>
        <v>839.5187322</v>
      </c>
      <c r="G88" s="45">
        <f>G87+'AP03'!$F88</f>
        <v>22160.1286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56">
        <f t="shared" si="1"/>
        <v>82</v>
      </c>
      <c r="B89" s="67">
        <f>'AP01'!B96</f>
        <v>45737</v>
      </c>
      <c r="C89" s="67" t="s">
        <v>71</v>
      </c>
      <c r="D89" s="69">
        <v>3260.28</v>
      </c>
      <c r="E89" s="124">
        <f>'AP02'!M96</f>
        <v>2482.804943</v>
      </c>
      <c r="F89" s="69">
        <f t="shared" si="2"/>
        <v>777.4750569</v>
      </c>
      <c r="G89" s="124">
        <f>G88+'AP03'!$F89</f>
        <v>22937.60366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132">
        <f t="shared" si="1"/>
        <v>83</v>
      </c>
      <c r="B90" s="133">
        <f>'AP01'!B97</f>
        <v>45768</v>
      </c>
      <c r="C90" s="133" t="s">
        <v>71</v>
      </c>
      <c r="D90" s="120">
        <v>3127.79</v>
      </c>
      <c r="E90" s="120">
        <f>'AP02'!M97</f>
        <v>2481.349001</v>
      </c>
      <c r="F90" s="120">
        <f t="shared" si="2"/>
        <v>646.4409991</v>
      </c>
      <c r="G90" s="134">
        <f>G89+'AP03'!$F90</f>
        <v>23584.04466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80">
        <f t="shared" si="1"/>
        <v>84</v>
      </c>
      <c r="B91" s="42">
        <f>'AP01'!B98</f>
        <v>45798</v>
      </c>
      <c r="C91" s="42"/>
      <c r="D91" s="45">
        <f>'AP01'!M98</f>
        <v>3120.018658</v>
      </c>
      <c r="E91" s="45">
        <f>'AP02'!M98</f>
        <v>2475.744284</v>
      </c>
      <c r="F91" s="45">
        <f t="shared" si="2"/>
        <v>644.2743746</v>
      </c>
      <c r="G91" s="45">
        <f>G90+'AP03'!$F91</f>
        <v>24228.31903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56">
        <f t="shared" si="1"/>
        <v>85</v>
      </c>
      <c r="B92" s="50">
        <f>'AP01'!B99</f>
        <v>45829</v>
      </c>
      <c r="C92" s="50"/>
      <c r="D92" s="51">
        <f>'AP01'!M99</f>
        <v>3112.251582</v>
      </c>
      <c r="E92" s="45">
        <f>'AP02'!M99</f>
        <v>2470.139567</v>
      </c>
      <c r="F92" s="51">
        <f t="shared" si="2"/>
        <v>642.1120148</v>
      </c>
      <c r="G92" s="45">
        <f>G91+'AP03'!$F92</f>
        <v>24870.43105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56">
        <f t="shared" si="1"/>
        <v>86</v>
      </c>
      <c r="B93" s="50">
        <f>'AP01'!B100</f>
        <v>45859</v>
      </c>
      <c r="C93" s="50"/>
      <c r="D93" s="51">
        <f>'AP01'!M100</f>
        <v>3104.484505</v>
      </c>
      <c r="E93" s="45">
        <f>'AP02'!M100</f>
        <v>2464.53485</v>
      </c>
      <c r="F93" s="51">
        <f t="shared" si="2"/>
        <v>639.9496551</v>
      </c>
      <c r="G93" s="45">
        <f>G92+'AP03'!$F93</f>
        <v>25510.3807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56">
        <f t="shared" si="1"/>
        <v>87</v>
      </c>
      <c r="B94" s="50">
        <f>'AP01'!B101</f>
        <v>45890</v>
      </c>
      <c r="C94" s="50"/>
      <c r="D94" s="51">
        <f>'AP01'!M101</f>
        <v>3096.717428</v>
      </c>
      <c r="E94" s="45">
        <f>'AP02'!M101</f>
        <v>2458.930133</v>
      </c>
      <c r="F94" s="51">
        <f t="shared" si="2"/>
        <v>637.7872953</v>
      </c>
      <c r="G94" s="45">
        <f>G93+'AP03'!$F94</f>
        <v>26148.168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56">
        <f t="shared" si="1"/>
        <v>88</v>
      </c>
      <c r="B95" s="50">
        <f>'AP01'!B102</f>
        <v>45921</v>
      </c>
      <c r="C95" s="50"/>
      <c r="D95" s="51">
        <f>'AP01'!M102</f>
        <v>3088.950351</v>
      </c>
      <c r="E95" s="45">
        <f>'AP02'!M102</f>
        <v>2453.325416</v>
      </c>
      <c r="F95" s="51">
        <f t="shared" si="2"/>
        <v>635.6249355</v>
      </c>
      <c r="G95" s="45">
        <f>G94+'AP03'!$F95</f>
        <v>26783.79293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56">
        <f t="shared" si="1"/>
        <v>89</v>
      </c>
      <c r="B96" s="50">
        <f>'AP01'!B103</f>
        <v>45951</v>
      </c>
      <c r="C96" s="50"/>
      <c r="D96" s="51">
        <f>'AP01'!M103</f>
        <v>3081.183275</v>
      </c>
      <c r="E96" s="45">
        <f>'AP02'!M103</f>
        <v>2447.720699</v>
      </c>
      <c r="F96" s="51">
        <f t="shared" si="2"/>
        <v>633.4625757</v>
      </c>
      <c r="G96" s="45">
        <f>G95+'AP03'!$F96</f>
        <v>27417.25551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56">
        <f t="shared" si="1"/>
        <v>90</v>
      </c>
      <c r="B97" s="50">
        <f>'AP01'!B104</f>
        <v>45982</v>
      </c>
      <c r="C97" s="50"/>
      <c r="D97" s="51">
        <f>'AP01'!M104</f>
        <v>3073.416198</v>
      </c>
      <c r="E97" s="45">
        <f>'AP02'!M104</f>
        <v>2442.115982</v>
      </c>
      <c r="F97" s="51">
        <f t="shared" si="2"/>
        <v>631.3002159</v>
      </c>
      <c r="G97" s="45">
        <f>G96+'AP03'!$F97</f>
        <v>28048.55572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56">
        <f t="shared" si="1"/>
        <v>91</v>
      </c>
      <c r="B98" s="50">
        <f>'AP01'!B105</f>
        <v>46012</v>
      </c>
      <c r="C98" s="50"/>
      <c r="D98" s="51">
        <f>'AP01'!M105</f>
        <v>3078.222692</v>
      </c>
      <c r="E98" s="45">
        <f>'AP02'!M105</f>
        <v>2436.511265</v>
      </c>
      <c r="F98" s="51">
        <f t="shared" si="2"/>
        <v>641.7114266</v>
      </c>
      <c r="G98" s="45">
        <f>G97+'AP03'!$F98</f>
        <v>28690.26715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56">
        <f t="shared" si="1"/>
        <v>92</v>
      </c>
      <c r="B99" s="50">
        <f>'AP01'!B106</f>
        <v>46043</v>
      </c>
      <c r="C99" s="50"/>
      <c r="D99" s="51">
        <f>'AP01'!M106</f>
        <v>3070.409046</v>
      </c>
      <c r="E99" s="45">
        <f>'AP02'!M106</f>
        <v>2430.906548</v>
      </c>
      <c r="F99" s="51">
        <f t="shared" si="2"/>
        <v>639.502498</v>
      </c>
      <c r="G99" s="45">
        <f>G98+'AP03'!$F99</f>
        <v>29329.76965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56">
        <f t="shared" si="1"/>
        <v>93</v>
      </c>
      <c r="B100" s="50">
        <f>'AP01'!B107</f>
        <v>46074</v>
      </c>
      <c r="C100" s="50"/>
      <c r="D100" s="51">
        <f>'AP01'!M107</f>
        <v>3062.5954</v>
      </c>
      <c r="E100" s="45">
        <f>'AP02'!M107</f>
        <v>2425.301831</v>
      </c>
      <c r="F100" s="51">
        <f t="shared" si="2"/>
        <v>637.2935694</v>
      </c>
      <c r="G100" s="45">
        <f>G99+'AP03'!$F100</f>
        <v>29967.06322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56">
        <f t="shared" si="1"/>
        <v>94</v>
      </c>
      <c r="B101" s="50">
        <f>'AP01'!B108</f>
        <v>46102</v>
      </c>
      <c r="C101" s="50"/>
      <c r="D101" s="51">
        <f>'AP01'!M108</f>
        <v>3054.781755</v>
      </c>
      <c r="E101" s="45">
        <f>'AP02'!M108</f>
        <v>2419.697114</v>
      </c>
      <c r="F101" s="51">
        <f t="shared" si="2"/>
        <v>635.0846409</v>
      </c>
      <c r="G101" s="45">
        <f>G100+'AP03'!$F101</f>
        <v>30602.14786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56">
        <f t="shared" si="1"/>
        <v>95</v>
      </c>
      <c r="B102" s="50">
        <f>'AP01'!B109</f>
        <v>46133</v>
      </c>
      <c r="C102" s="50"/>
      <c r="D102" s="51">
        <f>'AP01'!M109</f>
        <v>3046.968109</v>
      </c>
      <c r="E102" s="45">
        <f>'AP02'!M109</f>
        <v>2414.092397</v>
      </c>
      <c r="F102" s="51">
        <f t="shared" si="2"/>
        <v>632.8757123</v>
      </c>
      <c r="G102" s="45">
        <f>G101+'AP03'!$F102</f>
        <v>31235.02357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6">
        <f t="shared" si="1"/>
        <v>96</v>
      </c>
      <c r="B103" s="50">
        <f>'AP01'!B110</f>
        <v>46163</v>
      </c>
      <c r="C103" s="50"/>
      <c r="D103" s="51">
        <f>'AP01'!M110</f>
        <v>3039.154464</v>
      </c>
      <c r="E103" s="45">
        <f>'AP02'!M110</f>
        <v>2408.48768</v>
      </c>
      <c r="F103" s="51">
        <f t="shared" si="2"/>
        <v>630.6667838</v>
      </c>
      <c r="G103" s="45">
        <f>G102+'AP03'!$F103</f>
        <v>31865.69036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56">
        <f t="shared" si="1"/>
        <v>97</v>
      </c>
      <c r="B104" s="50">
        <f>'AP01'!B111</f>
        <v>46194</v>
      </c>
      <c r="C104" s="50"/>
      <c r="D104" s="51">
        <f>'AP01'!M111</f>
        <v>3031.340818</v>
      </c>
      <c r="E104" s="45">
        <f>'AP02'!M111</f>
        <v>2402.882963</v>
      </c>
      <c r="F104" s="51">
        <f t="shared" si="2"/>
        <v>628.4578552</v>
      </c>
      <c r="G104" s="45">
        <f>G103+'AP03'!$F104</f>
        <v>32494.14821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56">
        <f t="shared" si="1"/>
        <v>98</v>
      </c>
      <c r="B105" s="50">
        <f>'AP01'!B112</f>
        <v>46224</v>
      </c>
      <c r="C105" s="50"/>
      <c r="D105" s="51">
        <f>'AP01'!M112</f>
        <v>3023.527173</v>
      </c>
      <c r="E105" s="45">
        <f>'AP02'!M112</f>
        <v>2397.278246</v>
      </c>
      <c r="F105" s="51">
        <f t="shared" si="2"/>
        <v>626.2489267</v>
      </c>
      <c r="G105" s="45">
        <f>G104+'AP03'!$F105</f>
        <v>33120.39714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56">
        <f t="shared" si="1"/>
        <v>99</v>
      </c>
      <c r="B106" s="50">
        <f>'AP01'!B113</f>
        <v>46255</v>
      </c>
      <c r="C106" s="50"/>
      <c r="D106" s="51">
        <f>'AP01'!M113</f>
        <v>3015.713527</v>
      </c>
      <c r="E106" s="45">
        <f>'AP02'!M113</f>
        <v>2391.673529</v>
      </c>
      <c r="F106" s="51">
        <f t="shared" si="2"/>
        <v>624.0399981</v>
      </c>
      <c r="G106" s="45">
        <f>G105+'AP03'!$F106</f>
        <v>33744.43714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56">
        <f t="shared" si="1"/>
        <v>100</v>
      </c>
      <c r="B107" s="50">
        <f>'AP01'!B114</f>
        <v>46286</v>
      </c>
      <c r="C107" s="50"/>
      <c r="D107" s="51">
        <f>'AP01'!M114</f>
        <v>3007.899882</v>
      </c>
      <c r="E107" s="45">
        <f>'AP02'!M114</f>
        <v>2386.068812</v>
      </c>
      <c r="F107" s="51">
        <f t="shared" si="2"/>
        <v>621.8310695</v>
      </c>
      <c r="G107" s="45">
        <f>G106+'AP03'!$F107</f>
        <v>34366.2682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56">
        <f t="shared" si="1"/>
        <v>101</v>
      </c>
      <c r="B108" s="50">
        <f>'AP01'!B115</f>
        <v>46316</v>
      </c>
      <c r="C108" s="50"/>
      <c r="D108" s="51">
        <f>'AP01'!M115</f>
        <v>3000.086236</v>
      </c>
      <c r="E108" s="45">
        <f>'AP02'!M115</f>
        <v>2380.464095</v>
      </c>
      <c r="F108" s="51">
        <f t="shared" si="2"/>
        <v>619.622141</v>
      </c>
      <c r="G108" s="45">
        <f>G107+'AP03'!$F108</f>
        <v>34985.89035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56">
        <f t="shared" si="1"/>
        <v>102</v>
      </c>
      <c r="B109" s="50">
        <f>'AP01'!B116</f>
        <v>46347</v>
      </c>
      <c r="C109" s="50"/>
      <c r="D109" s="51">
        <f>'AP01'!M116</f>
        <v>2992.272591</v>
      </c>
      <c r="E109" s="45">
        <f>'AP02'!M116</f>
        <v>2374.859378</v>
      </c>
      <c r="F109" s="51">
        <f t="shared" si="2"/>
        <v>617.4132124</v>
      </c>
      <c r="G109" s="45">
        <f>G108+'AP03'!$F109</f>
        <v>35603.30356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56">
        <f t="shared" si="1"/>
        <v>103</v>
      </c>
      <c r="B110" s="50">
        <f>'AP01'!B117</f>
        <v>46377</v>
      </c>
      <c r="C110" s="50"/>
      <c r="D110" s="51">
        <f>'AP01'!M117</f>
        <v>2986.927937</v>
      </c>
      <c r="E110" s="45">
        <f>'AP02'!M117</f>
        <v>2369.254661</v>
      </c>
      <c r="F110" s="51">
        <f t="shared" si="2"/>
        <v>617.6732759</v>
      </c>
      <c r="G110" s="45">
        <f>G109+'AP03'!$F110</f>
        <v>36220.97683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56">
        <f t="shared" si="1"/>
        <v>104</v>
      </c>
      <c r="B111" s="50">
        <f>'AP01'!B118</f>
        <v>46408</v>
      </c>
      <c r="C111" s="50"/>
      <c r="D111" s="51">
        <f>'AP01'!M118</f>
        <v>2979.104722</v>
      </c>
      <c r="E111" s="45">
        <f>'AP02'!M118</f>
        <v>2363.649944</v>
      </c>
      <c r="F111" s="51">
        <f t="shared" si="2"/>
        <v>615.4547776</v>
      </c>
      <c r="G111" s="45">
        <f>G110+'AP03'!$F111</f>
        <v>36836.43161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56">
        <f t="shared" si="1"/>
        <v>105</v>
      </c>
      <c r="B112" s="50">
        <f>'AP01'!B119</f>
        <v>46439</v>
      </c>
      <c r="C112" s="50"/>
      <c r="D112" s="51">
        <f>'AP01'!M119</f>
        <v>2971.281506</v>
      </c>
      <c r="E112" s="45">
        <f>'AP02'!M119</f>
        <v>2358.045227</v>
      </c>
      <c r="F112" s="51">
        <f t="shared" si="2"/>
        <v>613.2362793</v>
      </c>
      <c r="G112" s="45">
        <f>G111+'AP03'!$F112</f>
        <v>37449.66789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56">
        <f t="shared" si="1"/>
        <v>106</v>
      </c>
      <c r="B113" s="50">
        <f>'AP01'!B120</f>
        <v>46467</v>
      </c>
      <c r="C113" s="50"/>
      <c r="D113" s="51">
        <f>'AP01'!M120</f>
        <v>2963.458291</v>
      </c>
      <c r="E113" s="45">
        <f>'AP02'!M120</f>
        <v>2352.44051</v>
      </c>
      <c r="F113" s="51">
        <f t="shared" si="2"/>
        <v>611.017781</v>
      </c>
      <c r="G113" s="45">
        <f>G112+'AP03'!$F113</f>
        <v>38060.68567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56">
        <f t="shared" si="1"/>
        <v>107</v>
      </c>
      <c r="B114" s="50">
        <f>'AP01'!B121</f>
        <v>46498</v>
      </c>
      <c r="C114" s="50"/>
      <c r="D114" s="51">
        <f>'AP01'!M121</f>
        <v>2955.635076</v>
      </c>
      <c r="E114" s="45">
        <f>'AP02'!M121</f>
        <v>2346.835793</v>
      </c>
      <c r="F114" s="51">
        <f t="shared" si="2"/>
        <v>608.7992827</v>
      </c>
      <c r="G114" s="45">
        <f>G113+'AP03'!$F114</f>
        <v>38669.48495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56">
        <f t="shared" si="1"/>
        <v>108</v>
      </c>
      <c r="B115" s="50">
        <f>'AP01'!B122</f>
        <v>46528</v>
      </c>
      <c r="C115" s="50"/>
      <c r="D115" s="51">
        <f>'AP01'!M122</f>
        <v>2947.811861</v>
      </c>
      <c r="E115" s="45">
        <f>'AP02'!M122</f>
        <v>2341.231076</v>
      </c>
      <c r="F115" s="51">
        <f t="shared" si="2"/>
        <v>606.5807844</v>
      </c>
      <c r="G115" s="45">
        <f>G114+'AP03'!$F115</f>
        <v>39276.06574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56">
        <f t="shared" si="1"/>
        <v>109</v>
      </c>
      <c r="B116" s="50">
        <f>'AP01'!B123</f>
        <v>46559</v>
      </c>
      <c r="C116" s="50"/>
      <c r="D116" s="51">
        <f>'AP01'!M123</f>
        <v>2939.988645</v>
      </c>
      <c r="E116" s="45">
        <f>'AP02'!M123</f>
        <v>2335.626359</v>
      </c>
      <c r="F116" s="51">
        <f t="shared" si="2"/>
        <v>604.3622861</v>
      </c>
      <c r="G116" s="45">
        <f>G115+'AP03'!$F116</f>
        <v>39880.42803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56">
        <f t="shared" si="1"/>
        <v>110</v>
      </c>
      <c r="B117" s="50">
        <f>'AP01'!B124</f>
        <v>46589</v>
      </c>
      <c r="C117" s="50"/>
      <c r="D117" s="51">
        <f>'AP01'!M124</f>
        <v>2932.16543</v>
      </c>
      <c r="E117" s="45">
        <f>'AP02'!M124</f>
        <v>2330.021642</v>
      </c>
      <c r="F117" s="51">
        <f t="shared" si="2"/>
        <v>602.1437878</v>
      </c>
      <c r="G117" s="45">
        <f>G116+'AP03'!$F117</f>
        <v>40482.57181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56">
        <f t="shared" si="1"/>
        <v>111</v>
      </c>
      <c r="B118" s="50">
        <f>'AP01'!B125</f>
        <v>46620</v>
      </c>
      <c r="C118" s="50"/>
      <c r="D118" s="51">
        <f>'AP01'!M125</f>
        <v>2924.342215</v>
      </c>
      <c r="E118" s="45">
        <f>'AP02'!M125</f>
        <v>2324.416925</v>
      </c>
      <c r="F118" s="51">
        <f t="shared" si="2"/>
        <v>599.9252895</v>
      </c>
      <c r="G118" s="45">
        <f>G117+'AP03'!$F118</f>
        <v>41082.4971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56">
        <f t="shared" si="1"/>
        <v>112</v>
      </c>
      <c r="B119" s="50">
        <f>'AP01'!B126</f>
        <v>46651</v>
      </c>
      <c r="C119" s="50"/>
      <c r="D119" s="51">
        <f>'AP01'!M126</f>
        <v>2916.518999</v>
      </c>
      <c r="E119" s="45">
        <f>'AP02'!M126</f>
        <v>2318.812208</v>
      </c>
      <c r="F119" s="51">
        <f t="shared" si="2"/>
        <v>597.7067913</v>
      </c>
      <c r="G119" s="45">
        <f>G118+'AP03'!$F119</f>
        <v>41680.20389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6">
        <f t="shared" si="1"/>
        <v>113</v>
      </c>
      <c r="B120" s="50">
        <f>'AP01'!B127</f>
        <v>46681</v>
      </c>
      <c r="C120" s="50"/>
      <c r="D120" s="51">
        <f>'AP01'!M127</f>
        <v>2908.695784</v>
      </c>
      <c r="E120" s="45">
        <f>'AP02'!M127</f>
        <v>2313.207491</v>
      </c>
      <c r="F120" s="51">
        <f t="shared" si="2"/>
        <v>595.488293</v>
      </c>
      <c r="G120" s="45">
        <f>G119+'AP03'!$F120</f>
        <v>42275.69219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56">
        <f t="shared" si="1"/>
        <v>114</v>
      </c>
      <c r="B121" s="50">
        <f>'AP01'!B128</f>
        <v>46712</v>
      </c>
      <c r="C121" s="50"/>
      <c r="D121" s="51">
        <f>'AP01'!M128</f>
        <v>2900.872569</v>
      </c>
      <c r="E121" s="45">
        <f>'AP02'!M128</f>
        <v>2307.602774</v>
      </c>
      <c r="F121" s="51">
        <f t="shared" si="2"/>
        <v>593.2697947</v>
      </c>
      <c r="G121" s="45">
        <f>G120+'AP03'!$F121</f>
        <v>42868.96198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56">
        <f t="shared" si="1"/>
        <v>115</v>
      </c>
      <c r="B122" s="50">
        <f>'AP01'!B129</f>
        <v>46742</v>
      </c>
      <c r="C122" s="50"/>
      <c r="D122" s="51">
        <f>'AP01'!M129</f>
        <v>2893.093772</v>
      </c>
      <c r="E122" s="45">
        <f>'AP02'!M129</f>
        <v>2301.998057</v>
      </c>
      <c r="F122" s="51">
        <f t="shared" si="2"/>
        <v>591.0957144</v>
      </c>
      <c r="G122" s="45">
        <f>G121+'AP03'!$F122</f>
        <v>43460.0577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56">
        <f t="shared" si="1"/>
        <v>116</v>
      </c>
      <c r="B123" s="50">
        <f>'AP01'!B130</f>
        <v>46773</v>
      </c>
      <c r="C123" s="50"/>
      <c r="D123" s="51">
        <f>'AP01'!M130</f>
        <v>2885.270376</v>
      </c>
      <c r="E123" s="45">
        <f>'AP02'!M130</f>
        <v>2296.39334</v>
      </c>
      <c r="F123" s="51">
        <f t="shared" si="2"/>
        <v>588.8770355</v>
      </c>
      <c r="G123" s="45">
        <f>G122+'AP03'!$F123</f>
        <v>44048.93473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56">
        <f t="shared" si="1"/>
        <v>117</v>
      </c>
      <c r="B124" s="50">
        <f>'AP01'!B131</f>
        <v>46804</v>
      </c>
      <c r="C124" s="50"/>
      <c r="D124" s="51">
        <f>'AP01'!M131</f>
        <v>2877.44698</v>
      </c>
      <c r="E124" s="45">
        <f>'AP02'!M131</f>
        <v>2290.788623</v>
      </c>
      <c r="F124" s="51">
        <f t="shared" si="2"/>
        <v>586.6583567</v>
      </c>
      <c r="G124" s="45">
        <f>G123+'AP03'!$F124</f>
        <v>44635.59309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56">
        <f t="shared" si="1"/>
        <v>118</v>
      </c>
      <c r="B125" s="50">
        <f>'AP01'!B132</f>
        <v>46833</v>
      </c>
      <c r="C125" s="50"/>
      <c r="D125" s="51">
        <f>'AP01'!M132</f>
        <v>2869.623584</v>
      </c>
      <c r="E125" s="45">
        <f>'AP02'!M132</f>
        <v>2285.183906</v>
      </c>
      <c r="F125" s="51">
        <f t="shared" si="2"/>
        <v>584.4396778</v>
      </c>
      <c r="G125" s="45">
        <f>G124+'AP03'!$F125</f>
        <v>45220.03277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56">
        <f t="shared" si="1"/>
        <v>119</v>
      </c>
      <c r="B126" s="50">
        <f>'AP01'!B133</f>
        <v>46864</v>
      </c>
      <c r="C126" s="50"/>
      <c r="D126" s="51">
        <f>'AP01'!M133</f>
        <v>2861.800188</v>
      </c>
      <c r="E126" s="45">
        <f>'AP02'!M133</f>
        <v>2279.579189</v>
      </c>
      <c r="F126" s="51">
        <f t="shared" si="2"/>
        <v>582.220999</v>
      </c>
      <c r="G126" s="45">
        <f>G125+'AP03'!$F126</f>
        <v>45802.25377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56">
        <f t="shared" si="1"/>
        <v>120</v>
      </c>
      <c r="B127" s="50">
        <f>'AP01'!B134</f>
        <v>46894</v>
      </c>
      <c r="C127" s="50"/>
      <c r="D127" s="51">
        <f>'AP01'!M134</f>
        <v>2853.976792</v>
      </c>
      <c r="E127" s="45">
        <f>'AP02'!M134</f>
        <v>2273.974472</v>
      </c>
      <c r="F127" s="51">
        <f t="shared" si="2"/>
        <v>580.0023201</v>
      </c>
      <c r="G127" s="45">
        <f>G126+'AP03'!$F127</f>
        <v>46382.25609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56">
        <f t="shared" si="1"/>
        <v>121</v>
      </c>
      <c r="B128" s="50">
        <f>'AP01'!B135</f>
        <v>46925</v>
      </c>
      <c r="C128" s="50"/>
      <c r="D128" s="51">
        <f>'AP01'!M135</f>
        <v>2846.153397</v>
      </c>
      <c r="E128" s="45">
        <f>'AP02'!M135</f>
        <v>2268.369755</v>
      </c>
      <c r="F128" s="51">
        <f t="shared" si="2"/>
        <v>577.7836413</v>
      </c>
      <c r="G128" s="45">
        <f>G127+'AP03'!$F128</f>
        <v>46960.03973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56">
        <f t="shared" si="1"/>
        <v>122</v>
      </c>
      <c r="B129" s="50">
        <f>'AP01'!B136</f>
        <v>46955</v>
      </c>
      <c r="C129" s="50"/>
      <c r="D129" s="51">
        <f>'AP01'!M136</f>
        <v>2838.330001</v>
      </c>
      <c r="E129" s="45">
        <f>'AP02'!M136</f>
        <v>2262.765038</v>
      </c>
      <c r="F129" s="51">
        <f t="shared" si="2"/>
        <v>575.5649624</v>
      </c>
      <c r="G129" s="45">
        <f>G128+'AP03'!$F129</f>
        <v>47535.60469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56">
        <f t="shared" si="1"/>
        <v>123</v>
      </c>
      <c r="B130" s="50">
        <f>'AP01'!B137</f>
        <v>46986</v>
      </c>
      <c r="C130" s="50"/>
      <c r="D130" s="51">
        <f>'AP01'!M137</f>
        <v>2830.506605</v>
      </c>
      <c r="E130" s="45">
        <f>'AP02'!M137</f>
        <v>2257.160321</v>
      </c>
      <c r="F130" s="51">
        <f t="shared" si="2"/>
        <v>573.3462836</v>
      </c>
      <c r="G130" s="45">
        <f>G129+'AP03'!$F130</f>
        <v>48108.95097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56">
        <f t="shared" si="1"/>
        <v>124</v>
      </c>
      <c r="B131" s="50">
        <f>'AP01'!B138</f>
        <v>47017</v>
      </c>
      <c r="C131" s="50"/>
      <c r="D131" s="51">
        <f>'AP01'!M138</f>
        <v>2822.683209</v>
      </c>
      <c r="E131" s="45">
        <f>'AP02'!M138</f>
        <v>2251.555604</v>
      </c>
      <c r="F131" s="51">
        <f t="shared" si="2"/>
        <v>571.1276047</v>
      </c>
      <c r="G131" s="45">
        <f>G130+'AP03'!$F131</f>
        <v>48680.07858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56">
        <f t="shared" si="1"/>
        <v>125</v>
      </c>
      <c r="B132" s="50">
        <f>'AP01'!B139</f>
        <v>47047</v>
      </c>
      <c r="C132" s="50"/>
      <c r="D132" s="51">
        <f>'AP01'!M139</f>
        <v>2814.859813</v>
      </c>
      <c r="E132" s="45">
        <f>'AP02'!M139</f>
        <v>2245.950887</v>
      </c>
      <c r="F132" s="51">
        <f t="shared" si="2"/>
        <v>568.9089258</v>
      </c>
      <c r="G132" s="45">
        <f>G131+'AP03'!$F132</f>
        <v>49248.9875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56">
        <f t="shared" si="1"/>
        <v>126</v>
      </c>
      <c r="B133" s="50">
        <f>'AP01'!B140</f>
        <v>47078</v>
      </c>
      <c r="C133" s="50"/>
      <c r="D133" s="51">
        <f>'AP01'!M140</f>
        <v>2807.036417</v>
      </c>
      <c r="E133" s="45">
        <f>'AP02'!M140</f>
        <v>2240.34617</v>
      </c>
      <c r="F133" s="51">
        <f t="shared" si="2"/>
        <v>566.690247</v>
      </c>
      <c r="G133" s="45">
        <f>G132+'AP03'!$F133</f>
        <v>49815.67775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56">
        <f t="shared" si="1"/>
        <v>127</v>
      </c>
      <c r="B134" s="50">
        <f>'AP01'!B141</f>
        <v>47108</v>
      </c>
      <c r="C134" s="50"/>
      <c r="D134" s="51">
        <f>'AP01'!M141</f>
        <v>2806.480243</v>
      </c>
      <c r="E134" s="45">
        <f>'AP02'!M141</f>
        <v>2234.741453</v>
      </c>
      <c r="F134" s="51">
        <f t="shared" si="2"/>
        <v>571.73879</v>
      </c>
      <c r="G134" s="45">
        <f>G133+'AP03'!$F134</f>
        <v>50387.41654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56">
        <f t="shared" si="1"/>
        <v>128</v>
      </c>
      <c r="B135" s="50">
        <f>'AP01'!B142</f>
        <v>47139</v>
      </c>
      <c r="C135" s="50"/>
      <c r="D135" s="51">
        <f>'AP01'!M142</f>
        <v>2798.625791</v>
      </c>
      <c r="E135" s="45">
        <f>'AP02'!M142</f>
        <v>2229.136736</v>
      </c>
      <c r="F135" s="51">
        <f t="shared" si="2"/>
        <v>569.4890546</v>
      </c>
      <c r="G135" s="45">
        <f>G134+'AP03'!$F135</f>
        <v>50956.90559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56">
        <f t="shared" si="1"/>
        <v>129</v>
      </c>
      <c r="B136" s="50">
        <f>'AP01'!B143</f>
        <v>47170</v>
      </c>
      <c r="C136" s="50"/>
      <c r="D136" s="51">
        <f>'AP01'!M143</f>
        <v>2790.771339</v>
      </c>
      <c r="E136" s="45">
        <f>'AP02'!M143</f>
        <v>2223.532019</v>
      </c>
      <c r="F136" s="51">
        <f t="shared" si="2"/>
        <v>567.2393192</v>
      </c>
      <c r="G136" s="45">
        <f>G135+'AP03'!$F136</f>
        <v>51524.14491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56">
        <f t="shared" si="1"/>
        <v>130</v>
      </c>
      <c r="B137" s="50">
        <f>'AP01'!B144</f>
        <v>47198</v>
      </c>
      <c r="C137" s="50"/>
      <c r="D137" s="51">
        <f>'AP01'!M144</f>
        <v>2782.916886</v>
      </c>
      <c r="E137" s="45">
        <f>'AP02'!M144</f>
        <v>2217.927302</v>
      </c>
      <c r="F137" s="51">
        <f t="shared" si="2"/>
        <v>564.9895839</v>
      </c>
      <c r="G137" s="45">
        <f>G136+'AP03'!$F137</f>
        <v>52089.1345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56">
        <f t="shared" si="1"/>
        <v>131</v>
      </c>
      <c r="B138" s="50">
        <f>'AP01'!B145</f>
        <v>47229</v>
      </c>
      <c r="C138" s="50"/>
      <c r="D138" s="51">
        <f>'AP01'!M145</f>
        <v>2775.062434</v>
      </c>
      <c r="E138" s="45">
        <f>'AP02'!M145</f>
        <v>2212.322585</v>
      </c>
      <c r="F138" s="51">
        <f t="shared" si="2"/>
        <v>562.7398485</v>
      </c>
      <c r="G138" s="45">
        <f>G137+'AP03'!$F138</f>
        <v>52651.87435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56">
        <f t="shared" si="1"/>
        <v>132</v>
      </c>
      <c r="B139" s="50">
        <f>'AP01'!B146</f>
        <v>47259</v>
      </c>
      <c r="C139" s="50"/>
      <c r="D139" s="51">
        <f>'AP01'!M146</f>
        <v>2767.207982</v>
      </c>
      <c r="E139" s="45">
        <f>'AP02'!M146</f>
        <v>2206.717868</v>
      </c>
      <c r="F139" s="51">
        <f t="shared" si="2"/>
        <v>560.4901132</v>
      </c>
      <c r="G139" s="45">
        <f>G138+'AP03'!$F139</f>
        <v>53212.36446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6">
        <f t="shared" si="1"/>
        <v>133</v>
      </c>
      <c r="B140" s="50">
        <f>'AP01'!B147</f>
        <v>47290</v>
      </c>
      <c r="C140" s="50"/>
      <c r="D140" s="51">
        <f>'AP01'!M147</f>
        <v>2759.353529</v>
      </c>
      <c r="E140" s="45">
        <f>'AP02'!M147</f>
        <v>2201.113151</v>
      </c>
      <c r="F140" s="51">
        <f t="shared" si="2"/>
        <v>558.2403778</v>
      </c>
      <c r="G140" s="45">
        <f>G139+'AP03'!$F140</f>
        <v>53770.60484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56">
        <f t="shared" si="1"/>
        <v>134</v>
      </c>
      <c r="B141" s="50">
        <f>'AP01'!B148</f>
        <v>47320</v>
      </c>
      <c r="C141" s="50"/>
      <c r="D141" s="51">
        <f>'AP01'!M148</f>
        <v>2751.499077</v>
      </c>
      <c r="E141" s="45">
        <f>'AP02'!M148</f>
        <v>2195.508434</v>
      </c>
      <c r="F141" s="51">
        <f t="shared" si="2"/>
        <v>555.9906424</v>
      </c>
      <c r="G141" s="45">
        <f>G140+'AP03'!$F141</f>
        <v>54326.59548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56">
        <f t="shared" si="1"/>
        <v>135</v>
      </c>
      <c r="B142" s="50">
        <f>'AP01'!B149</f>
        <v>47351</v>
      </c>
      <c r="C142" s="50"/>
      <c r="D142" s="51">
        <f>'AP01'!M149</f>
        <v>2743.644625</v>
      </c>
      <c r="E142" s="45">
        <f>'AP02'!M149</f>
        <v>2189.903717</v>
      </c>
      <c r="F142" s="51">
        <f t="shared" si="2"/>
        <v>553.7409071</v>
      </c>
      <c r="G142" s="45">
        <f>G141+'AP03'!$F142</f>
        <v>54880.33639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56">
        <f t="shared" si="1"/>
        <v>136</v>
      </c>
      <c r="B143" s="50">
        <f>'AP01'!B150</f>
        <v>47382</v>
      </c>
      <c r="C143" s="50"/>
      <c r="D143" s="51">
        <f>'AP01'!M150</f>
        <v>2735.790172</v>
      </c>
      <c r="E143" s="45">
        <f>'AP02'!M150</f>
        <v>2184.299</v>
      </c>
      <c r="F143" s="51">
        <f t="shared" si="2"/>
        <v>551.4911717</v>
      </c>
      <c r="G143" s="45">
        <f>G142+'AP03'!$F143</f>
        <v>55431.82756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56">
        <f t="shared" si="1"/>
        <v>137</v>
      </c>
      <c r="B144" s="50">
        <f>'AP01'!B151</f>
        <v>47412</v>
      </c>
      <c r="C144" s="50"/>
      <c r="D144" s="51">
        <f>'AP01'!M151</f>
        <v>2727.93572</v>
      </c>
      <c r="E144" s="45">
        <f>'AP02'!M151</f>
        <v>2178.694283</v>
      </c>
      <c r="F144" s="51">
        <f t="shared" si="2"/>
        <v>549.2414364</v>
      </c>
      <c r="G144" s="45">
        <f>G143+'AP03'!$F144</f>
        <v>55981.06899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56">
        <f t="shared" si="1"/>
        <v>138</v>
      </c>
      <c r="B145" s="50">
        <f>'AP01'!B152</f>
        <v>47443</v>
      </c>
      <c r="C145" s="50"/>
      <c r="D145" s="51">
        <f>'AP01'!M152</f>
        <v>2720.081268</v>
      </c>
      <c r="E145" s="45">
        <f>'AP02'!M152</f>
        <v>2173.089567</v>
      </c>
      <c r="F145" s="51">
        <f t="shared" si="2"/>
        <v>546.991701</v>
      </c>
      <c r="G145" s="45">
        <f>G144+'AP03'!$F145</f>
        <v>56528.0607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56">
        <f t="shared" si="1"/>
        <v>139</v>
      </c>
      <c r="B146" s="50">
        <f>'AP01'!B153</f>
        <v>47473</v>
      </c>
      <c r="C146" s="50"/>
      <c r="D146" s="51">
        <f>'AP01'!M153</f>
        <v>2720.103431</v>
      </c>
      <c r="E146" s="45">
        <f>'AP02'!M153</f>
        <v>2167.48485</v>
      </c>
      <c r="F146" s="51">
        <f t="shared" si="2"/>
        <v>552.6185811</v>
      </c>
      <c r="G146" s="45">
        <f>G145+'AP03'!$F146</f>
        <v>57080.67928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56">
        <f t="shared" si="1"/>
        <v>140</v>
      </c>
      <c r="B147" s="50">
        <f>'AP01'!B154</f>
        <v>47504</v>
      </c>
      <c r="C147" s="50"/>
      <c r="D147" s="51">
        <f>'AP01'!M154</f>
        <v>2712.213498</v>
      </c>
      <c r="E147" s="45">
        <f>'AP02'!M154</f>
        <v>2161.880133</v>
      </c>
      <c r="F147" s="51">
        <f t="shared" si="2"/>
        <v>550.3333655</v>
      </c>
      <c r="G147" s="45">
        <f>G146+'AP03'!$F147</f>
        <v>57631.01264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56">
        <f t="shared" si="1"/>
        <v>141</v>
      </c>
      <c r="B148" s="50">
        <f>'AP01'!B155</f>
        <v>47535</v>
      </c>
      <c r="C148" s="50"/>
      <c r="D148" s="51">
        <f>'AP01'!M155</f>
        <v>2704.323565</v>
      </c>
      <c r="E148" s="45">
        <f>'AP02'!M155</f>
        <v>2156.275416</v>
      </c>
      <c r="F148" s="51">
        <f t="shared" si="2"/>
        <v>548.0481499</v>
      </c>
      <c r="G148" s="45">
        <f>G147+'AP03'!$F148</f>
        <v>58179.06079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56">
        <f t="shared" si="1"/>
        <v>142</v>
      </c>
      <c r="B149" s="50">
        <f>'AP01'!B156</f>
        <v>47563</v>
      </c>
      <c r="C149" s="50"/>
      <c r="D149" s="51">
        <f>'AP01'!M156</f>
        <v>2696.433633</v>
      </c>
      <c r="E149" s="45">
        <f>'AP02'!M156</f>
        <v>2150.670699</v>
      </c>
      <c r="F149" s="51">
        <f t="shared" si="2"/>
        <v>545.7629342</v>
      </c>
      <c r="G149" s="45">
        <f>G148+'AP03'!$F149</f>
        <v>58724.82373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6">
        <f t="shared" si="1"/>
        <v>143</v>
      </c>
      <c r="B150" s="50">
        <f>'AP01'!B157</f>
        <v>47594</v>
      </c>
      <c r="C150" s="50"/>
      <c r="D150" s="51">
        <f>'AP01'!M157</f>
        <v>2688.5437</v>
      </c>
      <c r="E150" s="45">
        <f>'AP02'!M157</f>
        <v>2145.065982</v>
      </c>
      <c r="F150" s="51">
        <f t="shared" si="2"/>
        <v>543.4777186</v>
      </c>
      <c r="G150" s="45">
        <f>G149+'AP03'!$F150</f>
        <v>59268.30145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56">
        <f t="shared" si="1"/>
        <v>144</v>
      </c>
      <c r="B151" s="50">
        <f>'AP01'!B158</f>
        <v>47624</v>
      </c>
      <c r="C151" s="50"/>
      <c r="D151" s="51">
        <f>'AP01'!M158</f>
        <v>2680.653768</v>
      </c>
      <c r="E151" s="45">
        <f>'AP02'!M158</f>
        <v>2139.461265</v>
      </c>
      <c r="F151" s="51">
        <f t="shared" si="2"/>
        <v>541.192503</v>
      </c>
      <c r="G151" s="45">
        <f>G150+'AP03'!$F151</f>
        <v>59809.49395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56">
        <f t="shared" si="1"/>
        <v>145</v>
      </c>
      <c r="B152" s="50">
        <f>'AP01'!B159</f>
        <v>47655</v>
      </c>
      <c r="C152" s="50"/>
      <c r="D152" s="51">
        <f>'AP01'!M159</f>
        <v>2672.763835</v>
      </c>
      <c r="E152" s="45">
        <f>'AP02'!M159</f>
        <v>2133.856548</v>
      </c>
      <c r="F152" s="51">
        <f t="shared" si="2"/>
        <v>538.9072874</v>
      </c>
      <c r="G152" s="45">
        <f>G151+'AP03'!$F152</f>
        <v>60348.40124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56">
        <f t="shared" si="1"/>
        <v>146</v>
      </c>
      <c r="B153" s="50">
        <f>'AP01'!B160</f>
        <v>47685</v>
      </c>
      <c r="C153" s="50"/>
      <c r="D153" s="51">
        <f>'AP01'!M160</f>
        <v>2664.873902</v>
      </c>
      <c r="E153" s="45">
        <f>'AP02'!M160</f>
        <v>2128.251831</v>
      </c>
      <c r="F153" s="51">
        <f t="shared" si="2"/>
        <v>536.6220718</v>
      </c>
      <c r="G153" s="45">
        <f>G152+'AP03'!$F153</f>
        <v>60885.02331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56">
        <f t="shared" si="1"/>
        <v>147</v>
      </c>
      <c r="B154" s="50">
        <f>'AP01'!B161</f>
        <v>47716</v>
      </c>
      <c r="C154" s="50"/>
      <c r="D154" s="51">
        <f>'AP01'!M161</f>
        <v>2656.98397</v>
      </c>
      <c r="E154" s="45">
        <f>'AP02'!M161</f>
        <v>2122.647114</v>
      </c>
      <c r="F154" s="51">
        <f t="shared" si="2"/>
        <v>534.3368562</v>
      </c>
      <c r="G154" s="45">
        <f>G153+'AP03'!$F154</f>
        <v>61419.36016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56">
        <f t="shared" si="1"/>
        <v>148</v>
      </c>
      <c r="B155" s="50">
        <f>'AP01'!B162</f>
        <v>47747</v>
      </c>
      <c r="C155" s="50"/>
      <c r="D155" s="51">
        <f>'AP01'!M162</f>
        <v>2649.094037</v>
      </c>
      <c r="E155" s="45">
        <f>'AP02'!M162</f>
        <v>2117.042397</v>
      </c>
      <c r="F155" s="51">
        <f t="shared" si="2"/>
        <v>532.0516406</v>
      </c>
      <c r="G155" s="45">
        <f>G154+'AP03'!$F155</f>
        <v>61951.4118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56">
        <f t="shared" si="1"/>
        <v>149</v>
      </c>
      <c r="B156" s="50">
        <f>'AP01'!B163</f>
        <v>47777</v>
      </c>
      <c r="C156" s="50"/>
      <c r="D156" s="51">
        <f>'AP01'!M163</f>
        <v>2641.204105</v>
      </c>
      <c r="E156" s="45">
        <f>'AP02'!M163</f>
        <v>2111.43768</v>
      </c>
      <c r="F156" s="51">
        <f t="shared" si="2"/>
        <v>529.766425</v>
      </c>
      <c r="G156" s="45">
        <f>G155+'AP03'!$F156</f>
        <v>62481.17823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56">
        <f t="shared" si="1"/>
        <v>150</v>
      </c>
      <c r="B157" s="50">
        <f>'AP01'!B164</f>
        <v>47808</v>
      </c>
      <c r="C157" s="50"/>
      <c r="D157" s="51">
        <f>'AP01'!M164</f>
        <v>2633.314172</v>
      </c>
      <c r="E157" s="45">
        <f>'AP02'!M164</f>
        <v>2105.832963</v>
      </c>
      <c r="F157" s="51">
        <f t="shared" si="2"/>
        <v>527.4812094</v>
      </c>
      <c r="G157" s="45">
        <f>G156+'AP03'!$F157</f>
        <v>63008.65944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56">
        <f t="shared" si="1"/>
        <v>151</v>
      </c>
      <c r="B158" s="50">
        <f>'AP01'!B165</f>
        <v>47838</v>
      </c>
      <c r="C158" s="50"/>
      <c r="D158" s="51">
        <f>'AP01'!M165</f>
        <v>2633.78512</v>
      </c>
      <c r="E158" s="45">
        <f>'AP02'!M165</f>
        <v>2100.228246</v>
      </c>
      <c r="F158" s="51">
        <f t="shared" si="2"/>
        <v>533.556874</v>
      </c>
      <c r="G158" s="45">
        <f>G157+'AP03'!$F158</f>
        <v>63542.21631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56">
        <f t="shared" si="1"/>
        <v>152</v>
      </c>
      <c r="B159" s="50">
        <f>'AP01'!B166</f>
        <v>47869</v>
      </c>
      <c r="C159" s="50"/>
      <c r="D159" s="51">
        <f>'AP01'!M166</f>
        <v>2625.855373</v>
      </c>
      <c r="E159" s="45">
        <f>'AP02'!M166</f>
        <v>2094.623529</v>
      </c>
      <c r="F159" s="51">
        <f t="shared" si="2"/>
        <v>531.2318447</v>
      </c>
      <c r="G159" s="45">
        <f>G158+'AP03'!$F159</f>
        <v>64073.44816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56">
        <f t="shared" si="1"/>
        <v>153</v>
      </c>
      <c r="B160" s="50">
        <f>'AP01'!B167</f>
        <v>47900</v>
      </c>
      <c r="C160" s="50"/>
      <c r="D160" s="51">
        <f>'AP01'!M167</f>
        <v>2617.925627</v>
      </c>
      <c r="E160" s="45">
        <f>'AP02'!M167</f>
        <v>2089.018812</v>
      </c>
      <c r="F160" s="51">
        <f t="shared" si="2"/>
        <v>528.9068153</v>
      </c>
      <c r="G160" s="45">
        <f>G159+'AP03'!$F160</f>
        <v>64602.35497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56">
        <f t="shared" si="1"/>
        <v>154</v>
      </c>
      <c r="B161" s="50">
        <f>'AP01'!B168</f>
        <v>47928</v>
      </c>
      <c r="C161" s="50"/>
      <c r="D161" s="51">
        <f>'AP01'!M168</f>
        <v>2609.995881</v>
      </c>
      <c r="E161" s="45">
        <f>'AP02'!M168</f>
        <v>2083.414095</v>
      </c>
      <c r="F161" s="51">
        <f t="shared" si="2"/>
        <v>526.581786</v>
      </c>
      <c r="G161" s="45">
        <f>G160+'AP03'!$F161</f>
        <v>65128.93676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56">
        <f t="shared" si="1"/>
        <v>155</v>
      </c>
      <c r="B162" s="50">
        <f>'AP01'!B169</f>
        <v>47959</v>
      </c>
      <c r="C162" s="50"/>
      <c r="D162" s="51">
        <f>'AP01'!M169</f>
        <v>2602.066134</v>
      </c>
      <c r="E162" s="45">
        <f>'AP02'!M169</f>
        <v>2077.809378</v>
      </c>
      <c r="F162" s="51">
        <f t="shared" si="2"/>
        <v>524.2567567</v>
      </c>
      <c r="G162" s="45">
        <f>G161+'AP03'!$F162</f>
        <v>65653.19352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56">
        <f t="shared" si="1"/>
        <v>156</v>
      </c>
      <c r="B163" s="50">
        <f>'AP01'!B170</f>
        <v>47989</v>
      </c>
      <c r="C163" s="50"/>
      <c r="D163" s="51">
        <f>'AP01'!M170</f>
        <v>2594.136388</v>
      </c>
      <c r="E163" s="45">
        <f>'AP02'!M170</f>
        <v>2072.204661</v>
      </c>
      <c r="F163" s="51">
        <f t="shared" si="2"/>
        <v>521.9317274</v>
      </c>
      <c r="G163" s="45">
        <f>G162+'AP03'!$F163</f>
        <v>66175.12524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56">
        <f t="shared" si="1"/>
        <v>157</v>
      </c>
      <c r="B164" s="50">
        <f>'AP01'!B171</f>
        <v>48020</v>
      </c>
      <c r="C164" s="50"/>
      <c r="D164" s="51">
        <f>'AP01'!M171</f>
        <v>2586.206642</v>
      </c>
      <c r="E164" s="45">
        <f>'AP02'!M171</f>
        <v>2066.599944</v>
      </c>
      <c r="F164" s="51">
        <f t="shared" si="2"/>
        <v>519.606698</v>
      </c>
      <c r="G164" s="45">
        <f>G163+'AP03'!$F164</f>
        <v>66694.73194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56">
        <f t="shared" si="1"/>
        <v>158</v>
      </c>
      <c r="B165" s="50">
        <f>'AP01'!B172</f>
        <v>48050</v>
      </c>
      <c r="C165" s="50"/>
      <c r="D165" s="51">
        <f>'AP01'!M172</f>
        <v>2578.276895</v>
      </c>
      <c r="E165" s="45">
        <f>'AP02'!M172</f>
        <v>2060.995227</v>
      </c>
      <c r="F165" s="51">
        <f t="shared" si="2"/>
        <v>517.2816687</v>
      </c>
      <c r="G165" s="45">
        <f>G164+'AP03'!$F165</f>
        <v>67212.01361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56">
        <f t="shared" si="1"/>
        <v>159</v>
      </c>
      <c r="B166" s="50">
        <f>'AP01'!B173</f>
        <v>48081</v>
      </c>
      <c r="C166" s="50"/>
      <c r="D166" s="51">
        <f>'AP01'!M173</f>
        <v>2570.347149</v>
      </c>
      <c r="E166" s="45">
        <f>'AP02'!M173</f>
        <v>2055.39051</v>
      </c>
      <c r="F166" s="51">
        <f t="shared" si="2"/>
        <v>514.9566394</v>
      </c>
      <c r="G166" s="45">
        <f>G165+'AP03'!$F166</f>
        <v>67726.97025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56">
        <f t="shared" si="1"/>
        <v>160</v>
      </c>
      <c r="B167" s="50">
        <f>'AP01'!B174</f>
        <v>48112</v>
      </c>
      <c r="C167" s="50"/>
      <c r="D167" s="51">
        <f>'AP01'!M174</f>
        <v>2562.417403</v>
      </c>
      <c r="E167" s="45">
        <f>'AP02'!M174</f>
        <v>2049.785793</v>
      </c>
      <c r="F167" s="51">
        <f t="shared" si="2"/>
        <v>512.6316101</v>
      </c>
      <c r="G167" s="45">
        <f>G166+'AP03'!$F167</f>
        <v>68239.60186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56">
        <f t="shared" si="1"/>
        <v>161</v>
      </c>
      <c r="B168" s="50">
        <f>'AP01'!B175</f>
        <v>48142</v>
      </c>
      <c r="C168" s="50"/>
      <c r="D168" s="51">
        <f>'AP01'!M175</f>
        <v>2554.487657</v>
      </c>
      <c r="E168" s="45">
        <f>'AP02'!M175</f>
        <v>2044.181076</v>
      </c>
      <c r="F168" s="51">
        <f t="shared" si="2"/>
        <v>510.3065807</v>
      </c>
      <c r="G168" s="45">
        <f>G167+'AP03'!$F168</f>
        <v>68749.90844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56">
        <f t="shared" si="1"/>
        <v>162</v>
      </c>
      <c r="B169" s="50">
        <f>'AP01'!B176</f>
        <v>48173</v>
      </c>
      <c r="C169" s="50"/>
      <c r="D169" s="51">
        <f>'AP01'!M176</f>
        <v>2546.55791</v>
      </c>
      <c r="E169" s="45">
        <f>'AP02'!M176</f>
        <v>2038.576359</v>
      </c>
      <c r="F169" s="51">
        <f t="shared" si="2"/>
        <v>507.9815514</v>
      </c>
      <c r="G169" s="45">
        <f>G168+'AP03'!$F169</f>
        <v>69257.88999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56">
        <f t="shared" si="1"/>
        <v>163</v>
      </c>
      <c r="B170" s="50">
        <f>'AP01'!B177</f>
        <v>48203</v>
      </c>
      <c r="C170" s="50"/>
      <c r="D170" s="51">
        <f>'AP01'!M177</f>
        <v>2552.839223</v>
      </c>
      <c r="E170" s="45">
        <f>'AP02'!M177</f>
        <v>2032.971642</v>
      </c>
      <c r="F170" s="51">
        <f t="shared" si="2"/>
        <v>519.8675809</v>
      </c>
      <c r="G170" s="45">
        <f>G169+'AP03'!$F170</f>
        <v>69777.75757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56">
        <f t="shared" si="1"/>
        <v>164</v>
      </c>
      <c r="B171" s="50">
        <f>'AP01'!B178</f>
        <v>48234</v>
      </c>
      <c r="C171" s="50"/>
      <c r="D171" s="51">
        <f>'AP01'!M178</f>
        <v>2544.837703</v>
      </c>
      <c r="E171" s="45">
        <f>'AP02'!M178</f>
        <v>2027.366925</v>
      </c>
      <c r="F171" s="51">
        <f t="shared" si="2"/>
        <v>517.4707785</v>
      </c>
      <c r="G171" s="45">
        <f>G170+'AP03'!$F171</f>
        <v>70295.22835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56">
        <f t="shared" si="1"/>
        <v>165</v>
      </c>
      <c r="B172" s="50">
        <f>'AP01'!B179</f>
        <v>48265</v>
      </c>
      <c r="C172" s="50"/>
      <c r="D172" s="51">
        <f>'AP01'!M179</f>
        <v>2536.836184</v>
      </c>
      <c r="E172" s="45">
        <f>'AP02'!M179</f>
        <v>2021.762208</v>
      </c>
      <c r="F172" s="51">
        <f t="shared" si="2"/>
        <v>515.0739762</v>
      </c>
      <c r="G172" s="45">
        <f>G171+'AP03'!$F172</f>
        <v>70810.30233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56">
        <f t="shared" si="1"/>
        <v>166</v>
      </c>
      <c r="B173" s="50">
        <f>'AP01'!B180</f>
        <v>48294</v>
      </c>
      <c r="C173" s="50"/>
      <c r="D173" s="51">
        <f>'AP01'!M180</f>
        <v>2528.834665</v>
      </c>
      <c r="E173" s="45">
        <f>'AP02'!M180</f>
        <v>2016.157491</v>
      </c>
      <c r="F173" s="51">
        <f t="shared" si="2"/>
        <v>512.6771738</v>
      </c>
      <c r="G173" s="45">
        <f>G172+'AP03'!$F173</f>
        <v>71322.9795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56">
        <f t="shared" si="1"/>
        <v>167</v>
      </c>
      <c r="B174" s="50">
        <f>'AP01'!B181</f>
        <v>48325</v>
      </c>
      <c r="C174" s="50"/>
      <c r="D174" s="51">
        <f>'AP01'!M181</f>
        <v>2520.833145</v>
      </c>
      <c r="E174" s="45">
        <f>'AP02'!M181</f>
        <v>2010.552774</v>
      </c>
      <c r="F174" s="51">
        <f t="shared" si="2"/>
        <v>510.2803715</v>
      </c>
      <c r="G174" s="45">
        <f>G173+'AP03'!$F174</f>
        <v>71833.25987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56">
        <f t="shared" si="1"/>
        <v>168</v>
      </c>
      <c r="B175" s="50">
        <f>'AP01'!B182</f>
        <v>48355</v>
      </c>
      <c r="C175" s="50"/>
      <c r="D175" s="51">
        <f>'AP01'!M182</f>
        <v>2512.831626</v>
      </c>
      <c r="E175" s="45">
        <f>'AP02'!M182</f>
        <v>2004.948057</v>
      </c>
      <c r="F175" s="51">
        <f t="shared" si="2"/>
        <v>507.8835691</v>
      </c>
      <c r="G175" s="45">
        <f>G174+'AP03'!$F175</f>
        <v>72341.14344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56">
        <f t="shared" si="1"/>
        <v>169</v>
      </c>
      <c r="B176" s="50">
        <f>'AP01'!B183</f>
        <v>48386</v>
      </c>
      <c r="C176" s="50"/>
      <c r="D176" s="51">
        <f>'AP01'!M183</f>
        <v>2504.830107</v>
      </c>
      <c r="E176" s="45">
        <f>'AP02'!M183</f>
        <v>1999.34334</v>
      </c>
      <c r="F176" s="51">
        <f t="shared" si="2"/>
        <v>505.4867668</v>
      </c>
      <c r="G176" s="45">
        <f>G175+'AP03'!$F176</f>
        <v>72846.63021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56">
        <f t="shared" si="1"/>
        <v>170</v>
      </c>
      <c r="B177" s="50">
        <f>'AP01'!B184</f>
        <v>48416</v>
      </c>
      <c r="C177" s="50"/>
      <c r="D177" s="51">
        <f>'AP01'!M184</f>
        <v>2496.828587</v>
      </c>
      <c r="E177" s="45">
        <f>'AP02'!M184</f>
        <v>1993.738623</v>
      </c>
      <c r="F177" s="51">
        <f t="shared" si="2"/>
        <v>503.0899644</v>
      </c>
      <c r="G177" s="45">
        <f>G176+'AP03'!$F177</f>
        <v>73349.72017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56">
        <f t="shared" si="1"/>
        <v>171</v>
      </c>
      <c r="B178" s="50">
        <f>'AP01'!B185</f>
        <v>48447</v>
      </c>
      <c r="C178" s="50"/>
      <c r="D178" s="51">
        <f>'AP01'!M185</f>
        <v>2488.827068</v>
      </c>
      <c r="E178" s="45">
        <f>'AP02'!M185</f>
        <v>1988.133906</v>
      </c>
      <c r="F178" s="51">
        <f t="shared" si="2"/>
        <v>500.6931621</v>
      </c>
      <c r="G178" s="45">
        <f>G177+'AP03'!$F178</f>
        <v>73850.41333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56">
        <f t="shared" si="1"/>
        <v>172</v>
      </c>
      <c r="B179" s="50">
        <f>'AP01'!B186</f>
        <v>48478</v>
      </c>
      <c r="C179" s="50"/>
      <c r="D179" s="51">
        <f>'AP01'!M186</f>
        <v>2480.825549</v>
      </c>
      <c r="E179" s="45">
        <f>'AP02'!M186</f>
        <v>1982.529189</v>
      </c>
      <c r="F179" s="51">
        <f t="shared" si="2"/>
        <v>498.2963597</v>
      </c>
      <c r="G179" s="45">
        <f>G178+'AP03'!$F179</f>
        <v>74348.70969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56">
        <f t="shared" si="1"/>
        <v>173</v>
      </c>
      <c r="B180" s="50">
        <f>'AP01'!B187</f>
        <v>48508</v>
      </c>
      <c r="C180" s="50"/>
      <c r="D180" s="51">
        <f>'AP01'!M187</f>
        <v>2472.824029</v>
      </c>
      <c r="E180" s="45">
        <f>'AP02'!M187</f>
        <v>1976.924472</v>
      </c>
      <c r="F180" s="51">
        <f t="shared" si="2"/>
        <v>495.8995574</v>
      </c>
      <c r="G180" s="45">
        <f>G179+'AP03'!$F180</f>
        <v>74844.60925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56">
        <f t="shared" si="1"/>
        <v>174</v>
      </c>
      <c r="B181" s="50">
        <f>'AP01'!B188</f>
        <v>48539</v>
      </c>
      <c r="C181" s="50"/>
      <c r="D181" s="51">
        <f>'AP01'!M188</f>
        <v>2464.82251</v>
      </c>
      <c r="E181" s="45">
        <f>'AP02'!M188</f>
        <v>1971.319755</v>
      </c>
      <c r="F181" s="51">
        <f t="shared" si="2"/>
        <v>493.502755</v>
      </c>
      <c r="G181" s="45">
        <f>G180+'AP03'!$F181</f>
        <v>75338.11201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56">
        <f t="shared" si="1"/>
        <v>175</v>
      </c>
      <c r="B182" s="50">
        <f>'AP01'!B189</f>
        <v>48569</v>
      </c>
      <c r="C182" s="50"/>
      <c r="D182" s="51">
        <f>'AP01'!M189</f>
        <v>2466.241403</v>
      </c>
      <c r="E182" s="45">
        <f>'AP02'!M189</f>
        <v>1965.715038</v>
      </c>
      <c r="F182" s="51">
        <f t="shared" si="2"/>
        <v>500.5263652</v>
      </c>
      <c r="G182" s="45">
        <f>G181+'AP03'!$F182</f>
        <v>75838.63837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56">
        <f t="shared" si="1"/>
        <v>176</v>
      </c>
      <c r="B183" s="50">
        <f>'AP01'!B190</f>
        <v>48600</v>
      </c>
      <c r="C183" s="50"/>
      <c r="D183" s="51">
        <f>'AP01'!M190</f>
        <v>2458.189236</v>
      </c>
      <c r="E183" s="45">
        <f>'AP02'!M190</f>
        <v>1960.110321</v>
      </c>
      <c r="F183" s="51">
        <f t="shared" si="2"/>
        <v>498.0789155</v>
      </c>
      <c r="G183" s="45">
        <f>G182+'AP03'!$F183</f>
        <v>76336.71729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56">
        <f t="shared" si="1"/>
        <v>177</v>
      </c>
      <c r="B184" s="50">
        <f>'AP01'!B191</f>
        <v>48631</v>
      </c>
      <c r="C184" s="50"/>
      <c r="D184" s="51">
        <f>'AP01'!M191</f>
        <v>2450.13707</v>
      </c>
      <c r="E184" s="45">
        <f>'AP02'!M191</f>
        <v>1954.505604</v>
      </c>
      <c r="F184" s="51">
        <f t="shared" si="2"/>
        <v>495.6314658</v>
      </c>
      <c r="G184" s="45">
        <f>G183+'AP03'!$F184</f>
        <v>76832.34875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56">
        <f t="shared" si="1"/>
        <v>178</v>
      </c>
      <c r="B185" s="50">
        <f>'AP01'!B192</f>
        <v>48659</v>
      </c>
      <c r="C185" s="50"/>
      <c r="D185" s="51">
        <f>'AP01'!M192</f>
        <v>2442.084903</v>
      </c>
      <c r="E185" s="45">
        <f>'AP02'!M192</f>
        <v>1948.900887</v>
      </c>
      <c r="F185" s="51">
        <f t="shared" si="2"/>
        <v>493.1840161</v>
      </c>
      <c r="G185" s="45">
        <f>G184+'AP03'!$F185</f>
        <v>77325.53277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56">
        <f t="shared" si="1"/>
        <v>179</v>
      </c>
      <c r="B186" s="50">
        <f>'AP01'!B193</f>
        <v>48690</v>
      </c>
      <c r="C186" s="50"/>
      <c r="D186" s="51">
        <f>'AP01'!M193</f>
        <v>2434.032736</v>
      </c>
      <c r="E186" s="45">
        <f>'AP02'!M193</f>
        <v>1943.29617</v>
      </c>
      <c r="F186" s="51">
        <f t="shared" si="2"/>
        <v>490.7365663</v>
      </c>
      <c r="G186" s="45">
        <f>G185+'AP03'!$F186</f>
        <v>77816.26934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56">
        <f t="shared" si="1"/>
        <v>180</v>
      </c>
      <c r="B187" s="50">
        <f>'AP01'!B194</f>
        <v>48720</v>
      </c>
      <c r="C187" s="50"/>
      <c r="D187" s="51">
        <f>'AP01'!M194</f>
        <v>2425.98057</v>
      </c>
      <c r="E187" s="45">
        <f>'AP02'!M194</f>
        <v>1937.691453</v>
      </c>
      <c r="F187" s="51">
        <f t="shared" si="2"/>
        <v>488.2891166</v>
      </c>
      <c r="G187" s="45">
        <f>G186+'AP03'!$F187</f>
        <v>78304.55845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56">
        <f t="shared" si="1"/>
        <v>181</v>
      </c>
      <c r="B188" s="50">
        <f>'AP01'!B195</f>
        <v>48751</v>
      </c>
      <c r="C188" s="50"/>
      <c r="D188" s="51">
        <f>'AP01'!M195</f>
        <v>2417.928403</v>
      </c>
      <c r="E188" s="45">
        <f>'AP02'!M195</f>
        <v>1932.086736</v>
      </c>
      <c r="F188" s="51">
        <f t="shared" si="2"/>
        <v>485.8416669</v>
      </c>
      <c r="G188" s="45">
        <f>G187+'AP03'!$F188</f>
        <v>78790.40012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56">
        <f t="shared" si="1"/>
        <v>182</v>
      </c>
      <c r="B189" s="50">
        <f>'AP01'!B196</f>
        <v>48781</v>
      </c>
      <c r="C189" s="50"/>
      <c r="D189" s="51">
        <f>'AP01'!M196</f>
        <v>2409.876236</v>
      </c>
      <c r="E189" s="45">
        <f>'AP02'!M196</f>
        <v>1926.482019</v>
      </c>
      <c r="F189" s="51">
        <f t="shared" si="2"/>
        <v>483.3942172</v>
      </c>
      <c r="G189" s="45">
        <f>G188+'AP03'!$F189</f>
        <v>79273.79434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56">
        <f t="shared" si="1"/>
        <v>183</v>
      </c>
      <c r="B190" s="50">
        <f>'AP01'!B197</f>
        <v>48812</v>
      </c>
      <c r="C190" s="50"/>
      <c r="D190" s="51">
        <f>'AP01'!M197</f>
        <v>2401.824069</v>
      </c>
      <c r="E190" s="45">
        <f>'AP02'!M197</f>
        <v>1920.877302</v>
      </c>
      <c r="F190" s="51">
        <f t="shared" si="2"/>
        <v>480.9467674</v>
      </c>
      <c r="G190" s="45">
        <f>G189+'AP03'!$F190</f>
        <v>79754.7411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56">
        <f t="shared" si="1"/>
        <v>184</v>
      </c>
      <c r="B191" s="50">
        <f>'AP01'!B198</f>
        <v>48843</v>
      </c>
      <c r="C191" s="50"/>
      <c r="D191" s="51">
        <f>'AP01'!M198</f>
        <v>2393.771903</v>
      </c>
      <c r="E191" s="45">
        <f>'AP02'!M198</f>
        <v>1915.272585</v>
      </c>
      <c r="F191" s="51">
        <f t="shared" si="2"/>
        <v>478.4993177</v>
      </c>
      <c r="G191" s="45">
        <f>G190+'AP03'!$F191</f>
        <v>80233.24042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56">
        <f t="shared" si="1"/>
        <v>185</v>
      </c>
      <c r="B192" s="50">
        <f>'AP01'!B199</f>
        <v>48873</v>
      </c>
      <c r="C192" s="50"/>
      <c r="D192" s="51">
        <f>'AP01'!M199</f>
        <v>2385.719736</v>
      </c>
      <c r="E192" s="45">
        <f>'AP02'!M199</f>
        <v>1909.667868</v>
      </c>
      <c r="F192" s="51">
        <f t="shared" si="2"/>
        <v>476.051868</v>
      </c>
      <c r="G192" s="45">
        <f>G191+'AP03'!$F192</f>
        <v>80709.29229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56">
        <f t="shared" si="1"/>
        <v>186</v>
      </c>
      <c r="B193" s="50">
        <f>'AP01'!B200</f>
        <v>48904</v>
      </c>
      <c r="C193" s="50"/>
      <c r="D193" s="51">
        <f>'AP01'!M200</f>
        <v>2377.667569</v>
      </c>
      <c r="E193" s="45">
        <f>'AP02'!M200</f>
        <v>1904.063151</v>
      </c>
      <c r="F193" s="51">
        <f t="shared" si="2"/>
        <v>473.6044182</v>
      </c>
      <c r="G193" s="45">
        <f>G192+'AP03'!$F193</f>
        <v>81182.89671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56">
        <f t="shared" si="1"/>
        <v>187</v>
      </c>
      <c r="B194" s="50">
        <f>'AP01'!B201</f>
        <v>48934</v>
      </c>
      <c r="C194" s="50"/>
      <c r="D194" s="51">
        <f>'AP01'!M201</f>
        <v>2379.119234</v>
      </c>
      <c r="E194" s="45">
        <f>'AP02'!M201</f>
        <v>1898.458434</v>
      </c>
      <c r="F194" s="51">
        <f t="shared" si="2"/>
        <v>480.6608003</v>
      </c>
      <c r="G194" s="45">
        <f>G193+'AP03'!$F194</f>
        <v>81663.55751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56">
        <f t="shared" si="1"/>
        <v>188</v>
      </c>
      <c r="B195" s="50">
        <f>'AP01'!B202</f>
        <v>48965</v>
      </c>
      <c r="C195" s="50"/>
      <c r="D195" s="51">
        <f>'AP01'!M202</f>
        <v>2371.012448</v>
      </c>
      <c r="E195" s="45">
        <f>'AP02'!M202</f>
        <v>1892.853717</v>
      </c>
      <c r="F195" s="51">
        <f t="shared" si="2"/>
        <v>478.1587308</v>
      </c>
      <c r="G195" s="45">
        <f>G194+'AP03'!$F195</f>
        <v>82141.71624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56">
        <f t="shared" si="1"/>
        <v>189</v>
      </c>
      <c r="B196" s="50">
        <f>'AP01'!B203</f>
        <v>48996</v>
      </c>
      <c r="C196" s="50"/>
      <c r="D196" s="51">
        <f>'AP01'!M203</f>
        <v>2362.905661</v>
      </c>
      <c r="E196" s="45">
        <f>'AP02'!M203</f>
        <v>1887.249</v>
      </c>
      <c r="F196" s="51">
        <f t="shared" si="2"/>
        <v>475.6566614</v>
      </c>
      <c r="G196" s="45">
        <f>G195+'AP03'!$F196</f>
        <v>82617.3729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56">
        <f t="shared" si="1"/>
        <v>190</v>
      </c>
      <c r="B197" s="50">
        <f>'AP01'!B204</f>
        <v>49024</v>
      </c>
      <c r="C197" s="50"/>
      <c r="D197" s="51">
        <f>'AP01'!M204</f>
        <v>2354.798875</v>
      </c>
      <c r="E197" s="45">
        <f>'AP02'!M204</f>
        <v>1881.644283</v>
      </c>
      <c r="F197" s="51">
        <f t="shared" si="2"/>
        <v>473.1545919</v>
      </c>
      <c r="G197" s="45">
        <f>G196+'AP03'!$F197</f>
        <v>83090.52749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56">
        <f t="shared" si="1"/>
        <v>191</v>
      </c>
      <c r="B198" s="50">
        <f>'AP01'!B205</f>
        <v>49055</v>
      </c>
      <c r="C198" s="50"/>
      <c r="D198" s="51">
        <f>'AP01'!M205</f>
        <v>2346.692089</v>
      </c>
      <c r="E198" s="45">
        <f>'AP02'!M205</f>
        <v>1876.039566</v>
      </c>
      <c r="F198" s="51">
        <f t="shared" si="2"/>
        <v>470.6525225</v>
      </c>
      <c r="G198" s="45">
        <f>G197+'AP03'!$F198</f>
        <v>83561.18001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56">
        <f t="shared" si="1"/>
        <v>192</v>
      </c>
      <c r="B199" s="50">
        <f>'AP01'!B206</f>
        <v>49085</v>
      </c>
      <c r="C199" s="50"/>
      <c r="D199" s="51">
        <f>'AP01'!M206</f>
        <v>2338.585302</v>
      </c>
      <c r="E199" s="45">
        <f>'AP02'!M206</f>
        <v>1870.434849</v>
      </c>
      <c r="F199" s="51">
        <f t="shared" si="2"/>
        <v>468.150453</v>
      </c>
      <c r="G199" s="45">
        <f>G198+'AP03'!$F199</f>
        <v>84029.33047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56">
        <f t="shared" si="1"/>
        <v>193</v>
      </c>
      <c r="B200" s="50">
        <f>'AP01'!B207</f>
        <v>49116</v>
      </c>
      <c r="C200" s="50"/>
      <c r="D200" s="51">
        <f>'AP01'!M207</f>
        <v>2330.478516</v>
      </c>
      <c r="E200" s="45">
        <f>'AP02'!M207</f>
        <v>1864.830132</v>
      </c>
      <c r="F200" s="51">
        <f t="shared" si="2"/>
        <v>465.6483836</v>
      </c>
      <c r="G200" s="45">
        <f>G199+'AP03'!$F200</f>
        <v>84494.97885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56">
        <f t="shared" si="1"/>
        <v>194</v>
      </c>
      <c r="B201" s="50">
        <f>'AP01'!B208</f>
        <v>49146</v>
      </c>
      <c r="C201" s="50"/>
      <c r="D201" s="51">
        <f>'AP01'!M208</f>
        <v>2322.371729</v>
      </c>
      <c r="E201" s="45">
        <f>'AP02'!M208</f>
        <v>1859.225415</v>
      </c>
      <c r="F201" s="51">
        <f t="shared" si="2"/>
        <v>463.1463141</v>
      </c>
      <c r="G201" s="45">
        <f>G200+'AP03'!$F201</f>
        <v>84958.12517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56">
        <f t="shared" si="1"/>
        <v>195</v>
      </c>
      <c r="B202" s="50">
        <f>'AP01'!B209</f>
        <v>49177</v>
      </c>
      <c r="C202" s="50"/>
      <c r="D202" s="51">
        <f>'AP01'!M209</f>
        <v>2314.264943</v>
      </c>
      <c r="E202" s="45">
        <f>'AP02'!M209</f>
        <v>1853.620698</v>
      </c>
      <c r="F202" s="51">
        <f t="shared" si="2"/>
        <v>460.6442447</v>
      </c>
      <c r="G202" s="45">
        <f>G201+'AP03'!$F202</f>
        <v>85418.76941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56">
        <f t="shared" si="1"/>
        <v>196</v>
      </c>
      <c r="B203" s="50">
        <f>'AP01'!B210</f>
        <v>49208</v>
      </c>
      <c r="C203" s="50"/>
      <c r="D203" s="51">
        <f>'AP01'!M210</f>
        <v>2306.158156</v>
      </c>
      <c r="E203" s="45">
        <f>'AP02'!M210</f>
        <v>1848.015981</v>
      </c>
      <c r="F203" s="51">
        <f t="shared" si="2"/>
        <v>458.1421752</v>
      </c>
      <c r="G203" s="45">
        <f>G202+'AP03'!$F203</f>
        <v>85876.91158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56">
        <f t="shared" si="1"/>
        <v>197</v>
      </c>
      <c r="B204" s="50">
        <f>'AP01'!B211</f>
        <v>49238</v>
      </c>
      <c r="C204" s="50"/>
      <c r="D204" s="51">
        <f>'AP01'!M211</f>
        <v>2298.05137</v>
      </c>
      <c r="E204" s="45">
        <f>'AP02'!M211</f>
        <v>1842.411264</v>
      </c>
      <c r="F204" s="51">
        <f t="shared" si="2"/>
        <v>455.6401058</v>
      </c>
      <c r="G204" s="45">
        <f>G203+'AP03'!$F204</f>
        <v>86332.55169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56">
        <f t="shared" si="1"/>
        <v>198</v>
      </c>
      <c r="B205" s="50">
        <f>'AP01'!B212</f>
        <v>49269</v>
      </c>
      <c r="C205" s="50"/>
      <c r="D205" s="51">
        <f>'AP01'!M212</f>
        <v>2289.944584</v>
      </c>
      <c r="E205" s="45">
        <f>'AP02'!M212</f>
        <v>1836.806547</v>
      </c>
      <c r="F205" s="51">
        <f t="shared" si="2"/>
        <v>453.1380363</v>
      </c>
      <c r="G205" s="45">
        <f>G204+'AP03'!$F205</f>
        <v>86785.68973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56">
        <f t="shared" si="1"/>
        <v>199</v>
      </c>
      <c r="B206" s="50">
        <f>'AP01'!B213</f>
        <v>49299</v>
      </c>
      <c r="C206" s="50"/>
      <c r="D206" s="51">
        <f>'AP01'!M213</f>
        <v>2291.315086</v>
      </c>
      <c r="E206" s="45">
        <f>'AP02'!M213</f>
        <v>1831.20183</v>
      </c>
      <c r="F206" s="51">
        <f t="shared" si="2"/>
        <v>460.1132562</v>
      </c>
      <c r="G206" s="45">
        <f>G205+'AP03'!$F206</f>
        <v>87245.80298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56">
        <f t="shared" si="1"/>
        <v>200</v>
      </c>
      <c r="B207" s="50">
        <f>'AP01'!B214</f>
        <v>49330</v>
      </c>
      <c r="C207" s="50"/>
      <c r="D207" s="51">
        <f>'AP01'!M214</f>
        <v>2283.149798</v>
      </c>
      <c r="E207" s="45">
        <f>'AP02'!M214</f>
        <v>1825.597113</v>
      </c>
      <c r="F207" s="51">
        <f t="shared" si="2"/>
        <v>457.5526849</v>
      </c>
      <c r="G207" s="45">
        <f>G206+'AP03'!$F207</f>
        <v>87703.35567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56">
        <f t="shared" si="1"/>
        <v>201</v>
      </c>
      <c r="B208" s="50">
        <f>'AP01'!B215</f>
        <v>49361</v>
      </c>
      <c r="C208" s="50"/>
      <c r="D208" s="51">
        <f>'AP01'!M215</f>
        <v>2274.98451</v>
      </c>
      <c r="E208" s="45">
        <f>'AP02'!M215</f>
        <v>1819.992396</v>
      </c>
      <c r="F208" s="51">
        <f t="shared" si="2"/>
        <v>454.9921137</v>
      </c>
      <c r="G208" s="45">
        <f>G207+'AP03'!$F208</f>
        <v>88158.34778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56">
        <f t="shared" si="1"/>
        <v>202</v>
      </c>
      <c r="B209" s="50">
        <f>'AP01'!B216</f>
        <v>49389</v>
      </c>
      <c r="C209" s="50"/>
      <c r="D209" s="51">
        <f>'AP01'!M216</f>
        <v>2266.819222</v>
      </c>
      <c r="E209" s="45">
        <f>'AP02'!M216</f>
        <v>1814.387679</v>
      </c>
      <c r="F209" s="51">
        <f t="shared" si="2"/>
        <v>452.4315425</v>
      </c>
      <c r="G209" s="45">
        <f>G208+'AP03'!$F209</f>
        <v>88610.77932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56">
        <f t="shared" si="1"/>
        <v>203</v>
      </c>
      <c r="B210" s="50">
        <f>'AP01'!B217</f>
        <v>49420</v>
      </c>
      <c r="C210" s="50"/>
      <c r="D210" s="51">
        <f>'AP01'!M217</f>
        <v>2258.653933</v>
      </c>
      <c r="E210" s="45">
        <f>'AP02'!M217</f>
        <v>1808.782962</v>
      </c>
      <c r="F210" s="51">
        <f t="shared" si="2"/>
        <v>449.8709712</v>
      </c>
      <c r="G210" s="45">
        <f>G209+'AP03'!$F210</f>
        <v>89060.6503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56">
        <f t="shared" si="1"/>
        <v>204</v>
      </c>
      <c r="B211" s="50">
        <f>'AP01'!B218</f>
        <v>49450</v>
      </c>
      <c r="C211" s="50"/>
      <c r="D211" s="51">
        <f>'AP01'!M218</f>
        <v>2250.488645</v>
      </c>
      <c r="E211" s="45">
        <f>'AP02'!M218</f>
        <v>1803.178245</v>
      </c>
      <c r="F211" s="51">
        <f t="shared" si="2"/>
        <v>447.3104</v>
      </c>
      <c r="G211" s="45">
        <f>G210+'AP03'!$F211</f>
        <v>89507.9607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56">
        <f t="shared" si="1"/>
        <v>205</v>
      </c>
      <c r="B212" s="50">
        <f>'AP01'!B219</f>
        <v>49481</v>
      </c>
      <c r="C212" s="50"/>
      <c r="D212" s="51">
        <f>'AP01'!M219</f>
        <v>2242.323357</v>
      </c>
      <c r="E212" s="45">
        <f>'AP02'!M219</f>
        <v>1797.573528</v>
      </c>
      <c r="F212" s="51">
        <f t="shared" si="2"/>
        <v>444.7498288</v>
      </c>
      <c r="G212" s="45">
        <f>G211+'AP03'!$F212</f>
        <v>89952.71052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56">
        <f t="shared" si="1"/>
        <v>206</v>
      </c>
      <c r="B213" s="50">
        <f>'AP01'!B220</f>
        <v>49511</v>
      </c>
      <c r="C213" s="50"/>
      <c r="D213" s="51">
        <f>'AP01'!M220</f>
        <v>2234.158069</v>
      </c>
      <c r="E213" s="45">
        <f>'AP02'!M220</f>
        <v>1791.968811</v>
      </c>
      <c r="F213" s="51">
        <f t="shared" si="2"/>
        <v>442.1892575</v>
      </c>
      <c r="G213" s="45">
        <f>G212+'AP03'!$F213</f>
        <v>90394.89978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56">
        <f t="shared" si="1"/>
        <v>207</v>
      </c>
      <c r="B214" s="50">
        <f>'AP01'!B221</f>
        <v>49542</v>
      </c>
      <c r="C214" s="50"/>
      <c r="D214" s="51">
        <f>'AP01'!M221</f>
        <v>2225.992781</v>
      </c>
      <c r="E214" s="45">
        <f>'AP02'!M221</f>
        <v>1786.364094</v>
      </c>
      <c r="F214" s="51">
        <f t="shared" si="2"/>
        <v>439.6286863</v>
      </c>
      <c r="G214" s="45">
        <f>G213+'AP03'!$F214</f>
        <v>90834.52847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56">
        <f t="shared" si="1"/>
        <v>208</v>
      </c>
      <c r="B215" s="50">
        <f>'AP01'!B222</f>
        <v>49573</v>
      </c>
      <c r="C215" s="50"/>
      <c r="D215" s="51">
        <f>'AP01'!M222</f>
        <v>2217.827492</v>
      </c>
      <c r="E215" s="45">
        <f>'AP02'!M222</f>
        <v>1780.759377</v>
      </c>
      <c r="F215" s="51">
        <f t="shared" si="2"/>
        <v>437.068115</v>
      </c>
      <c r="G215" s="45">
        <f>G214+'AP03'!$F215</f>
        <v>91271.59658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56">
        <f t="shared" si="1"/>
        <v>209</v>
      </c>
      <c r="B216" s="50">
        <f>'AP01'!B223</f>
        <v>49603</v>
      </c>
      <c r="C216" s="50"/>
      <c r="D216" s="51">
        <f>'AP01'!M223</f>
        <v>2209.662204</v>
      </c>
      <c r="E216" s="45">
        <f>'AP02'!M223</f>
        <v>1775.15466</v>
      </c>
      <c r="F216" s="51">
        <f t="shared" si="2"/>
        <v>434.5075438</v>
      </c>
      <c r="G216" s="45">
        <f>G215+'AP03'!$F216</f>
        <v>91706.10413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56">
        <f t="shared" si="1"/>
        <v>210</v>
      </c>
      <c r="B217" s="50">
        <f>'AP01'!B224</f>
        <v>49634</v>
      </c>
      <c r="C217" s="50"/>
      <c r="D217" s="51">
        <f>'AP01'!M224</f>
        <v>2201.496916</v>
      </c>
      <c r="E217" s="45">
        <f>'AP02'!M224</f>
        <v>1769.549943</v>
      </c>
      <c r="F217" s="51">
        <f t="shared" si="2"/>
        <v>431.9469726</v>
      </c>
      <c r="G217" s="45">
        <f>G216+'AP03'!$F217</f>
        <v>92138.0511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56">
        <f t="shared" si="1"/>
        <v>211</v>
      </c>
      <c r="B218" s="50">
        <f>'AP01'!B225</f>
        <v>49664</v>
      </c>
      <c r="C218" s="50"/>
      <c r="D218" s="51">
        <f>'AP01'!M225</f>
        <v>2202.648579</v>
      </c>
      <c r="E218" s="45">
        <f>'AP02'!M225</f>
        <v>1763.945226</v>
      </c>
      <c r="F218" s="51">
        <f t="shared" si="2"/>
        <v>438.7033524</v>
      </c>
      <c r="G218" s="45">
        <f>G217+'AP03'!$F218</f>
        <v>92576.75445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56">
        <f t="shared" si="1"/>
        <v>212</v>
      </c>
      <c r="B219" s="50">
        <f>'AP01'!B226</f>
        <v>49695</v>
      </c>
      <c r="C219" s="50"/>
      <c r="D219" s="51">
        <f>'AP01'!M226</f>
        <v>2194.421178</v>
      </c>
      <c r="E219" s="45">
        <f>'AP02'!M226</f>
        <v>1758.340509</v>
      </c>
      <c r="F219" s="51">
        <f t="shared" si="2"/>
        <v>436.0806682</v>
      </c>
      <c r="G219" s="45">
        <f>G218+'AP03'!$F219</f>
        <v>93012.83512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56">
        <f t="shared" si="1"/>
        <v>213</v>
      </c>
      <c r="B220" s="50">
        <f>'AP01'!B227</f>
        <v>49726</v>
      </c>
      <c r="C220" s="50"/>
      <c r="D220" s="51">
        <f>'AP01'!M227</f>
        <v>2186.193776</v>
      </c>
      <c r="E220" s="45">
        <f>'AP02'!M227</f>
        <v>1752.735792</v>
      </c>
      <c r="F220" s="51">
        <f t="shared" si="2"/>
        <v>433.4579839</v>
      </c>
      <c r="G220" s="45">
        <f>G219+'AP03'!$F220</f>
        <v>93446.2931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56">
        <f t="shared" si="1"/>
        <v>214</v>
      </c>
      <c r="B221" s="50">
        <f>'AP01'!B228</f>
        <v>49755</v>
      </c>
      <c r="C221" s="50"/>
      <c r="D221" s="51">
        <f>'AP01'!M228</f>
        <v>2177.966375</v>
      </c>
      <c r="E221" s="45">
        <f>'AP02'!M228</f>
        <v>1747.131075</v>
      </c>
      <c r="F221" s="51">
        <f t="shared" si="2"/>
        <v>430.8352997</v>
      </c>
      <c r="G221" s="45">
        <f>G220+'AP03'!$F221</f>
        <v>93877.1284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56">
        <f t="shared" si="1"/>
        <v>215</v>
      </c>
      <c r="B222" s="50">
        <f>'AP01'!B229</f>
        <v>49786</v>
      </c>
      <c r="C222" s="50"/>
      <c r="D222" s="51">
        <f>'AP01'!M229</f>
        <v>2169.738974</v>
      </c>
      <c r="E222" s="45">
        <f>'AP02'!M229</f>
        <v>1741.526358</v>
      </c>
      <c r="F222" s="51">
        <f t="shared" si="2"/>
        <v>428.2126154</v>
      </c>
      <c r="G222" s="45">
        <f>G221+'AP03'!$F222</f>
        <v>94305.34102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56">
        <f t="shared" si="1"/>
        <v>216</v>
      </c>
      <c r="B223" s="50">
        <f>'AP01'!B230</f>
        <v>49816</v>
      </c>
      <c r="C223" s="50"/>
      <c r="D223" s="51">
        <f>'AP01'!M230</f>
        <v>2161.511573</v>
      </c>
      <c r="E223" s="45">
        <f>'AP02'!M230</f>
        <v>1735.921641</v>
      </c>
      <c r="F223" s="51">
        <f t="shared" si="2"/>
        <v>425.5899312</v>
      </c>
      <c r="G223" s="45">
        <f>G222+'AP03'!$F223</f>
        <v>94730.93095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56">
        <f t="shared" si="1"/>
        <v>217</v>
      </c>
      <c r="B224" s="50">
        <f>'AP01'!B231</f>
        <v>49847</v>
      </c>
      <c r="C224" s="50"/>
      <c r="D224" s="51">
        <f>'AP01'!M231</f>
        <v>2153.284171</v>
      </c>
      <c r="E224" s="45">
        <f>'AP02'!M231</f>
        <v>1730.316924</v>
      </c>
      <c r="F224" s="51">
        <f t="shared" si="2"/>
        <v>422.9672469</v>
      </c>
      <c r="G224" s="45">
        <f>G223+'AP03'!$F224</f>
        <v>95153.8982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56">
        <f t="shared" si="1"/>
        <v>218</v>
      </c>
      <c r="B225" s="50">
        <f>'AP01'!B232</f>
        <v>49877</v>
      </c>
      <c r="C225" s="50"/>
      <c r="D225" s="51">
        <f>'AP01'!M232</f>
        <v>2145.05677</v>
      </c>
      <c r="E225" s="45">
        <f>'AP02'!M232</f>
        <v>1724.712207</v>
      </c>
      <c r="F225" s="51">
        <f t="shared" si="2"/>
        <v>420.3445627</v>
      </c>
      <c r="G225" s="45">
        <f>G224+'AP03'!$F225</f>
        <v>95574.24276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56">
        <f t="shared" si="1"/>
        <v>219</v>
      </c>
      <c r="B226" s="50">
        <f>'AP01'!B233</f>
        <v>49908</v>
      </c>
      <c r="C226" s="50"/>
      <c r="D226" s="51">
        <f>'AP01'!M233</f>
        <v>2136.829369</v>
      </c>
      <c r="E226" s="45">
        <f>'AP02'!M233</f>
        <v>1719.10749</v>
      </c>
      <c r="F226" s="51">
        <f t="shared" si="2"/>
        <v>417.7218785</v>
      </c>
      <c r="G226" s="45">
        <f>G225+'AP03'!$F226</f>
        <v>95991.96464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56">
        <f t="shared" si="1"/>
        <v>220</v>
      </c>
      <c r="B227" s="50">
        <f>'AP01'!B234</f>
        <v>49939</v>
      </c>
      <c r="C227" s="50"/>
      <c r="D227" s="51">
        <f>'AP01'!M234</f>
        <v>2128.601968</v>
      </c>
      <c r="E227" s="45">
        <f>'AP02'!M234</f>
        <v>1713.502773</v>
      </c>
      <c r="F227" s="51">
        <f t="shared" si="2"/>
        <v>415.0991942</v>
      </c>
      <c r="G227" s="45">
        <f>G226+'AP03'!$F227</f>
        <v>96407.06383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56">
        <f t="shared" si="1"/>
        <v>221</v>
      </c>
      <c r="B228" s="50">
        <f>'AP01'!B235</f>
        <v>49969</v>
      </c>
      <c r="C228" s="50"/>
      <c r="D228" s="51">
        <f>'AP01'!M235</f>
        <v>2120.374566</v>
      </c>
      <c r="E228" s="45">
        <f>'AP02'!M235</f>
        <v>1707.898056</v>
      </c>
      <c r="F228" s="51">
        <f t="shared" si="2"/>
        <v>412.47651</v>
      </c>
      <c r="G228" s="45">
        <f>G227+'AP03'!$F228</f>
        <v>96819.54034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56">
        <f t="shared" si="1"/>
        <v>222</v>
      </c>
      <c r="B229" s="50">
        <f>'AP01'!B236</f>
        <v>50000</v>
      </c>
      <c r="C229" s="50"/>
      <c r="D229" s="51">
        <f>'AP01'!M236</f>
        <v>2112.147165</v>
      </c>
      <c r="E229" s="45">
        <f>'AP02'!M236</f>
        <v>1702.293339</v>
      </c>
      <c r="F229" s="51">
        <f t="shared" si="2"/>
        <v>409.8538257</v>
      </c>
      <c r="G229" s="45">
        <f>G228+'AP03'!$F229</f>
        <v>97229.39417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56">
        <f t="shared" si="1"/>
        <v>223</v>
      </c>
      <c r="B230" s="50">
        <f>'AP01'!B237</f>
        <v>50030</v>
      </c>
      <c r="C230" s="50"/>
      <c r="D230" s="51">
        <f>'AP01'!M237</f>
        <v>2117.748936</v>
      </c>
      <c r="E230" s="45">
        <f>'AP02'!M237</f>
        <v>1696.688623</v>
      </c>
      <c r="F230" s="51">
        <f t="shared" si="2"/>
        <v>421.0603136</v>
      </c>
      <c r="G230" s="45">
        <f>G229+'AP03'!$F230</f>
        <v>97650.45448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56">
        <f t="shared" si="1"/>
        <v>224</v>
      </c>
      <c r="B231" s="50">
        <f>'AP01'!B238</f>
        <v>50061</v>
      </c>
      <c r="C231" s="50"/>
      <c r="D231" s="51">
        <f>'AP01'!M238</f>
        <v>2109.421323</v>
      </c>
      <c r="E231" s="45">
        <f>'AP02'!M238</f>
        <v>1691.083906</v>
      </c>
      <c r="F231" s="51">
        <f t="shared" si="2"/>
        <v>418.337418</v>
      </c>
      <c r="G231" s="45">
        <f>G230+'AP03'!$F231</f>
        <v>98068.7919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56">
        <f t="shared" si="1"/>
        <v>225</v>
      </c>
      <c r="B232" s="50">
        <f>'AP01'!B239</f>
        <v>50092</v>
      </c>
      <c r="C232" s="50"/>
      <c r="D232" s="51">
        <f>'AP01'!M239</f>
        <v>2101.093711</v>
      </c>
      <c r="E232" s="45">
        <f>'AP02'!M239</f>
        <v>1685.479189</v>
      </c>
      <c r="F232" s="51">
        <f t="shared" si="2"/>
        <v>415.6145223</v>
      </c>
      <c r="G232" s="45">
        <f>G231+'AP03'!$F232</f>
        <v>98484.40642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56">
        <f t="shared" si="1"/>
        <v>226</v>
      </c>
      <c r="B233" s="50">
        <f>'AP01'!B240</f>
        <v>50120</v>
      </c>
      <c r="C233" s="50"/>
      <c r="D233" s="51">
        <f>'AP01'!M240</f>
        <v>2092.766098</v>
      </c>
      <c r="E233" s="45">
        <f>'AP02'!M240</f>
        <v>1679.874472</v>
      </c>
      <c r="F233" s="51">
        <f t="shared" si="2"/>
        <v>412.8916267</v>
      </c>
      <c r="G233" s="45">
        <f>G232+'AP03'!$F233</f>
        <v>98897.29805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56">
        <f t="shared" si="1"/>
        <v>227</v>
      </c>
      <c r="B234" s="50">
        <f>'AP01'!B241</f>
        <v>50151</v>
      </c>
      <c r="C234" s="50"/>
      <c r="D234" s="51">
        <f>'AP01'!M241</f>
        <v>2084.438486</v>
      </c>
      <c r="E234" s="45">
        <f>'AP02'!M241</f>
        <v>1674.269755</v>
      </c>
      <c r="F234" s="51">
        <f t="shared" si="2"/>
        <v>410.1687311</v>
      </c>
      <c r="G234" s="45">
        <f>G233+'AP03'!$F234</f>
        <v>99307.46678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56">
        <f t="shared" si="1"/>
        <v>228</v>
      </c>
      <c r="B235" s="50">
        <f>'AP01'!B242</f>
        <v>50181</v>
      </c>
      <c r="C235" s="50"/>
      <c r="D235" s="51">
        <f>'AP01'!M242</f>
        <v>2076.110873</v>
      </c>
      <c r="E235" s="45">
        <f>'AP02'!M242</f>
        <v>1668.665038</v>
      </c>
      <c r="F235" s="51">
        <f t="shared" si="2"/>
        <v>407.4458354</v>
      </c>
      <c r="G235" s="45">
        <f>G234+'AP03'!$F235</f>
        <v>99714.91262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56">
        <f t="shared" si="1"/>
        <v>229</v>
      </c>
      <c r="B236" s="50">
        <f>'AP01'!B243</f>
        <v>50212</v>
      </c>
      <c r="C236" s="50"/>
      <c r="D236" s="51">
        <f>'AP01'!M243</f>
        <v>2067.78326</v>
      </c>
      <c r="E236" s="45">
        <f>'AP02'!M243</f>
        <v>1663.060321</v>
      </c>
      <c r="F236" s="51">
        <f t="shared" si="2"/>
        <v>404.7229398</v>
      </c>
      <c r="G236" s="45">
        <f>G235+'AP03'!$F236</f>
        <v>100119.6356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56">
        <f t="shared" si="1"/>
        <v>230</v>
      </c>
      <c r="B237" s="50">
        <f>'AP01'!B244</f>
        <v>50242</v>
      </c>
      <c r="C237" s="50"/>
      <c r="D237" s="51">
        <f>'AP01'!M244</f>
        <v>2059.455648</v>
      </c>
      <c r="E237" s="45">
        <f>'AP02'!M244</f>
        <v>1657.455604</v>
      </c>
      <c r="F237" s="51">
        <f t="shared" si="2"/>
        <v>402.0000442</v>
      </c>
      <c r="G237" s="45">
        <f>G236+'AP03'!$F237</f>
        <v>100521.6356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56">
        <f t="shared" si="1"/>
        <v>231</v>
      </c>
      <c r="B238" s="50">
        <f>'AP01'!B245</f>
        <v>50273</v>
      </c>
      <c r="C238" s="50"/>
      <c r="D238" s="51">
        <f>'AP01'!M245</f>
        <v>2051.128035</v>
      </c>
      <c r="E238" s="45">
        <f>'AP02'!M245</f>
        <v>1651.850887</v>
      </c>
      <c r="F238" s="51">
        <f t="shared" si="2"/>
        <v>399.2771485</v>
      </c>
      <c r="G238" s="45">
        <f>G237+'AP03'!$F238</f>
        <v>100920.9127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56">
        <f t="shared" si="1"/>
        <v>232</v>
      </c>
      <c r="B239" s="50">
        <f>'AP01'!B246</f>
        <v>50304</v>
      </c>
      <c r="C239" s="50"/>
      <c r="D239" s="51">
        <f>'AP01'!M246</f>
        <v>2042.800423</v>
      </c>
      <c r="E239" s="45">
        <f>'AP02'!M246</f>
        <v>1646.24617</v>
      </c>
      <c r="F239" s="51">
        <f t="shared" si="2"/>
        <v>396.5542529</v>
      </c>
      <c r="G239" s="45">
        <f>G238+'AP03'!$F239</f>
        <v>101317.467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56">
        <f t="shared" si="1"/>
        <v>233</v>
      </c>
      <c r="B240" s="50">
        <f>'AP01'!B247</f>
        <v>50334</v>
      </c>
      <c r="C240" s="50"/>
      <c r="D240" s="51">
        <f>'AP01'!M247</f>
        <v>2034.47281</v>
      </c>
      <c r="E240" s="45">
        <f>'AP02'!M247</f>
        <v>1640.641453</v>
      </c>
      <c r="F240" s="51">
        <f t="shared" si="2"/>
        <v>393.8313573</v>
      </c>
      <c r="G240" s="45">
        <f>G239+'AP03'!$F240</f>
        <v>101711.2984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56">
        <f t="shared" si="1"/>
        <v>234</v>
      </c>
      <c r="B241" s="50">
        <f>'AP01'!B248</f>
        <v>50365</v>
      </c>
      <c r="C241" s="50"/>
      <c r="D241" s="51">
        <f>'AP01'!M248</f>
        <v>2026.145197</v>
      </c>
      <c r="E241" s="45">
        <f>'AP02'!M248</f>
        <v>1635.036736</v>
      </c>
      <c r="F241" s="51">
        <f t="shared" si="2"/>
        <v>391.1084616</v>
      </c>
      <c r="G241" s="45">
        <f>G240+'AP03'!$F241</f>
        <v>102102.4068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56">
        <f t="shared" si="1"/>
        <v>235</v>
      </c>
      <c r="B242" s="50">
        <f>'AP01'!B249</f>
        <v>50395</v>
      </c>
      <c r="C242" s="50"/>
      <c r="D242" s="51">
        <f>'AP01'!M249</f>
        <v>2026.974739</v>
      </c>
      <c r="E242" s="45">
        <f>'AP02'!M249</f>
        <v>1629.432019</v>
      </c>
      <c r="F242" s="51">
        <f t="shared" si="2"/>
        <v>397.5427205</v>
      </c>
      <c r="G242" s="45">
        <f>G241+'AP03'!$F242</f>
        <v>102499.9495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56">
        <f t="shared" si="1"/>
        <v>236</v>
      </c>
      <c r="B243" s="50">
        <f>'AP01'!B250</f>
        <v>50426</v>
      </c>
      <c r="C243" s="50"/>
      <c r="D243" s="51">
        <f>'AP01'!M250</f>
        <v>2018.574451</v>
      </c>
      <c r="E243" s="45">
        <f>'AP02'!M250</f>
        <v>1623.827302</v>
      </c>
      <c r="F243" s="51">
        <f t="shared" si="2"/>
        <v>394.747149</v>
      </c>
      <c r="G243" s="45">
        <f>G242+'AP03'!$F243</f>
        <v>102894.6967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56">
        <f t="shared" si="1"/>
        <v>237</v>
      </c>
      <c r="B244" s="50">
        <f>'AP01'!B251</f>
        <v>50457</v>
      </c>
      <c r="C244" s="50"/>
      <c r="D244" s="51">
        <f>'AP01'!M251</f>
        <v>2010.174162</v>
      </c>
      <c r="E244" s="45">
        <f>'AP02'!M251</f>
        <v>1618.222585</v>
      </c>
      <c r="F244" s="51">
        <f t="shared" si="2"/>
        <v>391.9515776</v>
      </c>
      <c r="G244" s="45">
        <f>G243+'AP03'!$F244</f>
        <v>103286.6483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56">
        <f t="shared" si="1"/>
        <v>238</v>
      </c>
      <c r="B245" s="50">
        <f>'AP01'!B252</f>
        <v>50485</v>
      </c>
      <c r="C245" s="50"/>
      <c r="D245" s="51">
        <f>'AP01'!M252</f>
        <v>2001.773874</v>
      </c>
      <c r="E245" s="45">
        <f>'AP02'!M252</f>
        <v>1612.617868</v>
      </c>
      <c r="F245" s="51">
        <f t="shared" si="2"/>
        <v>389.1560061</v>
      </c>
      <c r="G245" s="45">
        <f>G244+'AP03'!$F245</f>
        <v>103675.8043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56">
        <f t="shared" si="1"/>
        <v>239</v>
      </c>
      <c r="B246" s="50">
        <f>'AP01'!B253</f>
        <v>50516</v>
      </c>
      <c r="C246" s="50"/>
      <c r="D246" s="51">
        <f>'AP01'!M253</f>
        <v>1993.373585</v>
      </c>
      <c r="E246" s="45">
        <f>'AP02'!M253</f>
        <v>1607.013151</v>
      </c>
      <c r="F246" s="51">
        <f t="shared" si="2"/>
        <v>386.3604346</v>
      </c>
      <c r="G246" s="45">
        <f>G245+'AP03'!$F246</f>
        <v>104062.1647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56">
        <f t="shared" si="1"/>
        <v>240</v>
      </c>
      <c r="B247" s="50">
        <f>'AP01'!B254</f>
        <v>50546</v>
      </c>
      <c r="C247" s="50"/>
      <c r="D247" s="51">
        <f>'AP01'!M254</f>
        <v>1984.973297</v>
      </c>
      <c r="E247" s="45">
        <f>'AP02'!M254</f>
        <v>1601.408434</v>
      </c>
      <c r="F247" s="51">
        <f t="shared" si="2"/>
        <v>383.5648632</v>
      </c>
      <c r="G247" s="45">
        <f>G246+'AP03'!$F247</f>
        <v>104445.7296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56">
        <f t="shared" si="1"/>
        <v>241</v>
      </c>
      <c r="B248" s="50">
        <f>'AP01'!B255</f>
        <v>50577</v>
      </c>
      <c r="C248" s="50"/>
      <c r="D248" s="51">
        <f>'AP01'!M255</f>
        <v>1976.573008</v>
      </c>
      <c r="E248" s="45">
        <f>'AP02'!M255</f>
        <v>1595.803717</v>
      </c>
      <c r="F248" s="51">
        <f t="shared" si="2"/>
        <v>380.7692917</v>
      </c>
      <c r="G248" s="45">
        <f>G247+'AP03'!$F248</f>
        <v>104826.4989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56">
        <f t="shared" si="1"/>
        <v>242</v>
      </c>
      <c r="B249" s="50">
        <f>'AP01'!B256</f>
        <v>50607</v>
      </c>
      <c r="C249" s="50"/>
      <c r="D249" s="51">
        <f>'AP01'!M256</f>
        <v>1968.17272</v>
      </c>
      <c r="E249" s="45">
        <f>'AP02'!M256</f>
        <v>1590.199</v>
      </c>
      <c r="F249" s="51">
        <f t="shared" si="2"/>
        <v>377.9737202</v>
      </c>
      <c r="G249" s="45">
        <f>G248+'AP03'!$F249</f>
        <v>105204.4726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56">
        <f t="shared" si="1"/>
        <v>243</v>
      </c>
      <c r="B250" s="50">
        <f>'AP01'!B257</f>
        <v>50638</v>
      </c>
      <c r="C250" s="50"/>
      <c r="D250" s="51">
        <f>'AP01'!M257</f>
        <v>1959.772432</v>
      </c>
      <c r="E250" s="45">
        <f>'AP02'!M257</f>
        <v>1584.594283</v>
      </c>
      <c r="F250" s="51">
        <f t="shared" si="2"/>
        <v>375.1781488</v>
      </c>
      <c r="G250" s="45">
        <f>G249+'AP03'!$F250</f>
        <v>105579.6507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56">
        <f t="shared" si="1"/>
        <v>244</v>
      </c>
      <c r="B251" s="50">
        <f>'AP01'!B258</f>
        <v>50669</v>
      </c>
      <c r="C251" s="50"/>
      <c r="D251" s="51">
        <f>'AP01'!M258</f>
        <v>1951.372143</v>
      </c>
      <c r="E251" s="45">
        <f>'AP02'!M258</f>
        <v>1578.989566</v>
      </c>
      <c r="F251" s="51">
        <f t="shared" si="2"/>
        <v>372.3825773</v>
      </c>
      <c r="G251" s="45">
        <f>G250+'AP03'!$F251</f>
        <v>105952.0333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56">
        <f t="shared" si="1"/>
        <v>245</v>
      </c>
      <c r="B252" s="50">
        <f>'AP01'!B259</f>
        <v>50699</v>
      </c>
      <c r="C252" s="50"/>
      <c r="D252" s="51">
        <f>'AP01'!M259</f>
        <v>1942.971855</v>
      </c>
      <c r="E252" s="45">
        <f>'AP02'!M259</f>
        <v>1573.384849</v>
      </c>
      <c r="F252" s="51">
        <f t="shared" si="2"/>
        <v>369.5870059</v>
      </c>
      <c r="G252" s="45">
        <f>G251+'AP03'!$F252</f>
        <v>106321.6203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56">
        <f t="shared" si="1"/>
        <v>246</v>
      </c>
      <c r="B253" s="50">
        <f>'AP01'!B260</f>
        <v>50730</v>
      </c>
      <c r="C253" s="50"/>
      <c r="D253" s="51">
        <f>'AP01'!M260</f>
        <v>1934.571566</v>
      </c>
      <c r="E253" s="45">
        <f>'AP02'!M260</f>
        <v>1567.780132</v>
      </c>
      <c r="F253" s="51">
        <f t="shared" si="2"/>
        <v>366.7914344</v>
      </c>
      <c r="G253" s="45">
        <f>G252+'AP03'!$F253</f>
        <v>106688.4117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56">
        <f t="shared" si="1"/>
        <v>247</v>
      </c>
      <c r="B254" s="50">
        <f>'AP01'!B261</f>
        <v>50760</v>
      </c>
      <c r="C254" s="50"/>
      <c r="D254" s="51">
        <f>'AP01'!M261</f>
        <v>1934.909169</v>
      </c>
      <c r="E254" s="45">
        <f>'AP02'!M261</f>
        <v>1562.175415</v>
      </c>
      <c r="F254" s="51">
        <f t="shared" si="2"/>
        <v>372.7337546</v>
      </c>
      <c r="G254" s="45">
        <f>G253+'AP03'!$F254</f>
        <v>107061.1455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56">
        <f t="shared" si="1"/>
        <v>248</v>
      </c>
      <c r="B255" s="50">
        <f>'AP01'!B262</f>
        <v>50791</v>
      </c>
      <c r="C255" s="50"/>
      <c r="D255" s="51">
        <f>'AP01'!M262</f>
        <v>1926.432233</v>
      </c>
      <c r="E255" s="45">
        <f>'AP02'!M262</f>
        <v>1556.570698</v>
      </c>
      <c r="F255" s="51">
        <f t="shared" si="2"/>
        <v>369.861535</v>
      </c>
      <c r="G255" s="45">
        <f>G254+'AP03'!$F255</f>
        <v>107431.007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56">
        <f t="shared" si="1"/>
        <v>249</v>
      </c>
      <c r="B256" s="50">
        <f>'AP01'!B263</f>
        <v>50822</v>
      </c>
      <c r="C256" s="50"/>
      <c r="D256" s="51">
        <f>'AP01'!M263</f>
        <v>1917.955296</v>
      </c>
      <c r="E256" s="45">
        <f>'AP02'!M263</f>
        <v>1550.965981</v>
      </c>
      <c r="F256" s="51">
        <f t="shared" si="2"/>
        <v>366.9893154</v>
      </c>
      <c r="G256" s="45">
        <f>G255+'AP03'!$F256</f>
        <v>107797.9964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56">
        <f t="shared" si="1"/>
        <v>250</v>
      </c>
      <c r="B257" s="50">
        <f>'AP01'!B264</f>
        <v>50850</v>
      </c>
      <c r="C257" s="50"/>
      <c r="D257" s="51">
        <f>'AP01'!M264</f>
        <v>1909.47836</v>
      </c>
      <c r="E257" s="45">
        <f>'AP02'!M264</f>
        <v>1545.361264</v>
      </c>
      <c r="F257" s="51">
        <f t="shared" si="2"/>
        <v>364.1170957</v>
      </c>
      <c r="G257" s="45">
        <f>G256+'AP03'!$F257</f>
        <v>108162.1134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56">
        <f t="shared" si="1"/>
        <v>251</v>
      </c>
      <c r="B258" s="50">
        <f>'AP01'!B265</f>
        <v>50881</v>
      </c>
      <c r="C258" s="50"/>
      <c r="D258" s="51">
        <f>'AP01'!M265</f>
        <v>1901.001423</v>
      </c>
      <c r="E258" s="45">
        <f>'AP02'!M265</f>
        <v>1539.756547</v>
      </c>
      <c r="F258" s="51">
        <f t="shared" si="2"/>
        <v>361.2448761</v>
      </c>
      <c r="G258" s="45">
        <f>G257+'AP03'!$F258</f>
        <v>108523.3583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56">
        <f t="shared" si="1"/>
        <v>252</v>
      </c>
      <c r="B259" s="50">
        <f>'AP01'!B266</f>
        <v>50911</v>
      </c>
      <c r="C259" s="50"/>
      <c r="D259" s="51">
        <f>'AP01'!M266</f>
        <v>1892.524486</v>
      </c>
      <c r="E259" s="45">
        <f>'AP02'!M266</f>
        <v>1534.15183</v>
      </c>
      <c r="F259" s="51">
        <f t="shared" si="2"/>
        <v>358.3726565</v>
      </c>
      <c r="G259" s="45">
        <f>G258+'AP03'!$F259</f>
        <v>108881.731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56">
        <f t="shared" si="1"/>
        <v>253</v>
      </c>
      <c r="B260" s="50">
        <f>'AP01'!B267</f>
        <v>50942</v>
      </c>
      <c r="C260" s="50"/>
      <c r="D260" s="51">
        <f>'AP01'!M267</f>
        <v>1884.04755</v>
      </c>
      <c r="E260" s="45">
        <f>'AP02'!M267</f>
        <v>1528.547113</v>
      </c>
      <c r="F260" s="51">
        <f t="shared" si="2"/>
        <v>355.5004368</v>
      </c>
      <c r="G260" s="45">
        <f>G259+'AP03'!$F260</f>
        <v>109237.2314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56">
        <f t="shared" si="1"/>
        <v>254</v>
      </c>
      <c r="B261" s="50">
        <f>'AP01'!B268</f>
        <v>50972</v>
      </c>
      <c r="C261" s="50"/>
      <c r="D261" s="51">
        <f>'AP01'!M268</f>
        <v>1875.570613</v>
      </c>
      <c r="E261" s="45">
        <f>'AP02'!M268</f>
        <v>1522.942396</v>
      </c>
      <c r="F261" s="51">
        <f t="shared" si="2"/>
        <v>352.6282172</v>
      </c>
      <c r="G261" s="45">
        <f>G260+'AP03'!$F261</f>
        <v>109589.8596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56">
        <f t="shared" si="1"/>
        <v>255</v>
      </c>
      <c r="B262" s="50">
        <f>'AP01'!B269</f>
        <v>51003</v>
      </c>
      <c r="C262" s="50"/>
      <c r="D262" s="51">
        <f>'AP01'!M269</f>
        <v>1867.093676</v>
      </c>
      <c r="E262" s="45">
        <f>'AP02'!M269</f>
        <v>1517.337679</v>
      </c>
      <c r="F262" s="51">
        <f t="shared" si="2"/>
        <v>349.7559975</v>
      </c>
      <c r="G262" s="45">
        <f>G261+'AP03'!$F262</f>
        <v>109939.6156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56">
        <f t="shared" si="1"/>
        <v>256</v>
      </c>
      <c r="B263" s="50">
        <f>'AP01'!B270</f>
        <v>51034</v>
      </c>
      <c r="C263" s="50"/>
      <c r="D263" s="51">
        <f>'AP01'!M270</f>
        <v>1858.61674</v>
      </c>
      <c r="E263" s="45">
        <f>'AP02'!M270</f>
        <v>1511.732962</v>
      </c>
      <c r="F263" s="51">
        <f t="shared" si="2"/>
        <v>346.8837779</v>
      </c>
      <c r="G263" s="45">
        <f>G262+'AP03'!$F263</f>
        <v>110286.4994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56">
        <f t="shared" si="1"/>
        <v>257</v>
      </c>
      <c r="B264" s="50">
        <f>'AP01'!B271</f>
        <v>51064</v>
      </c>
      <c r="C264" s="50"/>
      <c r="D264" s="51">
        <f>'AP01'!M271</f>
        <v>1850.139803</v>
      </c>
      <c r="E264" s="45">
        <f>'AP02'!M271</f>
        <v>1506.128245</v>
      </c>
      <c r="F264" s="51">
        <f t="shared" si="2"/>
        <v>344.0115583</v>
      </c>
      <c r="G264" s="45">
        <f>G263+'AP03'!$F264</f>
        <v>110630.511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56">
        <f t="shared" si="1"/>
        <v>258</v>
      </c>
      <c r="B265" s="50">
        <f>'AP01'!B272</f>
        <v>51095</v>
      </c>
      <c r="C265" s="50"/>
      <c r="D265" s="51">
        <f>'AP01'!M272</f>
        <v>1841.662867</v>
      </c>
      <c r="E265" s="45">
        <f>'AP02'!M272</f>
        <v>1500.523528</v>
      </c>
      <c r="F265" s="51">
        <f t="shared" si="2"/>
        <v>341.1393386</v>
      </c>
      <c r="G265" s="45">
        <f>G264+'AP03'!$F265</f>
        <v>110971.6503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56">
        <f t="shared" si="1"/>
        <v>259</v>
      </c>
      <c r="B266" s="50">
        <f>'AP01'!B273</f>
        <v>51125</v>
      </c>
      <c r="C266" s="50"/>
      <c r="D266" s="51">
        <f>'AP01'!M273</f>
        <v>1841.473683</v>
      </c>
      <c r="E266" s="45">
        <f>'AP02'!M273</f>
        <v>1494.918811</v>
      </c>
      <c r="F266" s="51">
        <f t="shared" si="2"/>
        <v>346.554872</v>
      </c>
      <c r="G266" s="45">
        <f>G265+'AP03'!$F266</f>
        <v>111318.2052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56">
        <f t="shared" si="1"/>
        <v>260</v>
      </c>
      <c r="B267" s="50">
        <f>'AP01'!B274</f>
        <v>51156</v>
      </c>
      <c r="C267" s="50"/>
      <c r="D267" s="51">
        <f>'AP01'!M274</f>
        <v>1832.915494</v>
      </c>
      <c r="E267" s="45">
        <f>'AP02'!M274</f>
        <v>1489.314094</v>
      </c>
      <c r="F267" s="51">
        <f t="shared" si="2"/>
        <v>343.6013999</v>
      </c>
      <c r="G267" s="45">
        <f>G266+'AP03'!$F267</f>
        <v>111661.8066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56">
        <f t="shared" si="1"/>
        <v>261</v>
      </c>
      <c r="B268" s="50">
        <f>'AP01'!B275</f>
        <v>51187</v>
      </c>
      <c r="C268" s="50"/>
      <c r="D268" s="51">
        <f>'AP01'!M275</f>
        <v>1824.357305</v>
      </c>
      <c r="E268" s="45">
        <f>'AP02'!M275</f>
        <v>1483.709377</v>
      </c>
      <c r="F268" s="51">
        <f t="shared" si="2"/>
        <v>340.6479277</v>
      </c>
      <c r="G268" s="45">
        <f>G267+'AP03'!$F268</f>
        <v>112002.4545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56">
        <f t="shared" si="1"/>
        <v>262</v>
      </c>
      <c r="B269" s="50">
        <f>'AP01'!B276</f>
        <v>51216</v>
      </c>
      <c r="C269" s="50"/>
      <c r="D269" s="51">
        <f>'AP01'!M276</f>
        <v>1815.799116</v>
      </c>
      <c r="E269" s="45">
        <f>'AP02'!M276</f>
        <v>1478.10466</v>
      </c>
      <c r="F269" s="51">
        <f t="shared" si="2"/>
        <v>337.6944556</v>
      </c>
      <c r="G269" s="45">
        <f>G268+'AP03'!$F269</f>
        <v>112340.149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56">
        <f t="shared" si="1"/>
        <v>263</v>
      </c>
      <c r="B270" s="50">
        <f>'AP01'!B277</f>
        <v>51247</v>
      </c>
      <c r="C270" s="50"/>
      <c r="D270" s="51">
        <f>'AP01'!M277</f>
        <v>1807.240926</v>
      </c>
      <c r="E270" s="45">
        <f>'AP02'!M277</f>
        <v>1472.499943</v>
      </c>
      <c r="F270" s="51">
        <f t="shared" si="2"/>
        <v>334.7409835</v>
      </c>
      <c r="G270" s="45">
        <f>G269+'AP03'!$F270</f>
        <v>112674.8899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56">
        <f t="shared" si="1"/>
        <v>264</v>
      </c>
      <c r="B271" s="50">
        <f>'AP01'!B278</f>
        <v>51277</v>
      </c>
      <c r="C271" s="50"/>
      <c r="D271" s="51">
        <f>'AP01'!M278</f>
        <v>1798.682737</v>
      </c>
      <c r="E271" s="45">
        <f>'AP02'!M278</f>
        <v>1466.895226</v>
      </c>
      <c r="F271" s="51">
        <f t="shared" si="2"/>
        <v>331.7875114</v>
      </c>
      <c r="G271" s="45">
        <f>G270+'AP03'!$F271</f>
        <v>113006.6775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56">
        <f t="shared" si="1"/>
        <v>265</v>
      </c>
      <c r="B272" s="50">
        <f>'AP01'!B279</f>
        <v>51308</v>
      </c>
      <c r="C272" s="50"/>
      <c r="D272" s="51">
        <f>'AP01'!M279</f>
        <v>1790.124548</v>
      </c>
      <c r="E272" s="45">
        <f>'AP02'!M279</f>
        <v>1461.290509</v>
      </c>
      <c r="F272" s="51">
        <f t="shared" si="2"/>
        <v>328.8340393</v>
      </c>
      <c r="G272" s="45">
        <f>G271+'AP03'!$F272</f>
        <v>113335.5115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56">
        <f t="shared" si="1"/>
        <v>266</v>
      </c>
      <c r="B273" s="50">
        <f>'AP01'!B280</f>
        <v>51338</v>
      </c>
      <c r="C273" s="50"/>
      <c r="D273" s="51">
        <f>'AP01'!M280</f>
        <v>1781.566359</v>
      </c>
      <c r="E273" s="45">
        <f>'AP02'!M280</f>
        <v>1455.685792</v>
      </c>
      <c r="F273" s="51">
        <f t="shared" si="2"/>
        <v>325.8805672</v>
      </c>
      <c r="G273" s="45">
        <f>G272+'AP03'!$F273</f>
        <v>113661.3921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56">
        <f t="shared" si="1"/>
        <v>267</v>
      </c>
      <c r="B274" s="50">
        <f>'AP01'!B281</f>
        <v>51369</v>
      </c>
      <c r="C274" s="50"/>
      <c r="D274" s="51">
        <f>'AP01'!M281</f>
        <v>1773.00817</v>
      </c>
      <c r="E274" s="45">
        <f>'AP02'!M281</f>
        <v>1450.081075</v>
      </c>
      <c r="F274" s="51">
        <f t="shared" si="2"/>
        <v>322.927095</v>
      </c>
      <c r="G274" s="45">
        <f>G273+'AP03'!$F274</f>
        <v>113984.3192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56">
        <f t="shared" si="1"/>
        <v>268</v>
      </c>
      <c r="B275" s="50">
        <f>'AP01'!B282</f>
        <v>51400</v>
      </c>
      <c r="C275" s="50"/>
      <c r="D275" s="51">
        <f>'AP01'!M282</f>
        <v>1764.449981</v>
      </c>
      <c r="E275" s="45">
        <f>'AP02'!M282</f>
        <v>1444.476358</v>
      </c>
      <c r="F275" s="51">
        <f t="shared" si="2"/>
        <v>319.9736229</v>
      </c>
      <c r="G275" s="45">
        <f>G274+'AP03'!$F275</f>
        <v>114304.2928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56">
        <f t="shared" si="1"/>
        <v>269</v>
      </c>
      <c r="B276" s="50">
        <f>'AP01'!B283</f>
        <v>51430</v>
      </c>
      <c r="C276" s="50"/>
      <c r="D276" s="51">
        <f>'AP01'!M283</f>
        <v>1755.891792</v>
      </c>
      <c r="E276" s="45">
        <f>'AP02'!M283</f>
        <v>1438.871641</v>
      </c>
      <c r="F276" s="51">
        <f t="shared" si="2"/>
        <v>317.0201508</v>
      </c>
      <c r="G276" s="45">
        <f>G275+'AP03'!$F276</f>
        <v>114621.3129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56">
        <f t="shared" si="1"/>
        <v>270</v>
      </c>
      <c r="B277" s="50">
        <f>'AP01'!B284</f>
        <v>51461</v>
      </c>
      <c r="C277" s="50"/>
      <c r="D277" s="51">
        <f>'AP01'!M284</f>
        <v>1747.333603</v>
      </c>
      <c r="E277" s="45">
        <f>'AP02'!M284</f>
        <v>1433.266924</v>
      </c>
      <c r="F277" s="51">
        <f t="shared" si="2"/>
        <v>314.0666787</v>
      </c>
      <c r="G277" s="45">
        <f>G276+'AP03'!$F277</f>
        <v>114935.3796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56">
        <f t="shared" si="1"/>
        <v>271</v>
      </c>
      <c r="B278" s="50">
        <f>'AP01'!B285</f>
        <v>51491</v>
      </c>
      <c r="C278" s="50"/>
      <c r="D278" s="51">
        <f>'AP01'!M285</f>
        <v>1746.583777</v>
      </c>
      <c r="E278" s="45">
        <f>'AP02'!M285</f>
        <v>1427.662207</v>
      </c>
      <c r="F278" s="51">
        <f t="shared" si="2"/>
        <v>318.9215699</v>
      </c>
      <c r="G278" s="45">
        <f>G277+'AP03'!$F278</f>
        <v>115254.3012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56">
        <f t="shared" si="1"/>
        <v>272</v>
      </c>
      <c r="B279" s="50">
        <f>'AP01'!B286</f>
        <v>51522</v>
      </c>
      <c r="C279" s="50"/>
      <c r="D279" s="51">
        <f>'AP01'!M286</f>
        <v>1737.938828</v>
      </c>
      <c r="E279" s="45">
        <f>'AP02'!M286</f>
        <v>1422.05749</v>
      </c>
      <c r="F279" s="51">
        <f t="shared" si="2"/>
        <v>315.8813382</v>
      </c>
      <c r="G279" s="45">
        <f>G278+'AP03'!$F279</f>
        <v>115570.1825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56">
        <f t="shared" si="1"/>
        <v>273</v>
      </c>
      <c r="B280" s="50">
        <f>'AP01'!B287</f>
        <v>51553</v>
      </c>
      <c r="C280" s="50"/>
      <c r="D280" s="51">
        <f>'AP01'!M287</f>
        <v>1729.29388</v>
      </c>
      <c r="E280" s="45">
        <f>'AP02'!M287</f>
        <v>1416.452773</v>
      </c>
      <c r="F280" s="51">
        <f t="shared" si="2"/>
        <v>312.8411065</v>
      </c>
      <c r="G280" s="45">
        <f>G279+'AP03'!$F280</f>
        <v>115883.0236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56">
        <f t="shared" si="1"/>
        <v>274</v>
      </c>
      <c r="B281" s="50">
        <f>'AP01'!B288</f>
        <v>51581</v>
      </c>
      <c r="C281" s="50"/>
      <c r="D281" s="51">
        <f>'AP01'!M288</f>
        <v>1720.648931</v>
      </c>
      <c r="E281" s="45">
        <f>'AP02'!M288</f>
        <v>1410.848056</v>
      </c>
      <c r="F281" s="51">
        <f t="shared" si="2"/>
        <v>309.8008748</v>
      </c>
      <c r="G281" s="45">
        <f>G280+'AP03'!$F281</f>
        <v>116192.8245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56">
        <f t="shared" si="1"/>
        <v>275</v>
      </c>
      <c r="B282" s="50">
        <f>'AP01'!B289</f>
        <v>51612</v>
      </c>
      <c r="C282" s="50"/>
      <c r="D282" s="51">
        <f>'AP01'!M289</f>
        <v>1712.003982</v>
      </c>
      <c r="E282" s="45">
        <f>'AP02'!M289</f>
        <v>1405.243339</v>
      </c>
      <c r="F282" s="51">
        <f t="shared" si="2"/>
        <v>306.7606431</v>
      </c>
      <c r="G282" s="45">
        <f>G281+'AP03'!$F282</f>
        <v>116499.5851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56">
        <f t="shared" si="1"/>
        <v>276</v>
      </c>
      <c r="B283" s="50">
        <f>'AP01'!B290</f>
        <v>51642</v>
      </c>
      <c r="C283" s="50"/>
      <c r="D283" s="51">
        <f>'AP01'!M290</f>
        <v>1703.359033</v>
      </c>
      <c r="E283" s="45">
        <f>'AP02'!M290</f>
        <v>1399.638622</v>
      </c>
      <c r="F283" s="51">
        <f t="shared" si="2"/>
        <v>303.7204114</v>
      </c>
      <c r="G283" s="45">
        <f>G282+'AP03'!$F283</f>
        <v>116803.3056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56">
        <f t="shared" si="1"/>
        <v>277</v>
      </c>
      <c r="B284" s="50">
        <f>'AP01'!B291</f>
        <v>51673</v>
      </c>
      <c r="C284" s="50"/>
      <c r="D284" s="51">
        <f>'AP01'!M291</f>
        <v>1694.714085</v>
      </c>
      <c r="E284" s="45">
        <f>'AP02'!M291</f>
        <v>1394.033905</v>
      </c>
      <c r="F284" s="51">
        <f t="shared" si="2"/>
        <v>300.6801796</v>
      </c>
      <c r="G284" s="45">
        <f>G283+'AP03'!$F284</f>
        <v>117103.9857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56">
        <f t="shared" si="1"/>
        <v>278</v>
      </c>
      <c r="B285" s="50">
        <f>'AP01'!B292</f>
        <v>51703</v>
      </c>
      <c r="C285" s="50"/>
      <c r="D285" s="51">
        <f>'AP01'!M292</f>
        <v>1686.069136</v>
      </c>
      <c r="E285" s="45">
        <f>'AP02'!M292</f>
        <v>1388.429188</v>
      </c>
      <c r="F285" s="51">
        <f t="shared" si="2"/>
        <v>297.6399479</v>
      </c>
      <c r="G285" s="45">
        <f>G284+'AP03'!$F285</f>
        <v>117401.6257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56">
        <f t="shared" si="1"/>
        <v>279</v>
      </c>
      <c r="B286" s="50">
        <f>'AP01'!B293</f>
        <v>51734</v>
      </c>
      <c r="C286" s="50"/>
      <c r="D286" s="51">
        <f>'AP01'!M293</f>
        <v>1677.424187</v>
      </c>
      <c r="E286" s="45">
        <f>'AP02'!M293</f>
        <v>1382.824471</v>
      </c>
      <c r="F286" s="51">
        <f t="shared" si="2"/>
        <v>294.5997162</v>
      </c>
      <c r="G286" s="45">
        <f>G285+'AP03'!$F286</f>
        <v>117696.2254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56">
        <f t="shared" si="1"/>
        <v>280</v>
      </c>
      <c r="B287" s="50">
        <f>'AP01'!B294</f>
        <v>51765</v>
      </c>
      <c r="C287" s="50"/>
      <c r="D287" s="51">
        <f>'AP01'!M294</f>
        <v>1668.779239</v>
      </c>
      <c r="E287" s="45">
        <f>'AP02'!M294</f>
        <v>1377.219754</v>
      </c>
      <c r="F287" s="51">
        <f t="shared" si="2"/>
        <v>291.5594845</v>
      </c>
      <c r="G287" s="45">
        <f>G286+'AP03'!$F287</f>
        <v>117987.7849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56">
        <f t="shared" si="1"/>
        <v>281</v>
      </c>
      <c r="B288" s="50">
        <f>'AP01'!B295</f>
        <v>51795</v>
      </c>
      <c r="C288" s="50"/>
      <c r="D288" s="51">
        <f>'AP01'!M295</f>
        <v>1660.13429</v>
      </c>
      <c r="E288" s="45">
        <f>'AP02'!M295</f>
        <v>1371.615037</v>
      </c>
      <c r="F288" s="51">
        <f t="shared" si="2"/>
        <v>288.5192528</v>
      </c>
      <c r="G288" s="45">
        <f>G287+'AP03'!$F288</f>
        <v>118276.3041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56">
        <f t="shared" si="1"/>
        <v>282</v>
      </c>
      <c r="B289" s="50">
        <f>'AP01'!B296</f>
        <v>51826</v>
      </c>
      <c r="C289" s="50"/>
      <c r="D289" s="51">
        <f>'AP01'!M296</f>
        <v>1651.489341</v>
      </c>
      <c r="E289" s="45">
        <f>'AP02'!M296</f>
        <v>1366.01032</v>
      </c>
      <c r="F289" s="51">
        <f t="shared" si="2"/>
        <v>285.4790211</v>
      </c>
      <c r="G289" s="45">
        <f>G288+'AP03'!$F289</f>
        <v>118561.7832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56">
        <f t="shared" si="1"/>
        <v>283</v>
      </c>
      <c r="B290" s="50">
        <f>'AP01'!B297</f>
        <v>51856</v>
      </c>
      <c r="C290" s="50"/>
      <c r="D290" s="51">
        <f>'AP01'!M297</f>
        <v>1661.744803</v>
      </c>
      <c r="E290" s="45">
        <f>'AP02'!M297</f>
        <v>1360.405603</v>
      </c>
      <c r="F290" s="51">
        <f t="shared" si="2"/>
        <v>301.3391996</v>
      </c>
      <c r="G290" s="45">
        <f>G289+'AP03'!$F290</f>
        <v>118863.1224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56">
        <f t="shared" si="1"/>
        <v>284</v>
      </c>
      <c r="B291" s="50">
        <f>'AP01'!B298</f>
        <v>51887</v>
      </c>
      <c r="C291" s="50"/>
      <c r="D291" s="51">
        <f>'AP01'!M298</f>
        <v>1652.857541</v>
      </c>
      <c r="E291" s="45">
        <f>'AP02'!M298</f>
        <v>1354.800886</v>
      </c>
      <c r="F291" s="51">
        <f t="shared" si="2"/>
        <v>298.056655</v>
      </c>
      <c r="G291" s="45">
        <f>G290+'AP03'!$F291</f>
        <v>119161.179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56">
        <f t="shared" si="1"/>
        <v>285</v>
      </c>
      <c r="B292" s="50">
        <f>'AP01'!B299</f>
        <v>51918</v>
      </c>
      <c r="C292" s="50"/>
      <c r="D292" s="51">
        <f>'AP01'!M299</f>
        <v>1643.97028</v>
      </c>
      <c r="E292" s="45">
        <f>'AP02'!M299</f>
        <v>1349.196169</v>
      </c>
      <c r="F292" s="51">
        <f t="shared" si="2"/>
        <v>294.7741103</v>
      </c>
      <c r="G292" s="45">
        <f>G291+'AP03'!$F292</f>
        <v>119455.9531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56">
        <f t="shared" si="1"/>
        <v>286</v>
      </c>
      <c r="B293" s="50">
        <f>'AP01'!B300</f>
        <v>51946</v>
      </c>
      <c r="C293" s="50"/>
      <c r="D293" s="51">
        <f>'AP01'!M300</f>
        <v>1635.083018</v>
      </c>
      <c r="E293" s="45">
        <f>'AP02'!M300</f>
        <v>1343.591452</v>
      </c>
      <c r="F293" s="51">
        <f t="shared" si="2"/>
        <v>291.4915656</v>
      </c>
      <c r="G293" s="45">
        <f>G292+'AP03'!$F293</f>
        <v>119747.4447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56">
        <f t="shared" si="1"/>
        <v>287</v>
      </c>
      <c r="B294" s="50">
        <f>'AP01'!B301</f>
        <v>51977</v>
      </c>
      <c r="C294" s="50"/>
      <c r="D294" s="51">
        <f>'AP01'!M301</f>
        <v>1626.195756</v>
      </c>
      <c r="E294" s="45">
        <f>'AP02'!M301</f>
        <v>1337.986735</v>
      </c>
      <c r="F294" s="51">
        <f t="shared" si="2"/>
        <v>288.209021</v>
      </c>
      <c r="G294" s="45">
        <f>G293+'AP03'!$F294</f>
        <v>120035.6537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56">
        <f t="shared" si="1"/>
        <v>288</v>
      </c>
      <c r="B295" s="50">
        <f>'AP01'!B302</f>
        <v>52007</v>
      </c>
      <c r="C295" s="50"/>
      <c r="D295" s="51">
        <f>'AP01'!M302</f>
        <v>1617.308495</v>
      </c>
      <c r="E295" s="45">
        <f>'AP02'!M302</f>
        <v>1332.382018</v>
      </c>
      <c r="F295" s="51">
        <f t="shared" si="2"/>
        <v>284.9264763</v>
      </c>
      <c r="G295" s="45">
        <f>G294+'AP03'!$F295</f>
        <v>120320.5802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56">
        <f t="shared" si="1"/>
        <v>289</v>
      </c>
      <c r="B296" s="50">
        <f>'AP01'!B303</f>
        <v>52038</v>
      </c>
      <c r="C296" s="50"/>
      <c r="D296" s="51">
        <f>'AP01'!M303</f>
        <v>1608.421233</v>
      </c>
      <c r="E296" s="45">
        <f>'AP02'!M303</f>
        <v>1326.777301</v>
      </c>
      <c r="F296" s="51">
        <f t="shared" si="2"/>
        <v>281.6439317</v>
      </c>
      <c r="G296" s="45">
        <f>G295+'AP03'!$F296</f>
        <v>120602.2241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56">
        <f t="shared" si="1"/>
        <v>290</v>
      </c>
      <c r="B297" s="50">
        <f>'AP01'!B304</f>
        <v>52068</v>
      </c>
      <c r="C297" s="50"/>
      <c r="D297" s="51">
        <f>'AP01'!M304</f>
        <v>1599.533971</v>
      </c>
      <c r="E297" s="45">
        <f>'AP02'!M304</f>
        <v>1321.172584</v>
      </c>
      <c r="F297" s="51">
        <f t="shared" si="2"/>
        <v>278.361387</v>
      </c>
      <c r="G297" s="45">
        <f>G296+'AP03'!$F297</f>
        <v>120880.5855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56">
        <f t="shared" si="1"/>
        <v>291</v>
      </c>
      <c r="B298" s="50">
        <f>'AP01'!B305</f>
        <v>52099</v>
      </c>
      <c r="C298" s="50"/>
      <c r="D298" s="51">
        <f>'AP01'!M305</f>
        <v>1590.64671</v>
      </c>
      <c r="E298" s="45">
        <f>'AP02'!M305</f>
        <v>1315.567867</v>
      </c>
      <c r="F298" s="51">
        <f t="shared" si="2"/>
        <v>275.0788423</v>
      </c>
      <c r="G298" s="45">
        <f>G297+'AP03'!$F298</f>
        <v>121155.6643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56">
        <f t="shared" si="1"/>
        <v>292</v>
      </c>
      <c r="B299" s="50">
        <f>'AP01'!B306</f>
        <v>52130</v>
      </c>
      <c r="C299" s="50"/>
      <c r="D299" s="51">
        <f>'AP01'!M306</f>
        <v>1581.759448</v>
      </c>
      <c r="E299" s="45">
        <f>'AP02'!M306</f>
        <v>1309.96315</v>
      </c>
      <c r="F299" s="51">
        <f t="shared" si="2"/>
        <v>271.7962977</v>
      </c>
      <c r="G299" s="45">
        <f>G298+'AP03'!$F299</f>
        <v>121427.4606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56">
        <f t="shared" si="1"/>
        <v>293</v>
      </c>
      <c r="B300" s="50">
        <f>'AP01'!B307</f>
        <v>52160</v>
      </c>
      <c r="C300" s="50"/>
      <c r="D300" s="51">
        <f>'AP01'!M307</f>
        <v>1572.872186</v>
      </c>
      <c r="E300" s="45">
        <f>'AP02'!M307</f>
        <v>1304.358433</v>
      </c>
      <c r="F300" s="51">
        <f t="shared" si="2"/>
        <v>268.513753</v>
      </c>
      <c r="G300" s="45">
        <f>G299+'AP03'!$F300</f>
        <v>121695.9744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56">
        <f t="shared" si="1"/>
        <v>294</v>
      </c>
      <c r="B301" s="50">
        <f>'AP01'!B308</f>
        <v>52191</v>
      </c>
      <c r="C301" s="50"/>
      <c r="D301" s="51">
        <f>'AP01'!M308</f>
        <v>1563.984925</v>
      </c>
      <c r="E301" s="45">
        <f>'AP02'!M308</f>
        <v>1298.753716</v>
      </c>
      <c r="F301" s="51">
        <f t="shared" si="2"/>
        <v>265.2312084</v>
      </c>
      <c r="G301" s="45">
        <f>G300+'AP03'!$F301</f>
        <v>121961.2056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56">
        <f t="shared" si="1"/>
        <v>295</v>
      </c>
      <c r="B302" s="50">
        <f>'AP01'!B309</f>
        <v>52221</v>
      </c>
      <c r="C302" s="50"/>
      <c r="D302" s="51">
        <f>'AP01'!M309</f>
        <v>1562.563683</v>
      </c>
      <c r="E302" s="45">
        <f>'AP02'!M309</f>
        <v>1293.148999</v>
      </c>
      <c r="F302" s="51">
        <f t="shared" si="2"/>
        <v>269.4146832</v>
      </c>
      <c r="G302" s="45">
        <f>G301+'AP03'!$F302</f>
        <v>122230.6203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56">
        <f t="shared" si="1"/>
        <v>296</v>
      </c>
      <c r="B303" s="50">
        <f>'AP01'!B310</f>
        <v>52252</v>
      </c>
      <c r="C303" s="50"/>
      <c r="D303" s="51">
        <f>'AP01'!M310</f>
        <v>1553.563299</v>
      </c>
      <c r="E303" s="45">
        <f>'AP02'!M310</f>
        <v>1287.544282</v>
      </c>
      <c r="F303" s="51">
        <f t="shared" si="2"/>
        <v>266.0190171</v>
      </c>
      <c r="G303" s="45">
        <f>G302+'AP03'!$F303</f>
        <v>122496.6393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56">
        <f t="shared" si="1"/>
        <v>297</v>
      </c>
      <c r="B304" s="50">
        <f>'AP01'!B311</f>
        <v>52283</v>
      </c>
      <c r="C304" s="50"/>
      <c r="D304" s="51">
        <f>'AP01'!M311</f>
        <v>1544.562916</v>
      </c>
      <c r="E304" s="45">
        <f>'AP02'!M311</f>
        <v>1281.939565</v>
      </c>
      <c r="F304" s="51">
        <f t="shared" si="2"/>
        <v>262.6233509</v>
      </c>
      <c r="G304" s="45">
        <f>G303+'AP03'!$F304</f>
        <v>122759.2627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56">
        <f t="shared" si="1"/>
        <v>298</v>
      </c>
      <c r="B305" s="50">
        <f>'AP01'!B312</f>
        <v>52311</v>
      </c>
      <c r="C305" s="50"/>
      <c r="D305" s="51">
        <f>'AP01'!M312</f>
        <v>1535.562533</v>
      </c>
      <c r="E305" s="45">
        <f>'AP02'!M312</f>
        <v>1276.334848</v>
      </c>
      <c r="F305" s="51">
        <f t="shared" si="2"/>
        <v>259.2276847</v>
      </c>
      <c r="G305" s="45">
        <f>G304+'AP03'!$F305</f>
        <v>123018.4903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56">
        <f t="shared" si="1"/>
        <v>299</v>
      </c>
      <c r="B306" s="50">
        <f>'AP01'!B313</f>
        <v>52342</v>
      </c>
      <c r="C306" s="50"/>
      <c r="D306" s="51">
        <f>'AP01'!M313</f>
        <v>1526.56215</v>
      </c>
      <c r="E306" s="45">
        <f>'AP02'!M313</f>
        <v>1270.730131</v>
      </c>
      <c r="F306" s="51">
        <f t="shared" si="2"/>
        <v>255.8320186</v>
      </c>
      <c r="G306" s="45">
        <f>G305+'AP03'!$F306</f>
        <v>123274.3224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56">
        <f t="shared" si="1"/>
        <v>300</v>
      </c>
      <c r="B307" s="50">
        <f>'AP01'!B314</f>
        <v>52372</v>
      </c>
      <c r="C307" s="50"/>
      <c r="D307" s="51">
        <f>'AP01'!M314</f>
        <v>1517.561767</v>
      </c>
      <c r="E307" s="45">
        <f>'AP02'!M314</f>
        <v>1265.125414</v>
      </c>
      <c r="F307" s="51">
        <f t="shared" si="2"/>
        <v>252.4363524</v>
      </c>
      <c r="G307" s="45">
        <f>G306+'AP03'!$F307</f>
        <v>123526.7587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56">
        <f t="shared" si="1"/>
        <v>301</v>
      </c>
      <c r="B308" s="50">
        <f>'AP01'!B315</f>
        <v>52403</v>
      </c>
      <c r="C308" s="50"/>
      <c r="D308" s="51">
        <f>'AP01'!M315</f>
        <v>1508.561384</v>
      </c>
      <c r="E308" s="45">
        <f>'AP02'!M315</f>
        <v>1259.520697</v>
      </c>
      <c r="F308" s="51">
        <f t="shared" si="2"/>
        <v>249.0406862</v>
      </c>
      <c r="G308" s="45">
        <f>G307+'AP03'!$F308</f>
        <v>123775.7994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56">
        <f t="shared" si="1"/>
        <v>302</v>
      </c>
      <c r="B309" s="50">
        <f>'AP01'!B316</f>
        <v>52433</v>
      </c>
      <c r="C309" s="50"/>
      <c r="D309" s="51">
        <f>'AP01'!M316</f>
        <v>1499.561001</v>
      </c>
      <c r="E309" s="45">
        <f>'AP02'!M316</f>
        <v>1253.91598</v>
      </c>
      <c r="F309" s="51">
        <f t="shared" si="2"/>
        <v>245.6450201</v>
      </c>
      <c r="G309" s="45">
        <f>G308+'AP03'!$F309</f>
        <v>124021.4444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56">
        <f t="shared" si="1"/>
        <v>303</v>
      </c>
      <c r="B310" s="50">
        <f>'AP01'!B317</f>
        <v>52464</v>
      </c>
      <c r="C310" s="50"/>
      <c r="D310" s="51">
        <f>'AP01'!M317</f>
        <v>1490.560617</v>
      </c>
      <c r="E310" s="45">
        <f>'AP02'!M317</f>
        <v>1248.311263</v>
      </c>
      <c r="F310" s="51">
        <f t="shared" si="2"/>
        <v>242.2493539</v>
      </c>
      <c r="G310" s="45">
        <f>G309+'AP03'!$F310</f>
        <v>124263.6938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56">
        <f t="shared" si="1"/>
        <v>304</v>
      </c>
      <c r="B311" s="50">
        <f>'AP01'!B318</f>
        <v>52495</v>
      </c>
      <c r="C311" s="50"/>
      <c r="D311" s="51">
        <f>'AP01'!M318</f>
        <v>1481.560234</v>
      </c>
      <c r="E311" s="45">
        <f>'AP02'!M318</f>
        <v>1242.706546</v>
      </c>
      <c r="F311" s="51">
        <f t="shared" si="2"/>
        <v>238.8536877</v>
      </c>
      <c r="G311" s="45">
        <f>G310+'AP03'!$F311</f>
        <v>124502.5475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56">
        <f t="shared" si="1"/>
        <v>305</v>
      </c>
      <c r="B312" s="50">
        <f>'AP01'!B319</f>
        <v>52525</v>
      </c>
      <c r="C312" s="50"/>
      <c r="D312" s="51">
        <f>'AP01'!M319</f>
        <v>1472.559851</v>
      </c>
      <c r="E312" s="45">
        <f>'AP02'!M319</f>
        <v>1237.101829</v>
      </c>
      <c r="F312" s="51">
        <f t="shared" si="2"/>
        <v>235.4580215</v>
      </c>
      <c r="G312" s="45">
        <f>G311+'AP03'!$F312</f>
        <v>124738.0055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56">
        <f t="shared" si="1"/>
        <v>306</v>
      </c>
      <c r="B313" s="50">
        <f>'AP01'!B320</f>
        <v>52556</v>
      </c>
      <c r="C313" s="50"/>
      <c r="D313" s="51">
        <f>'AP01'!M320</f>
        <v>1463.559468</v>
      </c>
      <c r="E313" s="45">
        <f>'AP02'!M320</f>
        <v>1231.497112</v>
      </c>
      <c r="F313" s="51">
        <f t="shared" si="2"/>
        <v>232.0623554</v>
      </c>
      <c r="G313" s="45">
        <f>G312+'AP03'!$F313</f>
        <v>124970.0678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56">
        <f t="shared" si="1"/>
        <v>307</v>
      </c>
      <c r="B314" s="50">
        <f>'AP01'!B321</f>
        <v>52586</v>
      </c>
      <c r="C314" s="50"/>
      <c r="D314" s="51">
        <f>'AP01'!M321</f>
        <v>1461.203913</v>
      </c>
      <c r="E314" s="45">
        <f>'AP02'!M321</f>
        <v>1225.892396</v>
      </c>
      <c r="F314" s="51">
        <f t="shared" si="2"/>
        <v>235.311517</v>
      </c>
      <c r="G314" s="45">
        <f>G313+'AP03'!$F314</f>
        <v>125205.3794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56">
        <f t="shared" si="1"/>
        <v>308</v>
      </c>
      <c r="B315" s="50">
        <f>'AP01'!B322</f>
        <v>52617</v>
      </c>
      <c r="C315" s="50"/>
      <c r="D315" s="51">
        <f>'AP01'!M322</f>
        <v>1452.080477</v>
      </c>
      <c r="E315" s="45">
        <f>'AP02'!M322</f>
        <v>1220.287679</v>
      </c>
      <c r="F315" s="51">
        <f t="shared" si="2"/>
        <v>231.7927985</v>
      </c>
      <c r="G315" s="45">
        <f>G314+'AP03'!$F315</f>
        <v>125437.1722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56">
        <f t="shared" si="1"/>
        <v>309</v>
      </c>
      <c r="B316" s="50">
        <f>'AP01'!B323</f>
        <v>52648</v>
      </c>
      <c r="C316" s="50"/>
      <c r="D316" s="51">
        <f>'AP01'!M323</f>
        <v>1442.957041</v>
      </c>
      <c r="E316" s="45">
        <f>'AP02'!M323</f>
        <v>1214.682962</v>
      </c>
      <c r="F316" s="51">
        <f t="shared" si="2"/>
        <v>228.27408</v>
      </c>
      <c r="G316" s="45">
        <f>G315+'AP03'!$F316</f>
        <v>125665.4462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56">
        <f t="shared" si="1"/>
        <v>310</v>
      </c>
      <c r="B317" s="50">
        <f>'AP01'!B324</f>
        <v>52677</v>
      </c>
      <c r="C317" s="50"/>
      <c r="D317" s="51">
        <f>'AP01'!M324</f>
        <v>1433.833606</v>
      </c>
      <c r="E317" s="45">
        <f>'AP02'!M324</f>
        <v>1209.078245</v>
      </c>
      <c r="F317" s="51">
        <f t="shared" si="2"/>
        <v>224.7553614</v>
      </c>
      <c r="G317" s="45">
        <f>G316+'AP03'!$F317</f>
        <v>125890.2016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56">
        <f t="shared" si="1"/>
        <v>311</v>
      </c>
      <c r="B318" s="50">
        <f>'AP01'!B325</f>
        <v>52708</v>
      </c>
      <c r="C318" s="50"/>
      <c r="D318" s="51">
        <f>'AP01'!M325</f>
        <v>1424.71017</v>
      </c>
      <c r="E318" s="45">
        <f>'AP02'!M325</f>
        <v>1203.473528</v>
      </c>
      <c r="F318" s="51">
        <f t="shared" si="2"/>
        <v>221.2366429</v>
      </c>
      <c r="G318" s="45">
        <f>G317+'AP03'!$F318</f>
        <v>126111.4382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56">
        <f t="shared" si="1"/>
        <v>312</v>
      </c>
      <c r="B319" s="50">
        <f>'AP01'!B326</f>
        <v>52738</v>
      </c>
      <c r="C319" s="50"/>
      <c r="D319" s="51">
        <f>'AP01'!M326</f>
        <v>1415.586735</v>
      </c>
      <c r="E319" s="45">
        <f>'AP02'!M326</f>
        <v>1197.868811</v>
      </c>
      <c r="F319" s="51">
        <f t="shared" si="2"/>
        <v>217.7179243</v>
      </c>
      <c r="G319" s="45">
        <f>G318+'AP03'!$F319</f>
        <v>126329.1562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56">
        <f t="shared" si="1"/>
        <v>313</v>
      </c>
      <c r="B320" s="50">
        <f>'AP01'!B327</f>
        <v>52769</v>
      </c>
      <c r="C320" s="50"/>
      <c r="D320" s="51">
        <f>'AP01'!M327</f>
        <v>1406.463299</v>
      </c>
      <c r="E320" s="45">
        <f>'AP02'!M327</f>
        <v>1192.264094</v>
      </c>
      <c r="F320" s="51">
        <f t="shared" si="2"/>
        <v>214.1992058</v>
      </c>
      <c r="G320" s="45">
        <f>G319+'AP03'!$F320</f>
        <v>126543.3554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56">
        <f t="shared" si="1"/>
        <v>314</v>
      </c>
      <c r="B321" s="50">
        <f>'AP01'!B328</f>
        <v>52799</v>
      </c>
      <c r="C321" s="50"/>
      <c r="D321" s="51">
        <f>'AP01'!M328</f>
        <v>1397.339864</v>
      </c>
      <c r="E321" s="45">
        <f>'AP02'!M328</f>
        <v>1186.659377</v>
      </c>
      <c r="F321" s="51">
        <f t="shared" si="2"/>
        <v>210.6804873</v>
      </c>
      <c r="G321" s="45">
        <f>G320+'AP03'!$F321</f>
        <v>126754.0359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56">
        <f t="shared" si="1"/>
        <v>315</v>
      </c>
      <c r="B322" s="50">
        <f>'AP01'!B329</f>
        <v>52830</v>
      </c>
      <c r="C322" s="50"/>
      <c r="D322" s="51">
        <f>'AP01'!M329</f>
        <v>1388.216428</v>
      </c>
      <c r="E322" s="45">
        <f>'AP02'!M329</f>
        <v>1181.05466</v>
      </c>
      <c r="F322" s="51">
        <f t="shared" si="2"/>
        <v>207.1617687</v>
      </c>
      <c r="G322" s="45">
        <f>G321+'AP03'!$F322</f>
        <v>126961.1976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56">
        <f t="shared" si="1"/>
        <v>316</v>
      </c>
      <c r="B323" s="50">
        <f>'AP01'!B330</f>
        <v>52861</v>
      </c>
      <c r="C323" s="50"/>
      <c r="D323" s="51">
        <f>'AP01'!M330</f>
        <v>1379.092993</v>
      </c>
      <c r="E323" s="45">
        <f>'AP02'!M330</f>
        <v>1175.449943</v>
      </c>
      <c r="F323" s="51">
        <f t="shared" si="2"/>
        <v>203.6430502</v>
      </c>
      <c r="G323" s="45">
        <f>G322+'AP03'!$F323</f>
        <v>127164.8407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56">
        <f t="shared" si="1"/>
        <v>317</v>
      </c>
      <c r="B324" s="50">
        <f>'AP01'!B331</f>
        <v>52891</v>
      </c>
      <c r="C324" s="50"/>
      <c r="D324" s="51">
        <f>'AP01'!M331</f>
        <v>1369.969557</v>
      </c>
      <c r="E324" s="45">
        <f>'AP02'!M331</f>
        <v>1169.845226</v>
      </c>
      <c r="F324" s="51">
        <f t="shared" si="2"/>
        <v>200.1243317</v>
      </c>
      <c r="G324" s="45">
        <f>G323+'AP03'!$F324</f>
        <v>127364.965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56">
        <f t="shared" si="1"/>
        <v>318</v>
      </c>
      <c r="B325" s="50">
        <f>'AP01'!B332</f>
        <v>52922</v>
      </c>
      <c r="C325" s="50"/>
      <c r="D325" s="51">
        <f>'AP01'!M332</f>
        <v>1360.846122</v>
      </c>
      <c r="E325" s="45">
        <f>'AP02'!M332</f>
        <v>1164.240509</v>
      </c>
      <c r="F325" s="51">
        <f t="shared" si="2"/>
        <v>196.6056131</v>
      </c>
      <c r="G325" s="45">
        <f>G324+'AP03'!$F325</f>
        <v>127561.5706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56">
        <f t="shared" si="1"/>
        <v>319</v>
      </c>
      <c r="B326" s="50">
        <f>'AP01'!B333</f>
        <v>52952</v>
      </c>
      <c r="C326" s="50"/>
      <c r="D326" s="51">
        <f>'AP01'!M333</f>
        <v>1357.478612</v>
      </c>
      <c r="E326" s="45">
        <f>'AP02'!M333</f>
        <v>1158.635792</v>
      </c>
      <c r="F326" s="51">
        <f t="shared" si="2"/>
        <v>198.8428203</v>
      </c>
      <c r="G326" s="45">
        <f>G325+'AP03'!$F326</f>
        <v>127760.4134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56">
        <f t="shared" si="1"/>
        <v>320</v>
      </c>
      <c r="B327" s="50">
        <f>'AP01'!B334</f>
        <v>52983</v>
      </c>
      <c r="C327" s="50"/>
      <c r="D327" s="51">
        <f>'AP01'!M334</f>
        <v>1348.218131</v>
      </c>
      <c r="E327" s="45">
        <f>'AP02'!M334</f>
        <v>1153.031075</v>
      </c>
      <c r="F327" s="51">
        <f t="shared" si="2"/>
        <v>195.1870559</v>
      </c>
      <c r="G327" s="45">
        <f>G326+'AP03'!$F327</f>
        <v>127955.6005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56">
        <f t="shared" si="1"/>
        <v>321</v>
      </c>
      <c r="B328" s="50">
        <f>'AP01'!B335</f>
        <v>53014</v>
      </c>
      <c r="C328" s="50"/>
      <c r="D328" s="51">
        <f>'AP01'!M335</f>
        <v>1338.957649</v>
      </c>
      <c r="E328" s="45">
        <f>'AP02'!M335</f>
        <v>1147.426358</v>
      </c>
      <c r="F328" s="51">
        <f t="shared" si="2"/>
        <v>191.5312915</v>
      </c>
      <c r="G328" s="45">
        <f>G327+'AP03'!$F328</f>
        <v>128147.1318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56">
        <f t="shared" si="1"/>
        <v>322</v>
      </c>
      <c r="B329" s="50">
        <f>'AP01'!B336</f>
        <v>53042</v>
      </c>
      <c r="C329" s="50"/>
      <c r="D329" s="51">
        <f>'AP01'!M336</f>
        <v>1329.697168</v>
      </c>
      <c r="E329" s="45">
        <f>'AP02'!M336</f>
        <v>1141.821641</v>
      </c>
      <c r="F329" s="51">
        <f t="shared" si="2"/>
        <v>187.8755271</v>
      </c>
      <c r="G329" s="45">
        <f>G328+'AP03'!$F329</f>
        <v>128335.0073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56">
        <f t="shared" si="1"/>
        <v>323</v>
      </c>
      <c r="B330" s="50">
        <f>'AP01'!B337</f>
        <v>53073</v>
      </c>
      <c r="C330" s="50"/>
      <c r="D330" s="51">
        <f>'AP01'!M337</f>
        <v>1320.436686</v>
      </c>
      <c r="E330" s="45">
        <f>'AP02'!M337</f>
        <v>1136.216924</v>
      </c>
      <c r="F330" s="51">
        <f t="shared" si="2"/>
        <v>184.2197627</v>
      </c>
      <c r="G330" s="45">
        <f>G329+'AP03'!$F330</f>
        <v>128519.2271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56">
        <f t="shared" si="1"/>
        <v>324</v>
      </c>
      <c r="B331" s="50">
        <f>'AP01'!B338</f>
        <v>53103</v>
      </c>
      <c r="C331" s="50"/>
      <c r="D331" s="51">
        <f>'AP01'!M338</f>
        <v>1311.176205</v>
      </c>
      <c r="E331" s="45">
        <f>'AP02'!M338</f>
        <v>1130.612207</v>
      </c>
      <c r="F331" s="51">
        <f t="shared" si="2"/>
        <v>180.5639983</v>
      </c>
      <c r="G331" s="45">
        <f>G330+'AP03'!$F331</f>
        <v>128699.7911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56">
        <f t="shared" si="1"/>
        <v>325</v>
      </c>
      <c r="B332" s="50">
        <f>'AP01'!B339</f>
        <v>53134</v>
      </c>
      <c r="C332" s="50"/>
      <c r="D332" s="51">
        <f>'AP01'!M339</f>
        <v>1301.915724</v>
      </c>
      <c r="E332" s="45">
        <f>'AP02'!M339</f>
        <v>1125.00749</v>
      </c>
      <c r="F332" s="51">
        <f t="shared" si="2"/>
        <v>176.908234</v>
      </c>
      <c r="G332" s="45">
        <f>G331+'AP03'!$F332</f>
        <v>128876.6993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56">
        <f t="shared" si="1"/>
        <v>326</v>
      </c>
      <c r="B333" s="50">
        <f>'AP01'!B340</f>
        <v>53164</v>
      </c>
      <c r="C333" s="50"/>
      <c r="D333" s="51">
        <f>'AP01'!M340</f>
        <v>1292.655242</v>
      </c>
      <c r="E333" s="45">
        <f>'AP02'!M340</f>
        <v>1119.402773</v>
      </c>
      <c r="F333" s="51">
        <f t="shared" si="2"/>
        <v>173.2524696</v>
      </c>
      <c r="G333" s="45">
        <f>G332+'AP03'!$F333</f>
        <v>129049.9518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56">
        <f t="shared" si="1"/>
        <v>327</v>
      </c>
      <c r="B334" s="50">
        <f>'AP01'!B341</f>
        <v>53195</v>
      </c>
      <c r="C334" s="50"/>
      <c r="D334" s="51">
        <f>'AP01'!M341</f>
        <v>1283.394761</v>
      </c>
      <c r="E334" s="45">
        <f>'AP02'!M341</f>
        <v>1113.798056</v>
      </c>
      <c r="F334" s="51">
        <f t="shared" si="2"/>
        <v>169.5967052</v>
      </c>
      <c r="G334" s="45">
        <f>G333+'AP03'!$F334</f>
        <v>129219.5485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56">
        <f t="shared" si="1"/>
        <v>328</v>
      </c>
      <c r="B335" s="50">
        <f>'AP01'!B342</f>
        <v>53226</v>
      </c>
      <c r="C335" s="50"/>
      <c r="D335" s="51">
        <f>'AP01'!M342</f>
        <v>1274.13428</v>
      </c>
      <c r="E335" s="45">
        <f>'AP02'!M342</f>
        <v>1108.193339</v>
      </c>
      <c r="F335" s="51">
        <f t="shared" si="2"/>
        <v>165.9409408</v>
      </c>
      <c r="G335" s="45">
        <f>G334+'AP03'!$F335</f>
        <v>129385.4894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56">
        <f t="shared" si="1"/>
        <v>329</v>
      </c>
      <c r="B336" s="50">
        <f>'AP01'!B343</f>
        <v>53256</v>
      </c>
      <c r="C336" s="50"/>
      <c r="D336" s="51">
        <f>'AP01'!M343</f>
        <v>1264.873798</v>
      </c>
      <c r="E336" s="45">
        <f>'AP02'!M343</f>
        <v>1102.588622</v>
      </c>
      <c r="F336" s="51">
        <f t="shared" si="2"/>
        <v>162.2851764</v>
      </c>
      <c r="G336" s="45">
        <f>G335+'AP03'!$F336</f>
        <v>129547.7746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56">
        <f t="shared" si="1"/>
        <v>330</v>
      </c>
      <c r="B337" s="50">
        <f>'AP01'!B344</f>
        <v>53287</v>
      </c>
      <c r="C337" s="50"/>
      <c r="D337" s="51">
        <f>'AP01'!M344</f>
        <v>1255.613317</v>
      </c>
      <c r="E337" s="45">
        <f>'AP02'!M344</f>
        <v>1096.983905</v>
      </c>
      <c r="F337" s="51">
        <f t="shared" si="2"/>
        <v>158.629412</v>
      </c>
      <c r="G337" s="45">
        <f>G336+'AP03'!$F337</f>
        <v>129706.404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56">
        <f t="shared" si="1"/>
        <v>331</v>
      </c>
      <c r="B338" s="50">
        <f>'AP01'!B345</f>
        <v>53317</v>
      </c>
      <c r="C338" s="50"/>
      <c r="D338" s="51">
        <f>'AP01'!M345</f>
        <v>1251.016728</v>
      </c>
      <c r="E338" s="45">
        <f>'AP02'!M345</f>
        <v>1091.379188</v>
      </c>
      <c r="F338" s="51">
        <f t="shared" si="2"/>
        <v>159.63754</v>
      </c>
      <c r="G338" s="45">
        <f>G337+'AP03'!$F338</f>
        <v>129866.0416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56">
        <f t="shared" si="1"/>
        <v>332</v>
      </c>
      <c r="B339" s="50">
        <f>'AP01'!B346</f>
        <v>53348</v>
      </c>
      <c r="C339" s="50"/>
      <c r="D339" s="51">
        <f>'AP01'!M346</f>
        <v>1241.600783</v>
      </c>
      <c r="E339" s="45">
        <f>'AP02'!M346</f>
        <v>1085.774471</v>
      </c>
      <c r="F339" s="51">
        <f t="shared" si="2"/>
        <v>155.8263125</v>
      </c>
      <c r="G339" s="45">
        <f>G338+'AP03'!$F339</f>
        <v>130021.8679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56">
        <f t="shared" si="1"/>
        <v>333</v>
      </c>
      <c r="B340" s="50">
        <f>'AP01'!B347</f>
        <v>53379</v>
      </c>
      <c r="C340" s="50"/>
      <c r="D340" s="51">
        <f>'AP01'!M347</f>
        <v>1232.184839</v>
      </c>
      <c r="E340" s="45">
        <f>'AP02'!M347</f>
        <v>1080.169754</v>
      </c>
      <c r="F340" s="51">
        <f t="shared" si="2"/>
        <v>152.0150851</v>
      </c>
      <c r="G340" s="45">
        <f>G339+'AP03'!$F340</f>
        <v>130173.883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56">
        <f t="shared" si="1"/>
        <v>334</v>
      </c>
      <c r="B341" s="50">
        <f>'AP01'!B348</f>
        <v>53407</v>
      </c>
      <c r="C341" s="50"/>
      <c r="D341" s="51">
        <f>'AP01'!M348</f>
        <v>1222.768894</v>
      </c>
      <c r="E341" s="45">
        <f>'AP02'!M348</f>
        <v>1074.565037</v>
      </c>
      <c r="F341" s="51">
        <f t="shared" si="2"/>
        <v>148.2038576</v>
      </c>
      <c r="G341" s="45">
        <f>G340+'AP03'!$F341</f>
        <v>130322.0868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56">
        <f t="shared" si="1"/>
        <v>335</v>
      </c>
      <c r="B342" s="50">
        <f>'AP01'!B349</f>
        <v>53438</v>
      </c>
      <c r="C342" s="50"/>
      <c r="D342" s="51">
        <f>'AP01'!M349</f>
        <v>1213.35295</v>
      </c>
      <c r="E342" s="45">
        <f>'AP02'!M349</f>
        <v>1068.96032</v>
      </c>
      <c r="F342" s="51">
        <f t="shared" si="2"/>
        <v>144.3926301</v>
      </c>
      <c r="G342" s="45">
        <f>G341+'AP03'!$F342</f>
        <v>130466.4794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56">
        <f t="shared" si="1"/>
        <v>336</v>
      </c>
      <c r="B343" s="50">
        <f>'AP01'!B350</f>
        <v>53468</v>
      </c>
      <c r="C343" s="50"/>
      <c r="D343" s="51">
        <f>'AP01'!M350</f>
        <v>1203.937006</v>
      </c>
      <c r="E343" s="45">
        <f>'AP02'!M350</f>
        <v>1063.355603</v>
      </c>
      <c r="F343" s="51">
        <f t="shared" si="2"/>
        <v>140.5814027</v>
      </c>
      <c r="G343" s="45">
        <f>G342+'AP03'!$F343</f>
        <v>130607.0608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56">
        <f t="shared" si="1"/>
        <v>337</v>
      </c>
      <c r="B344" s="50">
        <f>'AP01'!B351</f>
        <v>53499</v>
      </c>
      <c r="C344" s="50"/>
      <c r="D344" s="51">
        <f>'AP01'!M351</f>
        <v>1194.521061</v>
      </c>
      <c r="E344" s="45">
        <f>'AP02'!M351</f>
        <v>1057.750886</v>
      </c>
      <c r="F344" s="51">
        <f t="shared" si="2"/>
        <v>136.7701752</v>
      </c>
      <c r="G344" s="45">
        <f>G343+'AP03'!$F344</f>
        <v>130743.831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56">
        <f t="shared" si="1"/>
        <v>338</v>
      </c>
      <c r="B345" s="50">
        <f>'AP01'!B352</f>
        <v>53529</v>
      </c>
      <c r="C345" s="50"/>
      <c r="D345" s="51">
        <f>'AP01'!M352</f>
        <v>1185.105117</v>
      </c>
      <c r="E345" s="45">
        <f>'AP02'!M352</f>
        <v>1052.146169</v>
      </c>
      <c r="F345" s="51">
        <f t="shared" si="2"/>
        <v>132.9589477</v>
      </c>
      <c r="G345" s="45">
        <f>G344+'AP03'!$F345</f>
        <v>130876.79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56">
        <f t="shared" si="1"/>
        <v>339</v>
      </c>
      <c r="B346" s="50">
        <f>'AP01'!B353</f>
        <v>53560</v>
      </c>
      <c r="C346" s="50"/>
      <c r="D346" s="51">
        <f>'AP01'!M353</f>
        <v>1175.689172</v>
      </c>
      <c r="E346" s="45">
        <f>'AP02'!M353</f>
        <v>1046.541452</v>
      </c>
      <c r="F346" s="51">
        <f t="shared" si="2"/>
        <v>129.1477203</v>
      </c>
      <c r="G346" s="45">
        <f>G345+'AP03'!$F346</f>
        <v>131005.9377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56">
        <f t="shared" si="1"/>
        <v>340</v>
      </c>
      <c r="B347" s="50">
        <f>'AP01'!B354</f>
        <v>53591</v>
      </c>
      <c r="C347" s="50"/>
      <c r="D347" s="51">
        <f>'AP01'!M354</f>
        <v>1166.273228</v>
      </c>
      <c r="E347" s="45">
        <f>'AP02'!M354</f>
        <v>1040.936735</v>
      </c>
      <c r="F347" s="51">
        <f t="shared" si="2"/>
        <v>125.3364928</v>
      </c>
      <c r="G347" s="45">
        <f>G346+'AP03'!$F347</f>
        <v>131131.2742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56">
        <f t="shared" si="1"/>
        <v>341</v>
      </c>
      <c r="B348" s="50">
        <f>'AP01'!B355</f>
        <v>53621</v>
      </c>
      <c r="C348" s="50"/>
      <c r="D348" s="51">
        <f>'AP01'!M355</f>
        <v>1156.857283</v>
      </c>
      <c r="E348" s="45">
        <f>'AP02'!M355</f>
        <v>1035.332018</v>
      </c>
      <c r="F348" s="51">
        <f t="shared" si="2"/>
        <v>121.5252653</v>
      </c>
      <c r="G348" s="45">
        <f>G347+'AP03'!$F348</f>
        <v>131252.7994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56">
        <f t="shared" si="1"/>
        <v>342</v>
      </c>
      <c r="B349" s="50">
        <f>'AP01'!B356</f>
        <v>53652</v>
      </c>
      <c r="C349" s="50"/>
      <c r="D349" s="51">
        <f>'AP01'!M356</f>
        <v>1147.441339</v>
      </c>
      <c r="E349" s="45">
        <f>'AP02'!M356</f>
        <v>1029.727301</v>
      </c>
      <c r="F349" s="51">
        <f t="shared" si="2"/>
        <v>117.7140379</v>
      </c>
      <c r="G349" s="45">
        <f>G348+'AP03'!$F349</f>
        <v>131370.5135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56">
        <f t="shared" si="1"/>
        <v>343</v>
      </c>
      <c r="B350" s="50">
        <f>'AP01'!B357</f>
        <v>53682</v>
      </c>
      <c r="C350" s="50"/>
      <c r="D350" s="51">
        <f>'AP01'!M357</f>
        <v>1149.062731</v>
      </c>
      <c r="E350" s="45">
        <f>'AP02'!M357</f>
        <v>1024.122584</v>
      </c>
      <c r="F350" s="51">
        <f t="shared" si="2"/>
        <v>124.9401473</v>
      </c>
      <c r="G350" s="45">
        <f>G349+'AP03'!$F350</f>
        <v>131495.4536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56">
        <f t="shared" si="1"/>
        <v>344</v>
      </c>
      <c r="B351" s="50">
        <f>'AP01'!B358</f>
        <v>53713</v>
      </c>
      <c r="C351" s="50"/>
      <c r="D351" s="51">
        <f>'AP01'!M358</f>
        <v>1139.033601</v>
      </c>
      <c r="E351" s="45">
        <f>'AP02'!M358</f>
        <v>1018.517867</v>
      </c>
      <c r="F351" s="51">
        <f t="shared" si="2"/>
        <v>120.5157345</v>
      </c>
      <c r="G351" s="45">
        <f>G350+'AP03'!$F351</f>
        <v>131615.9694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56">
        <f t="shared" si="1"/>
        <v>345</v>
      </c>
      <c r="B352" s="50">
        <f>'AP01'!B359</f>
        <v>53744</v>
      </c>
      <c r="C352" s="50"/>
      <c r="D352" s="51">
        <f>'AP01'!M359</f>
        <v>1129.004472</v>
      </c>
      <c r="E352" s="45">
        <f>'AP02'!M359</f>
        <v>1012.91315</v>
      </c>
      <c r="F352" s="51">
        <f t="shared" si="2"/>
        <v>116.0913216</v>
      </c>
      <c r="G352" s="45">
        <f>G351+'AP03'!$F352</f>
        <v>131732.0607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56">
        <f t="shared" si="1"/>
        <v>346</v>
      </c>
      <c r="B353" s="50">
        <f>'AP01'!B360</f>
        <v>53772</v>
      </c>
      <c r="C353" s="50"/>
      <c r="D353" s="51">
        <f>'AP01'!M360</f>
        <v>1118.975342</v>
      </c>
      <c r="E353" s="45">
        <f>'AP02'!M360</f>
        <v>1007.308433</v>
      </c>
      <c r="F353" s="51">
        <f t="shared" si="2"/>
        <v>111.6669088</v>
      </c>
      <c r="G353" s="45">
        <f>G352+'AP03'!$F353</f>
        <v>131843.7276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56">
        <f t="shared" si="1"/>
        <v>347</v>
      </c>
      <c r="B354" s="50">
        <f>'AP01'!B361</f>
        <v>53803</v>
      </c>
      <c r="C354" s="50"/>
      <c r="D354" s="51">
        <f>'AP01'!M361</f>
        <v>1108.946212</v>
      </c>
      <c r="E354" s="45">
        <f>'AP02'!M361</f>
        <v>1001.703716</v>
      </c>
      <c r="F354" s="51">
        <f t="shared" si="2"/>
        <v>107.2424959</v>
      </c>
      <c r="G354" s="45">
        <f>G353+'AP03'!$F354</f>
        <v>131950.9701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56">
        <f t="shared" si="1"/>
        <v>348</v>
      </c>
      <c r="B355" s="50">
        <f>'AP01'!B362</f>
        <v>53833</v>
      </c>
      <c r="C355" s="50"/>
      <c r="D355" s="51">
        <f>'AP01'!M362</f>
        <v>1098.917082</v>
      </c>
      <c r="E355" s="45">
        <f>'AP02'!M362</f>
        <v>996.098999</v>
      </c>
      <c r="F355" s="51">
        <f t="shared" si="2"/>
        <v>102.8180831</v>
      </c>
      <c r="G355" s="45">
        <f>G354+'AP03'!$F355</f>
        <v>132053.7882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56">
        <f t="shared" si="1"/>
        <v>349</v>
      </c>
      <c r="B356" s="50">
        <f>'AP01'!B363</f>
        <v>53864</v>
      </c>
      <c r="C356" s="50"/>
      <c r="D356" s="51">
        <f>'AP01'!M363</f>
        <v>1088.887952</v>
      </c>
      <c r="E356" s="45">
        <f>'AP02'!M363</f>
        <v>990.494282</v>
      </c>
      <c r="F356" s="51">
        <f t="shared" si="2"/>
        <v>98.39367021</v>
      </c>
      <c r="G356" s="45">
        <f>G355+'AP03'!$F356</f>
        <v>132152.1818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56">
        <f t="shared" si="1"/>
        <v>350</v>
      </c>
      <c r="B357" s="50">
        <f>'AP01'!B364</f>
        <v>53894</v>
      </c>
      <c r="C357" s="50"/>
      <c r="D357" s="51">
        <f>'AP01'!M364</f>
        <v>1078.858822</v>
      </c>
      <c r="E357" s="45">
        <f>'AP02'!M364</f>
        <v>984.889565</v>
      </c>
      <c r="F357" s="51">
        <f t="shared" si="2"/>
        <v>93.96925737</v>
      </c>
      <c r="G357" s="45">
        <f>G356+'AP03'!$F357</f>
        <v>132246.1511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56">
        <f t="shared" si="1"/>
        <v>351</v>
      </c>
      <c r="B358" s="50">
        <f>'AP01'!B365</f>
        <v>53925</v>
      </c>
      <c r="C358" s="50"/>
      <c r="D358" s="51">
        <f>'AP01'!M365</f>
        <v>1068.829693</v>
      </c>
      <c r="E358" s="45">
        <f>'AP02'!M365</f>
        <v>979.284848</v>
      </c>
      <c r="F358" s="51">
        <f t="shared" si="2"/>
        <v>89.54484452</v>
      </c>
      <c r="G358" s="45">
        <f>G357+'AP03'!$F358</f>
        <v>132335.6959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56">
        <f t="shared" si="1"/>
        <v>352</v>
      </c>
      <c r="B359" s="50">
        <f>'AP01'!B366</f>
        <v>53956</v>
      </c>
      <c r="C359" s="50"/>
      <c r="D359" s="51">
        <f>'AP01'!M366</f>
        <v>1058.800563</v>
      </c>
      <c r="E359" s="45">
        <f>'AP02'!M366</f>
        <v>973.680131</v>
      </c>
      <c r="F359" s="51">
        <f t="shared" si="2"/>
        <v>85.12043167</v>
      </c>
      <c r="G359" s="45">
        <f>G358+'AP03'!$F359</f>
        <v>132420.8164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56">
        <f t="shared" si="1"/>
        <v>353</v>
      </c>
      <c r="B360" s="50">
        <f>'AP01'!B367</f>
        <v>53986</v>
      </c>
      <c r="C360" s="50"/>
      <c r="D360" s="51">
        <f>'AP01'!M367</f>
        <v>1048.771433</v>
      </c>
      <c r="E360" s="45">
        <f>'AP02'!M367</f>
        <v>968.0754141</v>
      </c>
      <c r="F360" s="51">
        <f t="shared" si="2"/>
        <v>80.69601882</v>
      </c>
      <c r="G360" s="45">
        <f>G359+'AP03'!$F360</f>
        <v>132501.5124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56">
        <f t="shared" si="1"/>
        <v>354</v>
      </c>
      <c r="B361" s="50">
        <f>'AP01'!B368</f>
        <v>54017</v>
      </c>
      <c r="C361" s="50"/>
      <c r="D361" s="51">
        <f>'AP01'!M368</f>
        <v>1038.742303</v>
      </c>
      <c r="E361" s="45">
        <f>'AP02'!M368</f>
        <v>962.4706971</v>
      </c>
      <c r="F361" s="51">
        <f t="shared" si="2"/>
        <v>76.27160597</v>
      </c>
      <c r="G361" s="45">
        <f>G360+'AP03'!$F361</f>
        <v>132577.784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56">
        <f t="shared" si="1"/>
        <v>355</v>
      </c>
      <c r="B362" s="50">
        <f>'AP01'!B369</f>
        <v>54047</v>
      </c>
      <c r="C362" s="50"/>
      <c r="D362" s="51">
        <f>'AP01'!M369</f>
        <v>1030.213636</v>
      </c>
      <c r="E362" s="45">
        <f>'AP02'!M369</f>
        <v>956.8659801</v>
      </c>
      <c r="F362" s="51">
        <f t="shared" si="2"/>
        <v>73.34765559</v>
      </c>
      <c r="G362" s="45">
        <f>G361+'AP03'!$F362</f>
        <v>132651.1317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56">
        <f t="shared" si="1"/>
        <v>356</v>
      </c>
      <c r="B363" s="50">
        <f>'AP01'!B370</f>
        <v>54078</v>
      </c>
      <c r="C363" s="50"/>
      <c r="D363" s="51">
        <f>'AP01'!M370</f>
        <v>1019.934429</v>
      </c>
      <c r="E363" s="45">
        <f>'AP02'!M370</f>
        <v>951.2612631</v>
      </c>
      <c r="F363" s="51">
        <f t="shared" si="2"/>
        <v>68.67316566</v>
      </c>
      <c r="G363" s="45">
        <f>G362+'AP03'!$F363</f>
        <v>132719.8048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56">
        <f t="shared" si="1"/>
        <v>357</v>
      </c>
      <c r="B364" s="50">
        <f>'AP01'!B371</f>
        <v>54109</v>
      </c>
      <c r="C364" s="50"/>
      <c r="D364" s="51">
        <f>'AP01'!M371</f>
        <v>1009.655222</v>
      </c>
      <c r="E364" s="45">
        <f>'AP02'!M371</f>
        <v>945.6565461</v>
      </c>
      <c r="F364" s="51">
        <f t="shared" si="2"/>
        <v>63.99867573</v>
      </c>
      <c r="G364" s="45">
        <f>G363+'AP03'!$F364</f>
        <v>132783.8035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56">
        <f t="shared" si="1"/>
        <v>358</v>
      </c>
      <c r="B365" s="50">
        <f>'AP01'!B372</f>
        <v>54138</v>
      </c>
      <c r="C365" s="50"/>
      <c r="D365" s="51">
        <f>'AP01'!M372</f>
        <v>999.3760149</v>
      </c>
      <c r="E365" s="45">
        <f>'AP02'!M372</f>
        <v>940.0518291</v>
      </c>
      <c r="F365" s="51">
        <f t="shared" si="2"/>
        <v>59.32418581</v>
      </c>
      <c r="G365" s="45">
        <f>G364+'AP03'!$F365</f>
        <v>132843.1277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56">
        <f t="shared" si="1"/>
        <v>359</v>
      </c>
      <c r="B366" s="50">
        <f>'AP01'!B373</f>
        <v>54169</v>
      </c>
      <c r="C366" s="50"/>
      <c r="D366" s="51">
        <f>'AP01'!M373</f>
        <v>989.096808</v>
      </c>
      <c r="E366" s="45">
        <f>'AP02'!M373</f>
        <v>934.4471121</v>
      </c>
      <c r="F366" s="51">
        <f t="shared" si="2"/>
        <v>54.64969588</v>
      </c>
      <c r="G366" s="124">
        <f>G365+'AP03'!$F366</f>
        <v>132897.7774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56">
        <f t="shared" si="1"/>
        <v>360</v>
      </c>
      <c r="B367" s="50">
        <f>'AP01'!B374</f>
        <v>54199</v>
      </c>
      <c r="C367" s="50"/>
      <c r="D367" s="51">
        <f>'AP01'!M374</f>
        <v>978.8176011</v>
      </c>
      <c r="E367" s="45">
        <f>'AP02'!M374</f>
        <v>928.8423951</v>
      </c>
      <c r="F367" s="126">
        <f t="shared" si="2"/>
        <v>49.97520595</v>
      </c>
      <c r="G367" s="135">
        <f>G366+'AP03'!$F367</f>
        <v>132947.7526</v>
      </c>
      <c r="H367" s="4"/>
      <c r="I367" s="4">
        <f>'AP03'!$G367/'AP01'!D7</f>
        <v>0.439642039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86" t="s">
        <v>73</v>
      </c>
      <c r="B369" s="87"/>
      <c r="C369" s="87"/>
      <c r="D369" s="87"/>
      <c r="E369" s="87"/>
      <c r="F369" s="87"/>
      <c r="G369" s="8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89"/>
      <c r="B370" s="90"/>
      <c r="C370" s="90"/>
      <c r="D370" s="90"/>
      <c r="E370" s="90"/>
      <c r="F370" s="90"/>
      <c r="G370" s="9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G1"/>
    <mergeCell ref="A369:G370"/>
  </mergeCells>
  <printOptions horizontalCentered="1"/>
  <pageMargins bottom="1.264945652173913" footer="0.0" header="0.0" left="0.5118110236220472" right="0.5118110236220472" top="1.1702898550724639"/>
  <pageSetup paperSize="9" scale="95" orientation="portrait"/>
  <headerFooter>
    <oddHeader/>
    <oddFooter>&amp;RPágina &amp;P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3.43"/>
    <col customWidth="1" min="3" max="3" width="12.14"/>
    <col customWidth="1" min="4" max="4" width="12.57"/>
    <col customWidth="1" min="5" max="5" width="11.14"/>
    <col customWidth="1" min="6" max="6" width="10.71"/>
    <col customWidth="1" min="7" max="7" width="13.57"/>
    <col customWidth="1" min="8" max="8" width="8.43"/>
    <col customWidth="1" min="9" max="9" width="10.14"/>
    <col customWidth="1" min="10" max="10" width="6.86"/>
    <col customWidth="1" min="11" max="11" width="7.14"/>
    <col customWidth="1" min="12" max="12" width="6.43"/>
    <col customWidth="1" min="13" max="13" width="9.71"/>
    <col customWidth="1" min="14" max="14" width="11.0"/>
    <col customWidth="1" min="15" max="15" width="13.86"/>
    <col customWidth="1" min="16" max="16" width="11.43"/>
    <col customWidth="1" min="17" max="17" width="15.57"/>
    <col customWidth="1" min="18" max="18" width="10.71"/>
    <col customWidth="1" min="19" max="19" width="9.14"/>
    <col customWidth="1" min="20" max="20" width="12.71"/>
    <col customWidth="1" min="21" max="21" width="9.14"/>
    <col customWidth="1" min="22" max="22" width="12.43"/>
    <col customWidth="1" min="23" max="25" width="9.14"/>
    <col customWidth="1" min="26" max="26" width="8.71"/>
  </cols>
  <sheetData>
    <row r="1" ht="18.75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tr">
        <f>'AP01'!A3</f>
        <v>Requerente: ADRIANA MELO DE OLIVEIRA</v>
      </c>
      <c r="B3" s="6"/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 t="str">
        <f>'AP01'!A4</f>
        <v>Requerido: ITAÚ UNIBANCO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1" t="s">
        <v>3</v>
      </c>
      <c r="B5" s="12"/>
      <c r="C5" s="12"/>
      <c r="D5" s="13">
        <f>'AP01'!D5</f>
        <v>432000</v>
      </c>
      <c r="E5" s="14"/>
      <c r="F5" s="12" t="s">
        <v>4</v>
      </c>
      <c r="G5" s="14"/>
      <c r="H5" s="14"/>
      <c r="I5" s="15">
        <f>'AP01'!I5</f>
        <v>360</v>
      </c>
      <c r="J5" s="4"/>
      <c r="K5" s="4"/>
      <c r="L5" s="4"/>
      <c r="M5" s="4"/>
      <c r="N5" s="4"/>
      <c r="O5" s="4"/>
      <c r="P5" s="4"/>
      <c r="Q5" s="4"/>
      <c r="R5" s="16"/>
      <c r="S5" s="4"/>
      <c r="T5" s="4"/>
      <c r="U5" s="4"/>
      <c r="V5" s="4"/>
      <c r="W5" s="4"/>
      <c r="X5" s="4"/>
      <c r="Y5" s="4"/>
      <c r="Z5" s="4"/>
    </row>
    <row r="6" ht="18.75" customHeight="1">
      <c r="A6" s="18" t="s">
        <v>5</v>
      </c>
      <c r="B6" s="19"/>
      <c r="C6" s="19"/>
      <c r="D6" s="20">
        <f>'AP01'!D6</f>
        <v>129600</v>
      </c>
      <c r="E6" s="4"/>
      <c r="F6" s="101" t="s">
        <v>51</v>
      </c>
      <c r="G6" s="102"/>
      <c r="H6" s="102"/>
      <c r="I6" s="103">
        <v>0.0062</v>
      </c>
      <c r="J6" s="4"/>
      <c r="K6" s="4"/>
      <c r="L6" s="4"/>
      <c r="M6" s="4"/>
      <c r="N6" s="4"/>
      <c r="O6" s="4"/>
      <c r="P6" s="4"/>
      <c r="Q6" s="4"/>
      <c r="R6" s="23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7</v>
      </c>
      <c r="B7" s="19"/>
      <c r="C7" s="19"/>
      <c r="D7" s="20">
        <f>D5-D6</f>
        <v>302400</v>
      </c>
      <c r="E7" s="4"/>
      <c r="F7" s="101" t="s">
        <v>54</v>
      </c>
      <c r="G7" s="102"/>
      <c r="H7" s="102"/>
      <c r="I7" s="103">
        <v>0.0775</v>
      </c>
      <c r="J7" s="4"/>
      <c r="K7" s="4"/>
      <c r="L7" s="4"/>
      <c r="M7" s="4"/>
      <c r="N7" s="4"/>
      <c r="O7" s="4"/>
      <c r="P7" s="4"/>
      <c r="Q7" s="4"/>
      <c r="R7" s="23"/>
      <c r="S7" s="4"/>
      <c r="T7" s="4"/>
      <c r="U7" s="4"/>
      <c r="V7" s="4"/>
      <c r="W7" s="4"/>
      <c r="X7" s="4"/>
      <c r="Y7" s="4"/>
      <c r="Z7" s="4"/>
    </row>
    <row r="8" ht="18.75" customHeight="1">
      <c r="A8" s="18" t="s">
        <v>10</v>
      </c>
      <c r="B8" s="19"/>
      <c r="C8" s="19"/>
      <c r="D8" s="26">
        <f>'AP01'!D8</f>
        <v>43241</v>
      </c>
      <c r="E8" s="4"/>
      <c r="F8" s="21" t="s">
        <v>8</v>
      </c>
      <c r="G8" s="4"/>
      <c r="H8" s="4"/>
      <c r="I8" s="22">
        <f>'AP01'!I7</f>
        <v>0.117</v>
      </c>
      <c r="J8" s="4"/>
      <c r="K8" s="4"/>
      <c r="L8" s="4"/>
      <c r="M8" s="4"/>
      <c r="N8" s="4"/>
      <c r="O8" s="4"/>
      <c r="P8" s="4"/>
      <c r="Q8" s="4"/>
      <c r="R8" s="28"/>
      <c r="S8" s="4"/>
      <c r="T8" s="4"/>
      <c r="U8" s="4"/>
      <c r="V8" s="4"/>
      <c r="W8" s="4"/>
      <c r="X8" s="4"/>
      <c r="Y8" s="4"/>
      <c r="Z8" s="4"/>
    </row>
    <row r="9" ht="18.75" customHeight="1">
      <c r="A9" s="18" t="s">
        <v>12</v>
      </c>
      <c r="B9" s="19"/>
      <c r="C9" s="19"/>
      <c r="D9" s="26">
        <f>'AP01'!D9</f>
        <v>43272</v>
      </c>
      <c r="E9" s="4"/>
      <c r="F9" s="108" t="s">
        <v>58</v>
      </c>
      <c r="G9" s="109"/>
      <c r="H9" s="109"/>
      <c r="I9" s="110">
        <f>(I8/I7)-1</f>
        <v>0.5096774194</v>
      </c>
      <c r="J9" s="4"/>
      <c r="K9" s="4"/>
      <c r="L9" s="4"/>
      <c r="M9" s="4"/>
      <c r="N9" s="4"/>
      <c r="O9" s="4"/>
      <c r="P9" s="4"/>
      <c r="Q9" s="4"/>
      <c r="R9" s="28"/>
      <c r="S9" s="4"/>
      <c r="T9" s="4"/>
      <c r="U9" s="4"/>
      <c r="V9" s="4"/>
      <c r="W9" s="4"/>
      <c r="X9" s="4"/>
      <c r="Y9" s="4"/>
      <c r="Z9" s="4"/>
    </row>
    <row r="10" ht="18.75" customHeight="1">
      <c r="A10" s="18" t="s">
        <v>14</v>
      </c>
      <c r="B10" s="19"/>
      <c r="C10" s="19"/>
      <c r="D10" s="16" t="str">
        <f>'AP01'!D10</f>
        <v>SAC</v>
      </c>
      <c r="E10" s="4"/>
      <c r="F10" s="19" t="s">
        <v>16</v>
      </c>
      <c r="G10" s="4"/>
      <c r="H10" s="4"/>
      <c r="I10" s="29">
        <f>'AP01'!I10</f>
        <v>2549.813565</v>
      </c>
      <c r="J10" s="4"/>
      <c r="K10" s="4"/>
      <c r="L10" s="4"/>
      <c r="M10" s="4"/>
      <c r="N10" s="4"/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31" t="s">
        <v>17</v>
      </c>
      <c r="B11" s="32"/>
      <c r="C11" s="32"/>
      <c r="D11" s="33" t="str">
        <f>'AP01'!D11</f>
        <v>TR</v>
      </c>
      <c r="E11" s="34"/>
      <c r="F11" s="32" t="s">
        <v>19</v>
      </c>
      <c r="G11" s="34"/>
      <c r="H11" s="34"/>
      <c r="I11" s="35" t="str">
        <f>'AP01'!I11</f>
        <v>SFH</v>
      </c>
      <c r="J11" s="4"/>
      <c r="K11" s="4"/>
      <c r="L11" s="4"/>
      <c r="M11" s="4"/>
      <c r="N11" s="4"/>
      <c r="O11" s="4"/>
      <c r="P11" s="4"/>
      <c r="Q11" s="4"/>
      <c r="R11" s="19"/>
      <c r="S11" s="4"/>
      <c r="T11" s="4"/>
      <c r="U11" s="4"/>
      <c r="V11" s="4"/>
      <c r="W11" s="4"/>
      <c r="X11" s="4"/>
      <c r="Y11" s="4"/>
      <c r="Z11" s="4"/>
    </row>
    <row r="12" ht="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6"/>
      <c r="R12" s="36"/>
      <c r="S12" s="4"/>
      <c r="T12" s="4"/>
      <c r="U12" s="4"/>
      <c r="V12" s="4"/>
      <c r="W12" s="4"/>
      <c r="X12" s="4"/>
      <c r="Y12" s="4"/>
      <c r="Z12" s="4"/>
    </row>
    <row r="13" ht="54.0" customHeight="1">
      <c r="A13" s="37" t="s">
        <v>21</v>
      </c>
      <c r="B13" s="38" t="s">
        <v>22</v>
      </c>
      <c r="C13" s="39" t="s">
        <v>23</v>
      </c>
      <c r="D13" s="39" t="s">
        <v>24</v>
      </c>
      <c r="E13" s="39" t="s">
        <v>25</v>
      </c>
      <c r="F13" s="40" t="s">
        <v>26</v>
      </c>
      <c r="G13" s="40" t="s">
        <v>75</v>
      </c>
      <c r="H13" s="40" t="s">
        <v>28</v>
      </c>
      <c r="I13" s="40" t="s">
        <v>29</v>
      </c>
      <c r="J13" s="40" t="s">
        <v>30</v>
      </c>
      <c r="K13" s="40" t="s">
        <v>31</v>
      </c>
      <c r="L13" s="40" t="s">
        <v>32</v>
      </c>
      <c r="M13" s="40" t="s">
        <v>76</v>
      </c>
      <c r="N13" s="40" t="s">
        <v>77</v>
      </c>
      <c r="O13" s="40" t="s">
        <v>78</v>
      </c>
      <c r="P13" s="40" t="s">
        <v>34</v>
      </c>
      <c r="Q13" s="40" t="s">
        <v>79</v>
      </c>
      <c r="R13" s="40" t="s">
        <v>17</v>
      </c>
      <c r="S13" s="4"/>
      <c r="T13" s="4"/>
      <c r="U13" s="4"/>
      <c r="V13" s="4"/>
      <c r="W13" s="4"/>
      <c r="X13" s="4"/>
      <c r="Y13" s="4"/>
      <c r="Z13" s="4"/>
    </row>
    <row r="14" ht="18.75" customHeight="1">
      <c r="A14" s="41">
        <v>0.0</v>
      </c>
      <c r="B14" s="42">
        <f t="shared" ref="B14:B15" si="1">D8</f>
        <v>43241</v>
      </c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4"/>
      <c r="O14" s="136"/>
      <c r="P14" s="43"/>
      <c r="Q14" s="45">
        <f>D7</f>
        <v>302400</v>
      </c>
      <c r="R14" s="45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9">
        <f t="shared" ref="A15:A374" si="2">A14+1</f>
        <v>1</v>
      </c>
      <c r="B15" s="50">
        <f t="shared" si="1"/>
        <v>43272</v>
      </c>
      <c r="C15" s="47">
        <v>0.07</v>
      </c>
      <c r="D15" s="47">
        <v>0.005654</v>
      </c>
      <c r="E15" s="51">
        <f>'AP04'!$F15+'AP04'!$G15</f>
        <v>2549.7696</v>
      </c>
      <c r="F15" s="51">
        <f>(Q14*'AP04'!$R15)*'AP04'!$D15</f>
        <v>1709.7696</v>
      </c>
      <c r="G15" s="51">
        <f>(Q14*'AP04'!$R15)/($I$5-A14)</f>
        <v>840</v>
      </c>
      <c r="H15" s="52">
        <v>0.0</v>
      </c>
      <c r="I15" s="52">
        <v>0.0</v>
      </c>
      <c r="J15" s="51">
        <v>25.0</v>
      </c>
      <c r="K15" s="52">
        <v>0.0</v>
      </c>
      <c r="L15" s="52">
        <v>0.0</v>
      </c>
      <c r="M15" s="51">
        <f>'AP03'!D8</f>
        <v>2714.96</v>
      </c>
      <c r="N15" s="51">
        <f>SUM('AP04'!$F15:$L15)</f>
        <v>2574.7696</v>
      </c>
      <c r="O15" s="137">
        <f>'AP04'!$M15-'AP04'!$N15</f>
        <v>140.1904</v>
      </c>
      <c r="P15" s="51">
        <f>Q14*('AP04'!$R15-1)</f>
        <v>0</v>
      </c>
      <c r="Q15" s="51">
        <f>(Q14*'AP04'!$R15)-'AP04'!$G15-'AP04'!$O15*2</f>
        <v>301279.6192</v>
      </c>
      <c r="R15" s="53">
        <v>1.0</v>
      </c>
      <c r="S15" s="4"/>
      <c r="T15" s="112"/>
      <c r="U15" s="4"/>
      <c r="V15" s="84"/>
      <c r="W15" s="4"/>
      <c r="X15" s="84"/>
      <c r="Y15" s="54"/>
      <c r="Z15" s="4"/>
    </row>
    <row r="16" ht="18.75" customHeight="1">
      <c r="A16" s="49">
        <f t="shared" si="2"/>
        <v>2</v>
      </c>
      <c r="B16" s="50">
        <f t="shared" ref="B16:B374" si="5">EDATE(B15,1)</f>
        <v>43302</v>
      </c>
      <c r="C16" s="47">
        <f t="shared" ref="C16:D16" si="3">C15</f>
        <v>0.07</v>
      </c>
      <c r="D16" s="47">
        <f t="shared" si="3"/>
        <v>0.005654</v>
      </c>
      <c r="E16" s="51">
        <f>'AP04'!$F16+'AP04'!$G16</f>
        <v>2542.653962</v>
      </c>
      <c r="F16" s="51">
        <f>(Q15*'AP04'!$R16)*'AP04'!$D16</f>
        <v>1703.434967</v>
      </c>
      <c r="G16" s="51">
        <f>(Q15*'AP04'!$R16)/($I$5-A15)</f>
        <v>839.218995</v>
      </c>
      <c r="H16" s="52">
        <f t="shared" ref="H16:L16" si="4">H15</f>
        <v>0</v>
      </c>
      <c r="I16" s="52">
        <f t="shared" si="4"/>
        <v>0</v>
      </c>
      <c r="J16" s="51">
        <f t="shared" si="4"/>
        <v>25</v>
      </c>
      <c r="K16" s="52">
        <f t="shared" si="4"/>
        <v>0</v>
      </c>
      <c r="L16" s="52">
        <f t="shared" si="4"/>
        <v>0</v>
      </c>
      <c r="M16" s="51">
        <f>'AP03'!D9</f>
        <v>2640.04</v>
      </c>
      <c r="N16" s="51">
        <f>SUM('AP04'!$F16:$L16)</f>
        <v>2567.653962</v>
      </c>
      <c r="O16" s="137">
        <f>'AP04'!$M16-'AP04'!$N16</f>
        <v>72.38603806</v>
      </c>
      <c r="P16" s="51">
        <f>Q15*('AP04'!$R16-1)</f>
        <v>0</v>
      </c>
      <c r="Q16" s="51">
        <f>(Q15*'AP04'!$R16)-'AP04'!$G16-'AP04'!$O16*2</f>
        <v>300295.6281</v>
      </c>
      <c r="R16" s="53">
        <f t="shared" ref="R16:R57" si="8">R15</f>
        <v>1</v>
      </c>
      <c r="S16" s="4"/>
      <c r="T16" s="4"/>
      <c r="U16" s="4"/>
      <c r="V16" s="4"/>
      <c r="W16" s="4"/>
      <c r="X16" s="4"/>
      <c r="Y16" s="4"/>
      <c r="Z16" s="4"/>
    </row>
    <row r="17" ht="18.75" customHeight="1">
      <c r="A17" s="49">
        <f t="shared" si="2"/>
        <v>3</v>
      </c>
      <c r="B17" s="50">
        <f t="shared" si="5"/>
        <v>43333</v>
      </c>
      <c r="C17" s="47">
        <f t="shared" ref="C17:D17" si="6">C16</f>
        <v>0.07</v>
      </c>
      <c r="D17" s="47">
        <f t="shared" si="6"/>
        <v>0.005654</v>
      </c>
      <c r="E17" s="51">
        <f>'AP04'!$F17+'AP04'!$G17</f>
        <v>2536.686085</v>
      </c>
      <c r="F17" s="51">
        <f>(Q16*'AP04'!$R17)*'AP04'!$D17</f>
        <v>1697.871481</v>
      </c>
      <c r="G17" s="51">
        <f>(Q16*'AP04'!$R17)/($I$5-A16)</f>
        <v>838.8146037</v>
      </c>
      <c r="H17" s="52">
        <f t="shared" ref="H17:L17" si="7">H16</f>
        <v>0</v>
      </c>
      <c r="I17" s="52">
        <f t="shared" si="7"/>
        <v>0</v>
      </c>
      <c r="J17" s="51">
        <f t="shared" si="7"/>
        <v>25</v>
      </c>
      <c r="K17" s="52">
        <f t="shared" si="7"/>
        <v>0</v>
      </c>
      <c r="L17" s="52">
        <f t="shared" si="7"/>
        <v>0</v>
      </c>
      <c r="M17" s="51">
        <f>'AP03'!D10</f>
        <v>2635.2</v>
      </c>
      <c r="N17" s="51">
        <f>SUM('AP04'!$F17:$L17)</f>
        <v>2561.686085</v>
      </c>
      <c r="O17" s="137">
        <f>'AP04'!$M17-'AP04'!$N17</f>
        <v>73.51391485</v>
      </c>
      <c r="P17" s="51">
        <f>Q16*('AP04'!$R17-1)</f>
        <v>0</v>
      </c>
      <c r="Q17" s="51">
        <f>(Q16*'AP04'!$R17)-'AP04'!$G17-'AP04'!$O17*2</f>
        <v>299309.7857</v>
      </c>
      <c r="R17" s="53">
        <f t="shared" si="8"/>
        <v>1</v>
      </c>
      <c r="S17" s="4"/>
      <c r="T17" s="4"/>
      <c r="U17" s="4"/>
      <c r="V17" s="4"/>
      <c r="W17" s="4"/>
      <c r="X17" s="4"/>
      <c r="Y17" s="4"/>
      <c r="Z17" s="4"/>
    </row>
    <row r="18" ht="18.75" customHeight="1">
      <c r="A18" s="49">
        <f t="shared" si="2"/>
        <v>4</v>
      </c>
      <c r="B18" s="50">
        <f t="shared" si="5"/>
        <v>43364</v>
      </c>
      <c r="C18" s="47">
        <f t="shared" ref="C18:D18" si="9">C17</f>
        <v>0.07</v>
      </c>
      <c r="D18" s="47">
        <f t="shared" si="9"/>
        <v>0.005654</v>
      </c>
      <c r="E18" s="51">
        <f>'AP04'!$F18+'AP04'!$G18</f>
        <v>2530.700289</v>
      </c>
      <c r="F18" s="51">
        <f>(Q17*'AP04'!$R18)*'AP04'!$D18</f>
        <v>1692.297528</v>
      </c>
      <c r="G18" s="51">
        <f>(Q17*'AP04'!$R18)/($I$5-A17)</f>
        <v>838.4027611</v>
      </c>
      <c r="H18" s="52">
        <f t="shared" ref="H18:L18" si="10">H17</f>
        <v>0</v>
      </c>
      <c r="I18" s="52">
        <f t="shared" si="10"/>
        <v>0</v>
      </c>
      <c r="J18" s="51">
        <f t="shared" si="10"/>
        <v>25</v>
      </c>
      <c r="K18" s="52">
        <f t="shared" si="10"/>
        <v>0</v>
      </c>
      <c r="L18" s="52">
        <f t="shared" si="10"/>
        <v>0</v>
      </c>
      <c r="M18" s="51">
        <f>'AP03'!D11</f>
        <v>2630.36</v>
      </c>
      <c r="N18" s="51">
        <f>SUM('AP04'!$F18:$L18)</f>
        <v>2555.700289</v>
      </c>
      <c r="O18" s="137">
        <f>'AP04'!$M18-'AP04'!$N18</f>
        <v>74.65971063</v>
      </c>
      <c r="P18" s="51">
        <f>Q17*('AP04'!$R18-1)</f>
        <v>0</v>
      </c>
      <c r="Q18" s="51">
        <f>(Q17*'AP04'!$R18)-'AP04'!$G18-'AP04'!$O18*2</f>
        <v>298322.0635</v>
      </c>
      <c r="R18" s="53">
        <f t="shared" si="8"/>
        <v>1</v>
      </c>
      <c r="S18" s="4"/>
      <c r="T18" s="4"/>
      <c r="U18" s="4"/>
      <c r="V18" s="4"/>
      <c r="W18" s="4"/>
      <c r="X18" s="4"/>
      <c r="Y18" s="4"/>
      <c r="Z18" s="4"/>
    </row>
    <row r="19" ht="18.75" customHeight="1">
      <c r="A19" s="49">
        <f t="shared" si="2"/>
        <v>5</v>
      </c>
      <c r="B19" s="50">
        <f t="shared" si="5"/>
        <v>43394</v>
      </c>
      <c r="C19" s="47">
        <f t="shared" ref="C19:D19" si="11">C18</f>
        <v>0.07</v>
      </c>
      <c r="D19" s="47">
        <f t="shared" si="11"/>
        <v>0.005654</v>
      </c>
      <c r="E19" s="51">
        <f>'AP04'!$F19+'AP04'!$G19</f>
        <v>2524.696272</v>
      </c>
      <c r="F19" s="51">
        <f>(Q18*'AP04'!$R19)*'AP04'!$D19</f>
        <v>1686.712947</v>
      </c>
      <c r="G19" s="51">
        <f>(Q18*'AP04'!$R19)/($I$5-A18)</f>
        <v>837.9833245</v>
      </c>
      <c r="H19" s="52">
        <f t="shared" ref="H19:L19" si="12">H18</f>
        <v>0</v>
      </c>
      <c r="I19" s="52">
        <f t="shared" si="12"/>
        <v>0</v>
      </c>
      <c r="J19" s="51">
        <f t="shared" si="12"/>
        <v>25</v>
      </c>
      <c r="K19" s="52">
        <f t="shared" si="12"/>
        <v>0</v>
      </c>
      <c r="L19" s="52">
        <f t="shared" si="12"/>
        <v>0</v>
      </c>
      <c r="M19" s="51">
        <f>'AP03'!D12</f>
        <v>2625.52</v>
      </c>
      <c r="N19" s="51">
        <f>SUM('AP04'!$F19:$L19)</f>
        <v>2549.696272</v>
      </c>
      <c r="O19" s="137">
        <f>'AP04'!$M19-'AP04'!$N19</f>
        <v>75.82372842</v>
      </c>
      <c r="P19" s="51">
        <f>Q18*('AP04'!$R19-1)</f>
        <v>0</v>
      </c>
      <c r="Q19" s="51">
        <f>(Q18*'AP04'!$R19)-'AP04'!$G19-'AP04'!$O19*2</f>
        <v>297332.4327</v>
      </c>
      <c r="R19" s="53">
        <f t="shared" si="8"/>
        <v>1</v>
      </c>
      <c r="S19" s="4"/>
      <c r="T19" s="4"/>
      <c r="U19" s="4"/>
      <c r="V19" s="4"/>
      <c r="W19" s="4"/>
      <c r="X19" s="4"/>
      <c r="Y19" s="4"/>
      <c r="Z19" s="4"/>
    </row>
    <row r="20" ht="18.75" customHeight="1">
      <c r="A20" s="49">
        <f t="shared" si="2"/>
        <v>6</v>
      </c>
      <c r="B20" s="50">
        <f t="shared" si="5"/>
        <v>43425</v>
      </c>
      <c r="C20" s="47">
        <f t="shared" ref="C20:D20" si="13">C19</f>
        <v>0.07</v>
      </c>
      <c r="D20" s="47">
        <f t="shared" si="13"/>
        <v>0.005654</v>
      </c>
      <c r="E20" s="51">
        <f>'AP04'!$F20+'AP04'!$G20</f>
        <v>2518.673723</v>
      </c>
      <c r="F20" s="51">
        <f>(Q19*'AP04'!$R20)*'AP04'!$D20</f>
        <v>1681.117575</v>
      </c>
      <c r="G20" s="51">
        <f>(Q19*'AP04'!$R20)/($I$5-A19)</f>
        <v>837.5561485</v>
      </c>
      <c r="H20" s="52">
        <f t="shared" ref="H20:L20" si="14">H19</f>
        <v>0</v>
      </c>
      <c r="I20" s="52">
        <f t="shared" si="14"/>
        <v>0</v>
      </c>
      <c r="J20" s="51">
        <f t="shared" si="14"/>
        <v>25</v>
      </c>
      <c r="K20" s="52">
        <f t="shared" si="14"/>
        <v>0</v>
      </c>
      <c r="L20" s="52">
        <f t="shared" si="14"/>
        <v>0</v>
      </c>
      <c r="M20" s="51">
        <f>'AP03'!D13</f>
        <v>2620.69</v>
      </c>
      <c r="N20" s="51">
        <f>SUM('AP04'!$F20:$L20)</f>
        <v>2543.673723</v>
      </c>
      <c r="O20" s="137">
        <f>'AP04'!$M20-'AP04'!$N20</f>
        <v>77.01627679</v>
      </c>
      <c r="P20" s="51">
        <f>Q19*('AP04'!$R20-1)</f>
        <v>0</v>
      </c>
      <c r="Q20" s="51">
        <f>(Q19*'AP04'!$R20)-'AP04'!$G20-'AP04'!$O20*2</f>
        <v>296340.844</v>
      </c>
      <c r="R20" s="53">
        <f t="shared" si="8"/>
        <v>1</v>
      </c>
      <c r="S20" s="4"/>
      <c r="T20" s="4"/>
      <c r="U20" s="4"/>
      <c r="V20" s="4"/>
      <c r="W20" s="4"/>
      <c r="X20" s="4"/>
      <c r="Y20" s="4"/>
      <c r="Z20" s="4"/>
    </row>
    <row r="21" ht="18.75" customHeight="1">
      <c r="A21" s="49">
        <f t="shared" si="2"/>
        <v>7</v>
      </c>
      <c r="B21" s="50">
        <f t="shared" si="5"/>
        <v>43455</v>
      </c>
      <c r="C21" s="47">
        <f t="shared" ref="C21:D21" si="15">C20</f>
        <v>0.07</v>
      </c>
      <c r="D21" s="47">
        <f t="shared" si="15"/>
        <v>0.005654</v>
      </c>
      <c r="E21" s="51">
        <f>'AP04'!$F21+'AP04'!$G21</f>
        <v>2512.63216</v>
      </c>
      <c r="F21" s="51">
        <f>(Q20*'AP04'!$R21)*'AP04'!$D21</f>
        <v>1675.511132</v>
      </c>
      <c r="G21" s="51">
        <f>(Q20*'AP04'!$R21)/($I$5-A20)</f>
        <v>837.1210283</v>
      </c>
      <c r="H21" s="52">
        <f t="shared" ref="H21:L21" si="16">H20</f>
        <v>0</v>
      </c>
      <c r="I21" s="52">
        <f t="shared" si="16"/>
        <v>0</v>
      </c>
      <c r="J21" s="51">
        <f t="shared" si="16"/>
        <v>25</v>
      </c>
      <c r="K21" s="52">
        <f t="shared" si="16"/>
        <v>0</v>
      </c>
      <c r="L21" s="52">
        <f t="shared" si="16"/>
        <v>0</v>
      </c>
      <c r="M21" s="51">
        <f>'AP03'!D14</f>
        <v>2616.41</v>
      </c>
      <c r="N21" s="51">
        <f>SUM('AP04'!$F21:$L21)</f>
        <v>2537.63216</v>
      </c>
      <c r="O21" s="137">
        <f>'AP04'!$M21-'AP04'!$N21</f>
        <v>78.77783952</v>
      </c>
      <c r="P21" s="51">
        <f>Q20*('AP04'!$R21-1)</f>
        <v>0</v>
      </c>
      <c r="Q21" s="51">
        <f>(Q20*'AP04'!$R21)-'AP04'!$G21-'AP04'!$O21*2</f>
        <v>295346.1673</v>
      </c>
      <c r="R21" s="53">
        <f t="shared" si="8"/>
        <v>1</v>
      </c>
      <c r="S21" s="4"/>
      <c r="T21" s="4"/>
      <c r="U21" s="4"/>
      <c r="V21" s="4"/>
      <c r="W21" s="4"/>
      <c r="X21" s="4"/>
      <c r="Y21" s="4"/>
      <c r="Z21" s="4"/>
    </row>
    <row r="22" ht="18.75" customHeight="1">
      <c r="A22" s="49">
        <f t="shared" si="2"/>
        <v>8</v>
      </c>
      <c r="B22" s="50">
        <f t="shared" si="5"/>
        <v>43486</v>
      </c>
      <c r="C22" s="47">
        <f t="shared" ref="C22:D22" si="17">C21</f>
        <v>0.07</v>
      </c>
      <c r="D22" s="47">
        <f t="shared" si="17"/>
        <v>0.005654</v>
      </c>
      <c r="E22" s="51">
        <f>'AP04'!$F22+'AP04'!$G22</f>
        <v>2506.561925</v>
      </c>
      <c r="F22" s="51">
        <f>(Q21*'AP04'!$R22)*'AP04'!$D22</f>
        <v>1669.88723</v>
      </c>
      <c r="G22" s="51">
        <f>(Q21*'AP04'!$R22)/($I$5-A21)</f>
        <v>836.674695</v>
      </c>
      <c r="H22" s="52">
        <f t="shared" ref="H22:L22" si="18">H21</f>
        <v>0</v>
      </c>
      <c r="I22" s="52">
        <f t="shared" si="18"/>
        <v>0</v>
      </c>
      <c r="J22" s="51">
        <f t="shared" si="18"/>
        <v>25</v>
      </c>
      <c r="K22" s="52">
        <f t="shared" si="18"/>
        <v>0</v>
      </c>
      <c r="L22" s="52">
        <f t="shared" si="18"/>
        <v>0</v>
      </c>
      <c r="M22" s="51">
        <f>'AP03'!D15</f>
        <v>2611.57</v>
      </c>
      <c r="N22" s="51">
        <f>SUM('AP04'!$F22:$L22)</f>
        <v>2531.561925</v>
      </c>
      <c r="O22" s="137">
        <f>'AP04'!$M22-'AP04'!$N22</f>
        <v>80.008075</v>
      </c>
      <c r="P22" s="51">
        <f>Q21*('AP04'!$R22-1)</f>
        <v>0</v>
      </c>
      <c r="Q22" s="51">
        <f>(Q21*'AP04'!$R22)-'AP04'!$G22-'AP04'!$O22*2</f>
        <v>294349.4765</v>
      </c>
      <c r="R22" s="53">
        <f t="shared" si="8"/>
        <v>1</v>
      </c>
      <c r="S22" s="4"/>
      <c r="T22" s="4"/>
      <c r="U22" s="4"/>
      <c r="V22" s="4"/>
      <c r="W22" s="4"/>
      <c r="X22" s="4"/>
      <c r="Y22" s="4"/>
      <c r="Z22" s="4"/>
    </row>
    <row r="23" ht="18.75" customHeight="1">
      <c r="A23" s="49">
        <f t="shared" si="2"/>
        <v>9</v>
      </c>
      <c r="B23" s="50">
        <f t="shared" si="5"/>
        <v>43517</v>
      </c>
      <c r="C23" s="47">
        <f t="shared" ref="C23:D23" si="19">C22</f>
        <v>0.07</v>
      </c>
      <c r="D23" s="47">
        <f t="shared" si="19"/>
        <v>0.005654</v>
      </c>
      <c r="E23" s="51">
        <f>'AP04'!$F23+'AP04'!$G23</f>
        <v>2500.472044</v>
      </c>
      <c r="F23" s="51">
        <f>(Q22*'AP04'!$R23)*'AP04'!$D23</f>
        <v>1664.25194</v>
      </c>
      <c r="G23" s="51">
        <f>(Q22*'AP04'!$R23)/($I$5-A22)</f>
        <v>836.2201036</v>
      </c>
      <c r="H23" s="52">
        <f t="shared" ref="H23:L23" si="20">H22</f>
        <v>0</v>
      </c>
      <c r="I23" s="52">
        <f t="shared" si="20"/>
        <v>0</v>
      </c>
      <c r="J23" s="51">
        <f t="shared" si="20"/>
        <v>25</v>
      </c>
      <c r="K23" s="52">
        <f t="shared" si="20"/>
        <v>0</v>
      </c>
      <c r="L23" s="52">
        <f t="shared" si="20"/>
        <v>0</v>
      </c>
      <c r="M23" s="51">
        <f>'AP03'!D16</f>
        <v>2606.73</v>
      </c>
      <c r="N23" s="51">
        <f>SUM('AP04'!$F23:$L23)</f>
        <v>2525.472044</v>
      </c>
      <c r="O23" s="137">
        <f>'AP04'!$M23-'AP04'!$N23</f>
        <v>81.25795637</v>
      </c>
      <c r="P23" s="51">
        <f>Q22*('AP04'!$R23-1)</f>
        <v>0</v>
      </c>
      <c r="Q23" s="51">
        <f>(Q22*'AP04'!$R23)-'AP04'!$G23-'AP04'!$O23*2</f>
        <v>293350.7405</v>
      </c>
      <c r="R23" s="53">
        <f t="shared" si="8"/>
        <v>1</v>
      </c>
      <c r="S23" s="4"/>
      <c r="T23" s="4"/>
      <c r="U23" s="4"/>
      <c r="V23" s="4"/>
      <c r="W23" s="4"/>
      <c r="X23" s="4"/>
      <c r="Y23" s="4"/>
      <c r="Z23" s="4"/>
    </row>
    <row r="24" ht="18.75" customHeight="1">
      <c r="A24" s="49">
        <f t="shared" si="2"/>
        <v>10</v>
      </c>
      <c r="B24" s="50">
        <f t="shared" si="5"/>
        <v>43545</v>
      </c>
      <c r="C24" s="47">
        <f t="shared" ref="C24:D24" si="21">C23</f>
        <v>0.07</v>
      </c>
      <c r="D24" s="47">
        <f t="shared" si="21"/>
        <v>0.005654</v>
      </c>
      <c r="E24" s="51">
        <f>'AP04'!$F24+'AP04'!$G24</f>
        <v>2494.362182</v>
      </c>
      <c r="F24" s="51">
        <f>(Q23*'AP04'!$R24)*'AP04'!$D24</f>
        <v>1658.605087</v>
      </c>
      <c r="G24" s="51">
        <f>(Q23*'AP04'!$R24)/($I$5-A23)</f>
        <v>835.7570953</v>
      </c>
      <c r="H24" s="52">
        <f t="shared" ref="H24:L24" si="22">H23</f>
        <v>0</v>
      </c>
      <c r="I24" s="52">
        <f t="shared" si="22"/>
        <v>0</v>
      </c>
      <c r="J24" s="51">
        <f t="shared" si="22"/>
        <v>25</v>
      </c>
      <c r="K24" s="52">
        <f t="shared" si="22"/>
        <v>0</v>
      </c>
      <c r="L24" s="52">
        <f t="shared" si="22"/>
        <v>0</v>
      </c>
      <c r="M24" s="51">
        <f>'AP03'!D17</f>
        <v>2601.89</v>
      </c>
      <c r="N24" s="51">
        <f>SUM('AP04'!$F24:$L24)</f>
        <v>2519.362182</v>
      </c>
      <c r="O24" s="137">
        <f>'AP04'!$M24-'AP04'!$N24</f>
        <v>82.5278181</v>
      </c>
      <c r="P24" s="51">
        <f>Q23*('AP04'!$R24-1)</f>
        <v>0</v>
      </c>
      <c r="Q24" s="51">
        <f>(Q23*'AP04'!$R24)-'AP04'!$G24-'AP04'!$O24*2</f>
        <v>292349.9277</v>
      </c>
      <c r="R24" s="53">
        <f t="shared" si="8"/>
        <v>1</v>
      </c>
      <c r="S24" s="4"/>
      <c r="T24" s="4"/>
      <c r="U24" s="4"/>
      <c r="V24" s="4"/>
      <c r="W24" s="4"/>
      <c r="X24" s="4"/>
      <c r="Y24" s="4"/>
      <c r="Z24" s="4"/>
    </row>
    <row r="25" ht="18.75" customHeight="1">
      <c r="A25" s="49">
        <f t="shared" si="2"/>
        <v>11</v>
      </c>
      <c r="B25" s="50">
        <f t="shared" si="5"/>
        <v>43576</v>
      </c>
      <c r="C25" s="47">
        <f t="shared" ref="C25:D25" si="23">C24</f>
        <v>0.07</v>
      </c>
      <c r="D25" s="47">
        <f t="shared" si="23"/>
        <v>0.005654</v>
      </c>
      <c r="E25" s="51">
        <f>'AP04'!$F25+'AP04'!$G25</f>
        <v>2488.231999</v>
      </c>
      <c r="F25" s="51">
        <f>(Q24*'AP04'!$R25)*'AP04'!$D25</f>
        <v>1652.946491</v>
      </c>
      <c r="G25" s="51">
        <f>(Q24*'AP04'!$R25)/($I$5-A24)</f>
        <v>835.2855078</v>
      </c>
      <c r="H25" s="52">
        <f t="shared" ref="H25:L25" si="24">H24</f>
        <v>0</v>
      </c>
      <c r="I25" s="52">
        <f t="shared" si="24"/>
        <v>0</v>
      </c>
      <c r="J25" s="51">
        <f t="shared" si="24"/>
        <v>25</v>
      </c>
      <c r="K25" s="52">
        <f t="shared" si="24"/>
        <v>0</v>
      </c>
      <c r="L25" s="52">
        <f t="shared" si="24"/>
        <v>0</v>
      </c>
      <c r="M25" s="51">
        <f>'AP03'!D18</f>
        <v>2597.05</v>
      </c>
      <c r="N25" s="51">
        <f>SUM('AP04'!$F25:$L25)</f>
        <v>2513.231999</v>
      </c>
      <c r="O25" s="137">
        <f>'AP04'!$M25-'AP04'!$N25</f>
        <v>83.81800082</v>
      </c>
      <c r="P25" s="51">
        <f>Q24*('AP04'!$R25-1)</f>
        <v>0</v>
      </c>
      <c r="Q25" s="51">
        <f>(Q24*'AP04'!$R25)-'AP04'!$G25-'AP04'!$O25*2</f>
        <v>291347.0062</v>
      </c>
      <c r="R25" s="53">
        <f t="shared" si="8"/>
        <v>1</v>
      </c>
      <c r="S25" s="4"/>
      <c r="T25" s="4"/>
      <c r="U25" s="4"/>
      <c r="V25" s="4"/>
      <c r="W25" s="4"/>
      <c r="X25" s="4"/>
      <c r="Y25" s="4"/>
      <c r="Z25" s="4"/>
    </row>
    <row r="26" ht="18.75" customHeight="1">
      <c r="A26" s="49">
        <f t="shared" si="2"/>
        <v>12</v>
      </c>
      <c r="B26" s="50">
        <f t="shared" si="5"/>
        <v>43606</v>
      </c>
      <c r="C26" s="47">
        <f t="shared" ref="C26:D26" si="25">C25</f>
        <v>0.07</v>
      </c>
      <c r="D26" s="47">
        <f t="shared" si="25"/>
        <v>0.005654</v>
      </c>
      <c r="E26" s="51">
        <f>'AP04'!$F26+'AP04'!$G26</f>
        <v>2482.081149</v>
      </c>
      <c r="F26" s="51">
        <f>(Q25*'AP04'!$R26)*'AP04'!$D26</f>
        <v>1647.275973</v>
      </c>
      <c r="G26" s="51">
        <f>(Q25*'AP04'!$R26)/($I$5-A25)</f>
        <v>834.8051754</v>
      </c>
      <c r="H26" s="52">
        <f t="shared" ref="H26:L26" si="26">H25</f>
        <v>0</v>
      </c>
      <c r="I26" s="52">
        <f t="shared" si="26"/>
        <v>0</v>
      </c>
      <c r="J26" s="51">
        <f t="shared" si="26"/>
        <v>25</v>
      </c>
      <c r="K26" s="52">
        <f t="shared" si="26"/>
        <v>0</v>
      </c>
      <c r="L26" s="52">
        <f t="shared" si="26"/>
        <v>0</v>
      </c>
      <c r="M26" s="51">
        <f>'AP03'!D19</f>
        <v>2592.21</v>
      </c>
      <c r="N26" s="51">
        <f>SUM('AP04'!$F26:$L26)</f>
        <v>2507.081149</v>
      </c>
      <c r="O26" s="137">
        <f>'AP04'!$M26-'AP04'!$N26</f>
        <v>85.12885142</v>
      </c>
      <c r="P26" s="51">
        <f>Q25*('AP04'!$R26-1)</f>
        <v>0</v>
      </c>
      <c r="Q26" s="51">
        <f>(Q25*'AP04'!$R26)-'AP04'!$G26-'AP04'!$O26*2</f>
        <v>290341.9433</v>
      </c>
      <c r="R26" s="53">
        <f t="shared" si="8"/>
        <v>1</v>
      </c>
      <c r="S26" s="4"/>
      <c r="T26" s="4"/>
      <c r="U26" s="4"/>
      <c r="V26" s="4"/>
      <c r="W26" s="4"/>
      <c r="X26" s="4"/>
      <c r="Y26" s="4"/>
      <c r="Z26" s="4"/>
    </row>
    <row r="27" ht="18.75" customHeight="1">
      <c r="A27" s="49">
        <f t="shared" si="2"/>
        <v>13</v>
      </c>
      <c r="B27" s="50">
        <f t="shared" si="5"/>
        <v>43637</v>
      </c>
      <c r="C27" s="47">
        <f t="shared" ref="C27:D27" si="27">C26</f>
        <v>0.07</v>
      </c>
      <c r="D27" s="47">
        <f t="shared" si="27"/>
        <v>0.005654</v>
      </c>
      <c r="E27" s="51">
        <f>'AP04'!$F27+'AP04'!$G27</f>
        <v>2475.909277</v>
      </c>
      <c r="F27" s="51">
        <f>(Q26*'AP04'!$R27)*'AP04'!$D27</f>
        <v>1641.593348</v>
      </c>
      <c r="G27" s="51">
        <f>(Q26*'AP04'!$R27)/($I$5-A26)</f>
        <v>834.3159291</v>
      </c>
      <c r="H27" s="52">
        <f t="shared" ref="H27:L27" si="28">H26</f>
        <v>0</v>
      </c>
      <c r="I27" s="52">
        <f t="shared" si="28"/>
        <v>0</v>
      </c>
      <c r="J27" s="51">
        <f t="shared" si="28"/>
        <v>25</v>
      </c>
      <c r="K27" s="52">
        <f t="shared" si="28"/>
        <v>0</v>
      </c>
      <c r="L27" s="52">
        <f t="shared" si="28"/>
        <v>0</v>
      </c>
      <c r="M27" s="51">
        <f>'AP03'!D20</f>
        <v>2587.38</v>
      </c>
      <c r="N27" s="51">
        <f>SUM('AP04'!$F27:$L27)</f>
        <v>2500.909277</v>
      </c>
      <c r="O27" s="137">
        <f>'AP04'!$M27-'AP04'!$N27</f>
        <v>86.4707232</v>
      </c>
      <c r="P27" s="51">
        <f>Q26*('AP04'!$R27-1)</f>
        <v>0</v>
      </c>
      <c r="Q27" s="51">
        <f>(Q26*'AP04'!$R27)-'AP04'!$G27-'AP04'!$O27*2</f>
        <v>289334.686</v>
      </c>
      <c r="R27" s="53">
        <f t="shared" si="8"/>
        <v>1</v>
      </c>
      <c r="S27" s="4"/>
      <c r="T27" s="4"/>
      <c r="U27" s="4"/>
      <c r="V27" s="4"/>
      <c r="W27" s="4"/>
      <c r="X27" s="4"/>
      <c r="Y27" s="4"/>
      <c r="Z27" s="4"/>
    </row>
    <row r="28" ht="18.75" customHeight="1">
      <c r="A28" s="49">
        <f t="shared" si="2"/>
        <v>14</v>
      </c>
      <c r="B28" s="50">
        <f t="shared" si="5"/>
        <v>43667</v>
      </c>
      <c r="C28" s="47">
        <f t="shared" ref="C28:D28" si="29">C27</f>
        <v>0.07</v>
      </c>
      <c r="D28" s="47">
        <f t="shared" si="29"/>
        <v>0.005654</v>
      </c>
      <c r="E28" s="51">
        <f>'AP04'!$F28+'AP04'!$G28</f>
        <v>2469.715853</v>
      </c>
      <c r="F28" s="51">
        <f>(Q27*'AP04'!$R28)*'AP04'!$D28</f>
        <v>1635.898314</v>
      </c>
      <c r="G28" s="51">
        <f>(Q27*'AP04'!$R28)/($I$5-A27)</f>
        <v>833.8175388</v>
      </c>
      <c r="H28" s="52">
        <f t="shared" ref="H28:L28" si="30">H27</f>
        <v>0</v>
      </c>
      <c r="I28" s="52">
        <f t="shared" si="30"/>
        <v>0</v>
      </c>
      <c r="J28" s="51">
        <f t="shared" si="30"/>
        <v>25</v>
      </c>
      <c r="K28" s="52">
        <f t="shared" si="30"/>
        <v>0</v>
      </c>
      <c r="L28" s="52">
        <f t="shared" si="30"/>
        <v>0</v>
      </c>
      <c r="M28" s="51">
        <f>'AP03'!D21</f>
        <v>2582.54</v>
      </c>
      <c r="N28" s="51">
        <f>SUM('AP04'!$F28:$L28)</f>
        <v>2494.715853</v>
      </c>
      <c r="O28" s="137">
        <f>'AP04'!$M28-'AP04'!$N28</f>
        <v>87.82414674</v>
      </c>
      <c r="P28" s="51">
        <f>Q27*('AP04'!$R28-1)</f>
        <v>0</v>
      </c>
      <c r="Q28" s="51">
        <f>(Q27*'AP04'!$R28)-'AP04'!$G28-'AP04'!$O28*2</f>
        <v>288325.2201</v>
      </c>
      <c r="R28" s="53">
        <f t="shared" si="8"/>
        <v>1</v>
      </c>
      <c r="S28" s="4"/>
      <c r="T28" s="4"/>
      <c r="U28" s="4"/>
      <c r="V28" s="4"/>
      <c r="W28" s="4"/>
      <c r="X28" s="4"/>
      <c r="Y28" s="4"/>
      <c r="Z28" s="4"/>
    </row>
    <row r="29" ht="18.75" customHeight="1">
      <c r="A29" s="49">
        <f t="shared" si="2"/>
        <v>15</v>
      </c>
      <c r="B29" s="50">
        <f t="shared" si="5"/>
        <v>43698</v>
      </c>
      <c r="C29" s="47">
        <f t="shared" ref="C29:D29" si="31">C28</f>
        <v>0.07</v>
      </c>
      <c r="D29" s="47">
        <f t="shared" si="31"/>
        <v>0.005654</v>
      </c>
      <c r="E29" s="51">
        <f>'AP04'!$F29+'AP04'!$G29</f>
        <v>2463.500679</v>
      </c>
      <c r="F29" s="51">
        <f>(Q28*'AP04'!$R29)*'AP04'!$D29</f>
        <v>1630.190795</v>
      </c>
      <c r="G29" s="51">
        <f>(Q28*'AP04'!$R29)/($I$5-A28)</f>
        <v>833.3098848</v>
      </c>
      <c r="H29" s="52">
        <f t="shared" ref="H29:L29" si="32">H28</f>
        <v>0</v>
      </c>
      <c r="I29" s="52">
        <f t="shared" si="32"/>
        <v>0</v>
      </c>
      <c r="J29" s="51">
        <f t="shared" si="32"/>
        <v>25</v>
      </c>
      <c r="K29" s="52">
        <f t="shared" si="32"/>
        <v>0</v>
      </c>
      <c r="L29" s="52">
        <f t="shared" si="32"/>
        <v>0</v>
      </c>
      <c r="M29" s="51">
        <f>'AP03'!D22</f>
        <v>2577.7</v>
      </c>
      <c r="N29" s="51">
        <f>SUM('AP04'!$F29:$L29)</f>
        <v>2488.500679</v>
      </c>
      <c r="O29" s="137">
        <f>'AP04'!$M29-'AP04'!$N29</f>
        <v>89.19932058</v>
      </c>
      <c r="P29" s="51">
        <f>Q28*('AP04'!$R29-1)</f>
        <v>0</v>
      </c>
      <c r="Q29" s="51">
        <f>(Q28*'AP04'!$R29)-'AP04'!$G29-'AP04'!$O29*2</f>
        <v>287313.5116</v>
      </c>
      <c r="R29" s="53">
        <f t="shared" si="8"/>
        <v>1</v>
      </c>
      <c r="S29" s="4"/>
      <c r="T29" s="4"/>
      <c r="U29" s="4"/>
      <c r="V29" s="4"/>
      <c r="W29" s="4"/>
      <c r="X29" s="4"/>
      <c r="Y29" s="4"/>
      <c r="Z29" s="4"/>
    </row>
    <row r="30" ht="18.75" customHeight="1">
      <c r="A30" s="49">
        <f t="shared" si="2"/>
        <v>16</v>
      </c>
      <c r="B30" s="50">
        <f t="shared" si="5"/>
        <v>43729</v>
      </c>
      <c r="C30" s="47">
        <f t="shared" ref="C30:D30" si="33">C29</f>
        <v>0.07</v>
      </c>
      <c r="D30" s="47">
        <f t="shared" si="33"/>
        <v>0.005654</v>
      </c>
      <c r="E30" s="51">
        <f>'AP04'!$F30+'AP04'!$G30</f>
        <v>2457.263382</v>
      </c>
      <c r="F30" s="51">
        <f>(Q29*'AP04'!$R30)*'AP04'!$D30</f>
        <v>1624.470595</v>
      </c>
      <c r="G30" s="51">
        <f>(Q29*'AP04'!$R30)/($I$5-A29)</f>
        <v>832.7927873</v>
      </c>
      <c r="H30" s="52">
        <f t="shared" ref="H30:L30" si="34">H29</f>
        <v>0</v>
      </c>
      <c r="I30" s="52">
        <f t="shared" si="34"/>
        <v>0</v>
      </c>
      <c r="J30" s="51">
        <f t="shared" si="34"/>
        <v>25</v>
      </c>
      <c r="K30" s="52">
        <f t="shared" si="34"/>
        <v>0</v>
      </c>
      <c r="L30" s="52">
        <f t="shared" si="34"/>
        <v>0</v>
      </c>
      <c r="M30" s="51">
        <f>'AP03'!D23</f>
        <v>2572.86</v>
      </c>
      <c r="N30" s="51">
        <f>SUM('AP04'!$F30:$L30)</f>
        <v>2482.263382</v>
      </c>
      <c r="O30" s="137">
        <f>'AP04'!$M30-'AP04'!$N30</f>
        <v>90.5966181</v>
      </c>
      <c r="P30" s="51">
        <f>Q29*('AP04'!$R30-1)</f>
        <v>0</v>
      </c>
      <c r="Q30" s="51">
        <f>(Q29*'AP04'!$R30)-'AP04'!$G30-'AP04'!$O30*2</f>
        <v>286299.5256</v>
      </c>
      <c r="R30" s="53">
        <f t="shared" si="8"/>
        <v>1</v>
      </c>
      <c r="S30" s="4"/>
      <c r="T30" s="4"/>
      <c r="U30" s="4"/>
      <c r="V30" s="4"/>
      <c r="W30" s="4"/>
      <c r="X30" s="4"/>
      <c r="Y30" s="4"/>
      <c r="Z30" s="4"/>
    </row>
    <row r="31" ht="18.75" customHeight="1">
      <c r="A31" s="49">
        <f t="shared" si="2"/>
        <v>17</v>
      </c>
      <c r="B31" s="50">
        <f t="shared" si="5"/>
        <v>43759</v>
      </c>
      <c r="C31" s="47">
        <f t="shared" ref="C31:D31" si="35">C30</f>
        <v>0.07</v>
      </c>
      <c r="D31" s="47">
        <f t="shared" si="35"/>
        <v>0.005654</v>
      </c>
      <c r="E31" s="51">
        <f>'AP04'!$F31+'AP04'!$G31</f>
        <v>2451.00358</v>
      </c>
      <c r="F31" s="51">
        <f>(Q30*'AP04'!$R31)*'AP04'!$D31</f>
        <v>1618.737518</v>
      </c>
      <c r="G31" s="51">
        <f>(Q30*'AP04'!$R31)/($I$5-A30)</f>
        <v>832.2660627</v>
      </c>
      <c r="H31" s="52">
        <f t="shared" ref="H31:L31" si="36">H30</f>
        <v>0</v>
      </c>
      <c r="I31" s="52">
        <f t="shared" si="36"/>
        <v>0</v>
      </c>
      <c r="J31" s="51">
        <f t="shared" si="36"/>
        <v>25</v>
      </c>
      <c r="K31" s="52">
        <f t="shared" si="36"/>
        <v>0</v>
      </c>
      <c r="L31" s="52">
        <f t="shared" si="36"/>
        <v>0</v>
      </c>
      <c r="M31" s="51">
        <f>'AP03'!D24</f>
        <v>2568.02</v>
      </c>
      <c r="N31" s="51">
        <f>SUM('AP04'!$F31:$L31)</f>
        <v>2476.00358</v>
      </c>
      <c r="O31" s="137">
        <f>'AP04'!$M31-'AP04'!$N31</f>
        <v>92.0164196</v>
      </c>
      <c r="P31" s="51">
        <f>Q30*('AP04'!$R31-1)</f>
        <v>0</v>
      </c>
      <c r="Q31" s="51">
        <f>(Q30*'AP04'!$R31)-'AP04'!$G31-'AP04'!$O31*2</f>
        <v>285283.2267</v>
      </c>
      <c r="R31" s="53">
        <f t="shared" si="8"/>
        <v>1</v>
      </c>
      <c r="S31" s="4"/>
      <c r="T31" s="4"/>
      <c r="U31" s="4"/>
      <c r="V31" s="4"/>
      <c r="W31" s="4"/>
      <c r="X31" s="4"/>
      <c r="Y31" s="4"/>
      <c r="Z31" s="4"/>
    </row>
    <row r="32" ht="18.75" customHeight="1">
      <c r="A32" s="49">
        <f t="shared" si="2"/>
        <v>18</v>
      </c>
      <c r="B32" s="50">
        <f t="shared" si="5"/>
        <v>43790</v>
      </c>
      <c r="C32" s="47">
        <f t="shared" ref="C32:D32" si="37">C31</f>
        <v>0.07</v>
      </c>
      <c r="D32" s="47">
        <f t="shared" si="37"/>
        <v>0.005654</v>
      </c>
      <c r="E32" s="51">
        <f>'AP04'!$F32+'AP04'!$G32</f>
        <v>2444.720888</v>
      </c>
      <c r="F32" s="51">
        <f>(Q31*'AP04'!$R32)*'AP04'!$D32</f>
        <v>1612.991364</v>
      </c>
      <c r="G32" s="51">
        <f>(Q31*'AP04'!$R32)/($I$5-A31)</f>
        <v>831.7295239</v>
      </c>
      <c r="H32" s="52">
        <f t="shared" ref="H32:L32" si="38">H31</f>
        <v>0</v>
      </c>
      <c r="I32" s="52">
        <f t="shared" si="38"/>
        <v>0</v>
      </c>
      <c r="J32" s="51">
        <f t="shared" si="38"/>
        <v>25</v>
      </c>
      <c r="K32" s="52">
        <f t="shared" si="38"/>
        <v>0</v>
      </c>
      <c r="L32" s="52">
        <f t="shared" si="38"/>
        <v>0</v>
      </c>
      <c r="M32" s="51">
        <f>'AP03'!D25</f>
        <v>2563.19</v>
      </c>
      <c r="N32" s="51">
        <f>SUM('AP04'!$F32:$L32)</f>
        <v>2469.720888</v>
      </c>
      <c r="O32" s="137">
        <f>'AP04'!$M32-'AP04'!$N32</f>
        <v>93.46911248</v>
      </c>
      <c r="P32" s="51">
        <f>Q31*('AP04'!$R32-1)</f>
        <v>0</v>
      </c>
      <c r="Q32" s="51">
        <f>(Q31*'AP04'!$R32)-'AP04'!$G32-'AP04'!$O32*2</f>
        <v>284264.5589</v>
      </c>
      <c r="R32" s="53">
        <f t="shared" si="8"/>
        <v>1</v>
      </c>
      <c r="S32" s="4"/>
      <c r="T32" s="4"/>
      <c r="U32" s="4"/>
      <c r="V32" s="4"/>
      <c r="W32" s="4"/>
      <c r="X32" s="4"/>
      <c r="Y32" s="4"/>
      <c r="Z32" s="4"/>
    </row>
    <row r="33" ht="18.75" customHeight="1">
      <c r="A33" s="49">
        <f t="shared" si="2"/>
        <v>19</v>
      </c>
      <c r="B33" s="50">
        <f t="shared" si="5"/>
        <v>43820</v>
      </c>
      <c r="C33" s="47">
        <f t="shared" ref="C33:D33" si="39">C32</f>
        <v>0.07</v>
      </c>
      <c r="D33" s="47">
        <f t="shared" si="39"/>
        <v>0.005654</v>
      </c>
      <c r="E33" s="51">
        <f>'AP04'!$F33+'AP04'!$G33</f>
        <v>2438.414737</v>
      </c>
      <c r="F33" s="51">
        <f>(Q32*'AP04'!$R33)*'AP04'!$D33</f>
        <v>1607.231816</v>
      </c>
      <c r="G33" s="51">
        <f>(Q32*'AP04'!$R33)/($I$5-A32)</f>
        <v>831.1829209</v>
      </c>
      <c r="H33" s="52">
        <f t="shared" ref="H33:L33" si="40">H32</f>
        <v>0</v>
      </c>
      <c r="I33" s="52">
        <f t="shared" si="40"/>
        <v>0</v>
      </c>
      <c r="J33" s="51">
        <f t="shared" si="40"/>
        <v>25</v>
      </c>
      <c r="K33" s="52">
        <f t="shared" si="40"/>
        <v>0</v>
      </c>
      <c r="L33" s="52">
        <f t="shared" si="40"/>
        <v>0</v>
      </c>
      <c r="M33" s="51">
        <f>'AP03'!D26</f>
        <v>2558.98</v>
      </c>
      <c r="N33" s="51">
        <f>SUM('AP04'!$F33:$L33)</f>
        <v>2463.414737</v>
      </c>
      <c r="O33" s="137">
        <f>'AP04'!$M33-'AP04'!$N33</f>
        <v>95.56526293</v>
      </c>
      <c r="P33" s="51">
        <f>Q32*('AP04'!$R33-1)</f>
        <v>0</v>
      </c>
      <c r="Q33" s="51">
        <f>(Q32*'AP04'!$R33)-'AP04'!$G33-'AP04'!$O33*2</f>
        <v>283242.2455</v>
      </c>
      <c r="R33" s="53">
        <f t="shared" si="8"/>
        <v>1</v>
      </c>
      <c r="S33" s="4"/>
      <c r="T33" s="4"/>
      <c r="U33" s="4"/>
      <c r="V33" s="4"/>
      <c r="W33" s="4"/>
      <c r="X33" s="4"/>
      <c r="Y33" s="4"/>
      <c r="Z33" s="4"/>
    </row>
    <row r="34" ht="18.75" customHeight="1">
      <c r="A34" s="49">
        <f t="shared" si="2"/>
        <v>20</v>
      </c>
      <c r="B34" s="50">
        <f t="shared" si="5"/>
        <v>43851</v>
      </c>
      <c r="C34" s="47">
        <f t="shared" ref="C34:D34" si="41">C33</f>
        <v>0.07</v>
      </c>
      <c r="D34" s="47">
        <f t="shared" si="41"/>
        <v>0.005654</v>
      </c>
      <c r="E34" s="51">
        <f>'AP04'!$F34+'AP04'!$G34</f>
        <v>2432.074077</v>
      </c>
      <c r="F34" s="51">
        <f>(Q33*'AP04'!$R34)*'AP04'!$D34</f>
        <v>1601.451656</v>
      </c>
      <c r="G34" s="51">
        <f>(Q33*'AP04'!$R34)/($I$5-A33)</f>
        <v>830.6224208</v>
      </c>
      <c r="H34" s="52">
        <f t="shared" ref="H34:L34" si="42">H33</f>
        <v>0</v>
      </c>
      <c r="I34" s="52">
        <f t="shared" si="42"/>
        <v>0</v>
      </c>
      <c r="J34" s="51">
        <f t="shared" si="42"/>
        <v>25</v>
      </c>
      <c r="K34" s="52">
        <f t="shared" si="42"/>
        <v>0</v>
      </c>
      <c r="L34" s="52">
        <f t="shared" si="42"/>
        <v>0</v>
      </c>
      <c r="M34" s="51">
        <f>'AP03'!D27</f>
        <v>2554.14</v>
      </c>
      <c r="N34" s="51">
        <f>SUM('AP04'!$F34:$L34)</f>
        <v>2457.074077</v>
      </c>
      <c r="O34" s="137">
        <f>'AP04'!$M34-'AP04'!$N34</f>
        <v>97.06592323</v>
      </c>
      <c r="P34" s="51">
        <f>Q33*('AP04'!$R34-1)</f>
        <v>0</v>
      </c>
      <c r="Q34" s="51">
        <f>(Q33*'AP04'!$R34)-'AP04'!$G34-'AP04'!$O34*2</f>
        <v>282217.4912</v>
      </c>
      <c r="R34" s="53">
        <f t="shared" si="8"/>
        <v>1</v>
      </c>
      <c r="S34" s="4"/>
      <c r="T34" s="4"/>
      <c r="U34" s="4"/>
      <c r="V34" s="4"/>
      <c r="W34" s="4"/>
      <c r="X34" s="4"/>
      <c r="Y34" s="4"/>
      <c r="Z34" s="4"/>
    </row>
    <row r="35" ht="18.75" customHeight="1">
      <c r="A35" s="49">
        <f t="shared" si="2"/>
        <v>21</v>
      </c>
      <c r="B35" s="50">
        <f t="shared" si="5"/>
        <v>43882</v>
      </c>
      <c r="C35" s="47">
        <f t="shared" ref="C35:D35" si="43">C34</f>
        <v>0.07</v>
      </c>
      <c r="D35" s="47">
        <f t="shared" si="43"/>
        <v>0.005654</v>
      </c>
      <c r="E35" s="51">
        <f>'AP04'!$F35+'AP04'!$G35</f>
        <v>2425.70914</v>
      </c>
      <c r="F35" s="51">
        <f>(Q34*'AP04'!$R35)*'AP04'!$D35</f>
        <v>1595.657695</v>
      </c>
      <c r="G35" s="51">
        <f>(Q34*'AP04'!$R35)/($I$5-A34)</f>
        <v>830.0514448</v>
      </c>
      <c r="H35" s="52">
        <f t="shared" ref="H35:L35" si="44">H34</f>
        <v>0</v>
      </c>
      <c r="I35" s="52">
        <f t="shared" si="44"/>
        <v>0</v>
      </c>
      <c r="J35" s="51">
        <f t="shared" si="44"/>
        <v>25</v>
      </c>
      <c r="K35" s="52">
        <f t="shared" si="44"/>
        <v>0</v>
      </c>
      <c r="L35" s="52">
        <f t="shared" si="44"/>
        <v>0</v>
      </c>
      <c r="M35" s="51">
        <f>'AP03'!D28</f>
        <v>2558.55</v>
      </c>
      <c r="N35" s="51">
        <f>SUM('AP04'!$F35:$L35)</f>
        <v>2450.70914</v>
      </c>
      <c r="O35" s="137">
        <f>'AP04'!$M35-'AP04'!$N35</f>
        <v>107.8408599</v>
      </c>
      <c r="P35" s="51">
        <f>Q34*('AP04'!$R35-1)</f>
        <v>0</v>
      </c>
      <c r="Q35" s="51">
        <f>(Q34*'AP04'!$R35)-'AP04'!$G35-'AP04'!$O35*2</f>
        <v>281171.7581</v>
      </c>
      <c r="R35" s="53">
        <f t="shared" si="8"/>
        <v>1</v>
      </c>
      <c r="S35" s="4"/>
      <c r="T35" s="4"/>
      <c r="U35" s="4"/>
      <c r="V35" s="4"/>
      <c r="W35" s="4"/>
      <c r="X35" s="4"/>
      <c r="Y35" s="4"/>
      <c r="Z35" s="4"/>
    </row>
    <row r="36" ht="18.75" customHeight="1">
      <c r="A36" s="49">
        <f t="shared" si="2"/>
        <v>22</v>
      </c>
      <c r="B36" s="50">
        <f t="shared" si="5"/>
        <v>43911</v>
      </c>
      <c r="C36" s="47">
        <v>0.062</v>
      </c>
      <c r="D36" s="47">
        <v>0.005025</v>
      </c>
      <c r="E36" s="51">
        <f>'AP04'!$F36+'AP04'!$G36</f>
        <v>2242.3033</v>
      </c>
      <c r="F36" s="51">
        <f>(Q35*'AP04'!$R36)*'AP04'!$D36</f>
        <v>1412.888084</v>
      </c>
      <c r="G36" s="51">
        <f>(Q35*'AP04'!$R36)/($I$5-A35)</f>
        <v>829.4152155</v>
      </c>
      <c r="H36" s="52">
        <f t="shared" ref="H36:L36" si="45">H35</f>
        <v>0</v>
      </c>
      <c r="I36" s="52">
        <f t="shared" si="45"/>
        <v>0</v>
      </c>
      <c r="J36" s="51">
        <f t="shared" si="45"/>
        <v>25</v>
      </c>
      <c r="K36" s="52">
        <f t="shared" si="45"/>
        <v>0</v>
      </c>
      <c r="L36" s="52">
        <f t="shared" si="45"/>
        <v>0</v>
      </c>
      <c r="M36" s="51">
        <f>'AP03'!D29</f>
        <v>2374.56</v>
      </c>
      <c r="N36" s="51">
        <f>SUM('AP04'!$F36:$L36)</f>
        <v>2267.3033</v>
      </c>
      <c r="O36" s="137">
        <f>'AP04'!$M36-'AP04'!$N36</f>
        <v>107.2567003</v>
      </c>
      <c r="P36" s="51">
        <f>Q35*('AP04'!$R36-1)</f>
        <v>0</v>
      </c>
      <c r="Q36" s="51">
        <f>(Q35*'AP04'!$R36)-'AP04'!$G36-'AP04'!$O36*2</f>
        <v>280127.8294</v>
      </c>
      <c r="R36" s="53">
        <f t="shared" si="8"/>
        <v>1</v>
      </c>
      <c r="S36" s="4"/>
      <c r="T36" s="4"/>
      <c r="U36" s="4"/>
      <c r="V36" s="4"/>
      <c r="W36" s="4"/>
      <c r="X36" s="4"/>
      <c r="Y36" s="4"/>
      <c r="Z36" s="4"/>
    </row>
    <row r="37" ht="18.75" customHeight="1">
      <c r="A37" s="49">
        <f t="shared" si="2"/>
        <v>23</v>
      </c>
      <c r="B37" s="50">
        <f t="shared" si="5"/>
        <v>43942</v>
      </c>
      <c r="C37" s="47">
        <v>0.062</v>
      </c>
      <c r="D37" s="47">
        <f t="shared" ref="D37:D41" si="47">D36</f>
        <v>0.005025</v>
      </c>
      <c r="E37" s="51">
        <f>'AP04'!$F37+'AP04'!$G37</f>
        <v>2236.422903</v>
      </c>
      <c r="F37" s="51">
        <f>(Q36*'AP04'!$R37)*'AP04'!$D37</f>
        <v>1407.642343</v>
      </c>
      <c r="G37" s="51">
        <f>(Q36*'AP04'!$R37)/($I$5-A36)</f>
        <v>828.7805605</v>
      </c>
      <c r="H37" s="52">
        <f t="shared" ref="H37:L37" si="46">H36</f>
        <v>0</v>
      </c>
      <c r="I37" s="52">
        <f t="shared" si="46"/>
        <v>0</v>
      </c>
      <c r="J37" s="51">
        <f t="shared" si="46"/>
        <v>25</v>
      </c>
      <c r="K37" s="52">
        <f t="shared" si="46"/>
        <v>0</v>
      </c>
      <c r="L37" s="52">
        <f t="shared" si="46"/>
        <v>0</v>
      </c>
      <c r="M37" s="51">
        <f>'AP03'!D30</f>
        <v>2370.23</v>
      </c>
      <c r="N37" s="51">
        <f>SUM('AP04'!$F37:$L37)</f>
        <v>2261.422903</v>
      </c>
      <c r="O37" s="137">
        <f>'AP04'!$M37-'AP04'!$N37</f>
        <v>108.8070966</v>
      </c>
      <c r="P37" s="51">
        <f>Q36*('AP04'!$R37-1)</f>
        <v>0</v>
      </c>
      <c r="Q37" s="51">
        <f>(Q36*'AP04'!$R37)-'AP04'!$G37-'AP04'!$O37*2</f>
        <v>279081.4347</v>
      </c>
      <c r="R37" s="53">
        <f t="shared" si="8"/>
        <v>1</v>
      </c>
      <c r="S37" s="4"/>
      <c r="T37" s="4"/>
      <c r="U37" s="4"/>
      <c r="V37" s="4"/>
      <c r="W37" s="4"/>
      <c r="X37" s="4"/>
      <c r="Y37" s="4"/>
      <c r="Z37" s="4"/>
    </row>
    <row r="38" ht="18.75" customHeight="1">
      <c r="A38" s="56">
        <f t="shared" si="2"/>
        <v>24</v>
      </c>
      <c r="B38" s="50">
        <f t="shared" si="5"/>
        <v>43972</v>
      </c>
      <c r="C38" s="47">
        <v>0.062</v>
      </c>
      <c r="D38" s="47">
        <f t="shared" si="47"/>
        <v>0.005025</v>
      </c>
      <c r="E38" s="51">
        <f>'AP04'!$F38+'AP04'!$G38</f>
        <v>2230.51903</v>
      </c>
      <c r="F38" s="51">
        <f>(Q37*'AP04'!$R38)*'AP04'!$D38</f>
        <v>1402.384209</v>
      </c>
      <c r="G38" s="51">
        <f>(Q37*'AP04'!$R38)/($I$5-A37)</f>
        <v>828.134821</v>
      </c>
      <c r="H38" s="52">
        <f t="shared" ref="H38:L38" si="48">H37</f>
        <v>0</v>
      </c>
      <c r="I38" s="52">
        <f t="shared" si="48"/>
        <v>0</v>
      </c>
      <c r="J38" s="51">
        <f t="shared" si="48"/>
        <v>25</v>
      </c>
      <c r="K38" s="52">
        <f t="shared" si="48"/>
        <v>0</v>
      </c>
      <c r="L38" s="52">
        <f t="shared" si="48"/>
        <v>0</v>
      </c>
      <c r="M38" s="51">
        <f>'AP03'!D31</f>
        <v>2365.89</v>
      </c>
      <c r="N38" s="51">
        <f>SUM('AP04'!$F38:$L38)</f>
        <v>2255.51903</v>
      </c>
      <c r="O38" s="137">
        <f>'AP04'!$M38-'AP04'!$N38</f>
        <v>110.3709697</v>
      </c>
      <c r="P38" s="51">
        <f>Q37*('AP04'!$R38-1)</f>
        <v>0</v>
      </c>
      <c r="Q38" s="51">
        <f>(Q37*'AP04'!$R38)-'AP04'!$G38-'AP04'!$O38*2</f>
        <v>278032.5579</v>
      </c>
      <c r="R38" s="53">
        <f t="shared" si="8"/>
        <v>1</v>
      </c>
      <c r="S38" s="4"/>
      <c r="T38" s="4"/>
      <c r="U38" s="4"/>
      <c r="V38" s="4"/>
      <c r="W38" s="4"/>
      <c r="X38" s="4"/>
      <c r="Y38" s="4"/>
      <c r="Z38" s="4"/>
    </row>
    <row r="39" ht="18.75" customHeight="1">
      <c r="A39" s="56">
        <f t="shared" si="2"/>
        <v>25</v>
      </c>
      <c r="B39" s="50">
        <f t="shared" si="5"/>
        <v>44003</v>
      </c>
      <c r="C39" s="47">
        <v>0.062</v>
      </c>
      <c r="D39" s="47">
        <f t="shared" si="47"/>
        <v>0.005025</v>
      </c>
      <c r="E39" s="51">
        <f>'AP04'!$F39+'AP04'!$G39</f>
        <v>2224.591455</v>
      </c>
      <c r="F39" s="51">
        <f>(Q38*'AP04'!$R39)*'AP04'!$D39</f>
        <v>1397.113604</v>
      </c>
      <c r="G39" s="51">
        <f>(Q38*'AP04'!$R39)/($I$5-A38)</f>
        <v>827.477851</v>
      </c>
      <c r="H39" s="52">
        <f t="shared" ref="H39:L39" si="49">H38</f>
        <v>0</v>
      </c>
      <c r="I39" s="52">
        <f t="shared" si="49"/>
        <v>0</v>
      </c>
      <c r="J39" s="51">
        <f t="shared" si="49"/>
        <v>25</v>
      </c>
      <c r="K39" s="52">
        <f t="shared" si="49"/>
        <v>0</v>
      </c>
      <c r="L39" s="52">
        <f t="shared" si="49"/>
        <v>0</v>
      </c>
      <c r="M39" s="51">
        <f>'AP03'!D32</f>
        <v>2361.55</v>
      </c>
      <c r="N39" s="51">
        <f>SUM('AP04'!$F39:$L39)</f>
        <v>2249.591455</v>
      </c>
      <c r="O39" s="137">
        <f>'AP04'!$M39-'AP04'!$N39</f>
        <v>111.9585455</v>
      </c>
      <c r="P39" s="51">
        <f>Q38*('AP04'!$R39-1)</f>
        <v>0</v>
      </c>
      <c r="Q39" s="51">
        <f>(Q38*'AP04'!$R39)-'AP04'!$G39-'AP04'!$O39*2</f>
        <v>276981.163</v>
      </c>
      <c r="R39" s="53">
        <f t="shared" si="8"/>
        <v>1</v>
      </c>
      <c r="S39" s="4"/>
      <c r="T39" s="4"/>
      <c r="U39" s="4"/>
      <c r="V39" s="4"/>
      <c r="W39" s="4"/>
      <c r="X39" s="4"/>
      <c r="Y39" s="4"/>
      <c r="Z39" s="4"/>
    </row>
    <row r="40" ht="18.75" customHeight="1">
      <c r="A40" s="56">
        <f t="shared" si="2"/>
        <v>26</v>
      </c>
      <c r="B40" s="50">
        <f t="shared" si="5"/>
        <v>44033</v>
      </c>
      <c r="C40" s="47">
        <v>0.062</v>
      </c>
      <c r="D40" s="47">
        <f t="shared" si="47"/>
        <v>0.005025</v>
      </c>
      <c r="E40" s="51">
        <f>'AP04'!$F40+'AP04'!$G40</f>
        <v>2218.639786</v>
      </c>
      <c r="F40" s="51">
        <f>(Q39*'AP04'!$R40)*'AP04'!$D40</f>
        <v>1391.830344</v>
      </c>
      <c r="G40" s="51">
        <f>(Q39*'AP04'!$R40)/($I$5-A39)</f>
        <v>826.8094417</v>
      </c>
      <c r="H40" s="52">
        <f t="shared" ref="H40:L40" si="50">H39</f>
        <v>0</v>
      </c>
      <c r="I40" s="52">
        <f t="shared" si="50"/>
        <v>0</v>
      </c>
      <c r="J40" s="51">
        <f t="shared" si="50"/>
        <v>25</v>
      </c>
      <c r="K40" s="52">
        <f t="shared" si="50"/>
        <v>0</v>
      </c>
      <c r="L40" s="52">
        <f t="shared" si="50"/>
        <v>0</v>
      </c>
      <c r="M40" s="51">
        <f>'AP03'!D33</f>
        <v>2357.21</v>
      </c>
      <c r="N40" s="51">
        <f>SUM('AP04'!$F40:$L40)</f>
        <v>2243.639786</v>
      </c>
      <c r="O40" s="137">
        <f>'AP04'!$M40-'AP04'!$N40</f>
        <v>113.5702143</v>
      </c>
      <c r="P40" s="51">
        <f>Q39*('AP04'!$R40-1)</f>
        <v>0</v>
      </c>
      <c r="Q40" s="51">
        <f>(Q39*'AP04'!$R40)-'AP04'!$G40-'AP04'!$O40*2</f>
        <v>275927.2131</v>
      </c>
      <c r="R40" s="53">
        <f t="shared" si="8"/>
        <v>1</v>
      </c>
      <c r="S40" s="4"/>
      <c r="T40" s="4"/>
      <c r="U40" s="4"/>
      <c r="V40" s="4"/>
      <c r="W40" s="4"/>
      <c r="X40" s="4"/>
      <c r="Y40" s="4"/>
      <c r="Z40" s="4"/>
    </row>
    <row r="41" ht="18.75" customHeight="1">
      <c r="A41" s="56">
        <f t="shared" si="2"/>
        <v>27</v>
      </c>
      <c r="B41" s="50">
        <f t="shared" si="5"/>
        <v>44064</v>
      </c>
      <c r="C41" s="47">
        <v>0.062</v>
      </c>
      <c r="D41" s="47">
        <f t="shared" si="47"/>
        <v>0.005025</v>
      </c>
      <c r="E41" s="51">
        <f>'AP04'!$F41+'AP04'!$G41</f>
        <v>2212.663626</v>
      </c>
      <c r="F41" s="51">
        <f>(Q40*'AP04'!$R41)*'AP04'!$D41</f>
        <v>1386.534246</v>
      </c>
      <c r="G41" s="51">
        <f>(Q40*'AP04'!$R41)/($I$5-A40)</f>
        <v>826.1293806</v>
      </c>
      <c r="H41" s="52">
        <f t="shared" ref="H41:L41" si="51">H40</f>
        <v>0</v>
      </c>
      <c r="I41" s="52">
        <f t="shared" si="51"/>
        <v>0</v>
      </c>
      <c r="J41" s="51">
        <f t="shared" si="51"/>
        <v>25</v>
      </c>
      <c r="K41" s="52">
        <f t="shared" si="51"/>
        <v>0</v>
      </c>
      <c r="L41" s="52">
        <f t="shared" si="51"/>
        <v>0</v>
      </c>
      <c r="M41" s="51">
        <f>'AP03'!D34</f>
        <v>2352.88</v>
      </c>
      <c r="N41" s="51">
        <f>SUM('AP04'!$F41:$L41)</f>
        <v>2237.663626</v>
      </c>
      <c r="O41" s="137">
        <f>'AP04'!$M41-'AP04'!$N41</f>
        <v>115.2163735</v>
      </c>
      <c r="P41" s="51">
        <f>Q40*('AP04'!$R41-1)</f>
        <v>0</v>
      </c>
      <c r="Q41" s="51">
        <f>(Q40*'AP04'!$R41)-'AP04'!$G41-'AP04'!$O41*2</f>
        <v>274870.651</v>
      </c>
      <c r="R41" s="53">
        <f t="shared" si="8"/>
        <v>1</v>
      </c>
      <c r="S41" s="4"/>
      <c r="T41" s="4"/>
      <c r="U41" s="4"/>
      <c r="V41" s="4"/>
      <c r="W41" s="4"/>
      <c r="X41" s="4"/>
      <c r="Y41" s="4"/>
      <c r="Z41" s="4"/>
    </row>
    <row r="42" ht="18.75" customHeight="1">
      <c r="A42" s="56">
        <f t="shared" si="2"/>
        <v>28</v>
      </c>
      <c r="B42" s="50">
        <f t="shared" si="5"/>
        <v>44095</v>
      </c>
      <c r="C42" s="47">
        <f t="shared" ref="C42:D42" si="52">C41</f>
        <v>0.062</v>
      </c>
      <c r="D42" s="47">
        <f t="shared" si="52"/>
        <v>0.005025</v>
      </c>
      <c r="E42" s="51">
        <f>'AP04'!$F42+'AP04'!$G42</f>
        <v>2206.662412</v>
      </c>
      <c r="F42" s="51">
        <f>(Q41*'AP04'!$R42)*'AP04'!$D42</f>
        <v>1381.225021</v>
      </c>
      <c r="G42" s="51">
        <f>(Q41*'AP04'!$R42)/($I$5-A41)</f>
        <v>825.4373903</v>
      </c>
      <c r="H42" s="52">
        <f t="shared" ref="H42:L42" si="53">H41</f>
        <v>0</v>
      </c>
      <c r="I42" s="52">
        <f t="shared" si="53"/>
        <v>0</v>
      </c>
      <c r="J42" s="51">
        <f t="shared" si="53"/>
        <v>25</v>
      </c>
      <c r="K42" s="52">
        <f t="shared" si="53"/>
        <v>0</v>
      </c>
      <c r="L42" s="52">
        <f t="shared" si="53"/>
        <v>0</v>
      </c>
      <c r="M42" s="51">
        <f>'AP03'!D35</f>
        <v>2348.54</v>
      </c>
      <c r="N42" s="51">
        <f>SUM('AP04'!$F42:$L42)</f>
        <v>2231.662412</v>
      </c>
      <c r="O42" s="137">
        <f>'AP04'!$M42-'AP04'!$N42</f>
        <v>116.8775885</v>
      </c>
      <c r="P42" s="51">
        <f>Q41*('AP04'!$R42-1)</f>
        <v>0</v>
      </c>
      <c r="Q42" s="51">
        <f>(Q41*'AP04'!$R42)-'AP04'!$G42-'AP04'!$O42*2</f>
        <v>273811.4584</v>
      </c>
      <c r="R42" s="53">
        <f t="shared" si="8"/>
        <v>1</v>
      </c>
      <c r="S42" s="4"/>
      <c r="T42" s="4"/>
      <c r="U42" s="4"/>
      <c r="V42" s="4"/>
      <c r="W42" s="4"/>
      <c r="X42" s="4"/>
      <c r="Y42" s="4"/>
      <c r="Z42" s="4"/>
    </row>
    <row r="43" ht="18.75" customHeight="1">
      <c r="A43" s="56">
        <f t="shared" si="2"/>
        <v>29</v>
      </c>
      <c r="B43" s="50">
        <f t="shared" si="5"/>
        <v>44125</v>
      </c>
      <c r="C43" s="47">
        <f t="shared" ref="C43:D43" si="54">C42</f>
        <v>0.062</v>
      </c>
      <c r="D43" s="47">
        <f t="shared" si="54"/>
        <v>0.005025</v>
      </c>
      <c r="E43" s="51">
        <f>'AP04'!$F43+'AP04'!$G43</f>
        <v>2200.635887</v>
      </c>
      <c r="F43" s="51">
        <f>(Q42*'AP04'!$R43)*'AP04'!$D43</f>
        <v>1375.902579</v>
      </c>
      <c r="G43" s="51">
        <f>(Q42*'AP04'!$R43)/($I$5-A42)</f>
        <v>824.7333085</v>
      </c>
      <c r="H43" s="52">
        <f t="shared" ref="H43:L43" si="55">H42</f>
        <v>0</v>
      </c>
      <c r="I43" s="52">
        <f t="shared" si="55"/>
        <v>0</v>
      </c>
      <c r="J43" s="51">
        <f t="shared" si="55"/>
        <v>25</v>
      </c>
      <c r="K43" s="52">
        <f t="shared" si="55"/>
        <v>0</v>
      </c>
      <c r="L43" s="52">
        <f t="shared" si="55"/>
        <v>0</v>
      </c>
      <c r="M43" s="51">
        <f>'AP03'!D36</f>
        <v>2344.34</v>
      </c>
      <c r="N43" s="51">
        <f>SUM('AP04'!$F43:$L43)</f>
        <v>2225.635887</v>
      </c>
      <c r="O43" s="137">
        <f>'AP04'!$M43-'AP04'!$N43</f>
        <v>118.704113</v>
      </c>
      <c r="P43" s="51">
        <f>Q42*('AP04'!$R43-1)</f>
        <v>0</v>
      </c>
      <c r="Q43" s="51">
        <f>(Q42*'AP04'!$R43)-'AP04'!$G43-'AP04'!$O43*2</f>
        <v>272749.3169</v>
      </c>
      <c r="R43" s="53">
        <f t="shared" si="8"/>
        <v>1</v>
      </c>
      <c r="S43" s="4"/>
      <c r="T43" s="4"/>
      <c r="U43" s="4"/>
      <c r="V43" s="4"/>
      <c r="W43" s="4"/>
      <c r="X43" s="4"/>
      <c r="Y43" s="4"/>
      <c r="Z43" s="4"/>
    </row>
    <row r="44" ht="18.75" customHeight="1">
      <c r="A44" s="56">
        <f t="shared" si="2"/>
        <v>30</v>
      </c>
      <c r="B44" s="50">
        <f t="shared" si="5"/>
        <v>44156</v>
      </c>
      <c r="C44" s="47">
        <f t="shared" ref="C44:D44" si="56">C43</f>
        <v>0.062</v>
      </c>
      <c r="D44" s="47">
        <f t="shared" si="56"/>
        <v>0.005025</v>
      </c>
      <c r="E44" s="51">
        <f>'AP04'!$F44+'AP04'!$G44</f>
        <v>2194.58138</v>
      </c>
      <c r="F44" s="51">
        <f>(Q43*'AP04'!$R44)*'AP04'!$D44</f>
        <v>1370.565317</v>
      </c>
      <c r="G44" s="51">
        <f>(Q43*'AP04'!$R44)/($I$5-A43)</f>
        <v>824.0160631</v>
      </c>
      <c r="H44" s="52">
        <f t="shared" ref="H44:L44" si="57">H43</f>
        <v>0</v>
      </c>
      <c r="I44" s="52">
        <f t="shared" si="57"/>
        <v>0</v>
      </c>
      <c r="J44" s="51">
        <f t="shared" si="57"/>
        <v>25</v>
      </c>
      <c r="K44" s="52">
        <f t="shared" si="57"/>
        <v>0</v>
      </c>
      <c r="L44" s="52">
        <f t="shared" si="57"/>
        <v>0</v>
      </c>
      <c r="M44" s="51">
        <f>'AP03'!D37</f>
        <v>2340</v>
      </c>
      <c r="N44" s="51">
        <f>SUM('AP04'!$F44:$L44)</f>
        <v>2219.58138</v>
      </c>
      <c r="O44" s="137">
        <f>'AP04'!$M44-'AP04'!$N44</f>
        <v>120.4186196</v>
      </c>
      <c r="P44" s="51">
        <f>Q43*('AP04'!$R44-1)</f>
        <v>0</v>
      </c>
      <c r="Q44" s="51">
        <f>(Q43*'AP04'!$R44)-'AP04'!$G44-'AP04'!$O44*2</f>
        <v>271684.4636</v>
      </c>
      <c r="R44" s="53">
        <f t="shared" si="8"/>
        <v>1</v>
      </c>
      <c r="S44" s="4"/>
      <c r="T44" s="4"/>
      <c r="U44" s="4"/>
      <c r="V44" s="4"/>
      <c r="W44" s="4"/>
      <c r="X44" s="4"/>
      <c r="Y44" s="4"/>
      <c r="Z44" s="4"/>
    </row>
    <row r="45" ht="18.75" customHeight="1">
      <c r="A45" s="56">
        <f t="shared" si="2"/>
        <v>31</v>
      </c>
      <c r="B45" s="50">
        <f t="shared" si="5"/>
        <v>44186</v>
      </c>
      <c r="C45" s="47">
        <f t="shared" ref="C45:D45" si="58">C44</f>
        <v>0.062</v>
      </c>
      <c r="D45" s="47">
        <f t="shared" si="58"/>
        <v>0.005025</v>
      </c>
      <c r="E45" s="51">
        <f>'AP04'!$F45+'AP04'!$G45</f>
        <v>2188.500683</v>
      </c>
      <c r="F45" s="51">
        <f>(Q44*'AP04'!$R45)*'AP04'!$D45</f>
        <v>1365.214429</v>
      </c>
      <c r="G45" s="51">
        <f>(Q44*'AP04'!$R45)/($I$5-A44)</f>
        <v>823.2862533</v>
      </c>
      <c r="H45" s="52">
        <f t="shared" ref="H45:L45" si="59">H44</f>
        <v>0</v>
      </c>
      <c r="I45" s="52">
        <f t="shared" si="59"/>
        <v>0</v>
      </c>
      <c r="J45" s="51">
        <f t="shared" si="59"/>
        <v>25</v>
      </c>
      <c r="K45" s="52">
        <f t="shared" si="59"/>
        <v>0</v>
      </c>
      <c r="L45" s="52">
        <f t="shared" si="59"/>
        <v>0</v>
      </c>
      <c r="M45" s="51">
        <f>'AP03'!D38</f>
        <v>2336.59</v>
      </c>
      <c r="N45" s="51">
        <f>SUM('AP04'!$F45:$L45)</f>
        <v>2213.500683</v>
      </c>
      <c r="O45" s="137">
        <f>'AP04'!$M45-'AP04'!$N45</f>
        <v>123.0893172</v>
      </c>
      <c r="P45" s="51">
        <f>Q44*('AP04'!$R45-1)</f>
        <v>0</v>
      </c>
      <c r="Q45" s="51">
        <f>(Q44*'AP04'!$R45)-'AP04'!$G45-'AP04'!$O45*2</f>
        <v>270614.9987</v>
      </c>
      <c r="R45" s="53">
        <f t="shared" si="8"/>
        <v>1</v>
      </c>
      <c r="S45" s="4"/>
      <c r="T45" s="4"/>
      <c r="U45" s="4"/>
      <c r="V45" s="4"/>
      <c r="W45" s="4"/>
      <c r="X45" s="4"/>
      <c r="Y45" s="4"/>
      <c r="Z45" s="4"/>
    </row>
    <row r="46" ht="18.75" customHeight="1">
      <c r="A46" s="56">
        <f t="shared" si="2"/>
        <v>32</v>
      </c>
      <c r="B46" s="50">
        <f t="shared" si="5"/>
        <v>44217</v>
      </c>
      <c r="C46" s="47">
        <f t="shared" ref="C46:D46" si="60">C45</f>
        <v>0.062</v>
      </c>
      <c r="D46" s="47">
        <f t="shared" si="60"/>
        <v>0.005025</v>
      </c>
      <c r="E46" s="51">
        <f>'AP04'!$F46+'AP04'!$G46</f>
        <v>2182.378358</v>
      </c>
      <c r="F46" s="51">
        <f>(Q45*'AP04'!$R46)*'AP04'!$D46</f>
        <v>1359.840368</v>
      </c>
      <c r="G46" s="51">
        <f>(Q45*'AP04'!$R46)/($I$5-A45)</f>
        <v>822.53799</v>
      </c>
      <c r="H46" s="52">
        <f t="shared" ref="H46:L46" si="61">H45</f>
        <v>0</v>
      </c>
      <c r="I46" s="52">
        <f t="shared" si="61"/>
        <v>0</v>
      </c>
      <c r="J46" s="51">
        <f t="shared" si="61"/>
        <v>25</v>
      </c>
      <c r="K46" s="52">
        <f t="shared" si="61"/>
        <v>0</v>
      </c>
      <c r="L46" s="52">
        <f t="shared" si="61"/>
        <v>0</v>
      </c>
      <c r="M46" s="51">
        <f>'AP03'!D39</f>
        <v>2332.25</v>
      </c>
      <c r="N46" s="51">
        <f>SUM('AP04'!$F46:$L46)</f>
        <v>2207.378358</v>
      </c>
      <c r="O46" s="137">
        <f>'AP04'!$M46-'AP04'!$N46</f>
        <v>124.8716416</v>
      </c>
      <c r="P46" s="51">
        <f>Q45*('AP04'!$R46-1)</f>
        <v>0</v>
      </c>
      <c r="Q46" s="51">
        <f>(Q45*'AP04'!$R46)-'AP04'!$G46-'AP04'!$O46*2</f>
        <v>269542.7174</v>
      </c>
      <c r="R46" s="53">
        <f t="shared" si="8"/>
        <v>1</v>
      </c>
      <c r="S46" s="4"/>
      <c r="T46" s="4"/>
      <c r="U46" s="4"/>
      <c r="V46" s="4"/>
      <c r="W46" s="4"/>
      <c r="X46" s="4"/>
      <c r="Y46" s="4"/>
      <c r="Z46" s="4"/>
    </row>
    <row r="47" ht="18.75" customHeight="1">
      <c r="A47" s="56">
        <f t="shared" si="2"/>
        <v>33</v>
      </c>
      <c r="B47" s="50">
        <f t="shared" si="5"/>
        <v>44248</v>
      </c>
      <c r="C47" s="47">
        <f t="shared" ref="C47:D47" si="62">C46</f>
        <v>0.062</v>
      </c>
      <c r="D47" s="47">
        <f t="shared" si="62"/>
        <v>0.005025</v>
      </c>
      <c r="E47" s="51">
        <f>'AP04'!$F47+'AP04'!$G47</f>
        <v>2176.228733</v>
      </c>
      <c r="F47" s="51">
        <f>(Q46*'AP04'!$R47)*'AP04'!$D47</f>
        <v>1354.452155</v>
      </c>
      <c r="G47" s="51">
        <f>(Q46*'AP04'!$R47)/($I$5-A46)</f>
        <v>821.7765775</v>
      </c>
      <c r="H47" s="52">
        <f t="shared" ref="H47:L47" si="63">H46</f>
        <v>0</v>
      </c>
      <c r="I47" s="52">
        <f t="shared" si="63"/>
        <v>0</v>
      </c>
      <c r="J47" s="51">
        <f t="shared" si="63"/>
        <v>25</v>
      </c>
      <c r="K47" s="52">
        <f t="shared" si="63"/>
        <v>0</v>
      </c>
      <c r="L47" s="52">
        <f t="shared" si="63"/>
        <v>0</v>
      </c>
      <c r="M47" s="51">
        <f>'AP03'!D40</f>
        <v>2328.53</v>
      </c>
      <c r="N47" s="51">
        <f>SUM('AP04'!$F47:$L47)</f>
        <v>2201.228733</v>
      </c>
      <c r="O47" s="137">
        <f>'AP04'!$M47-'AP04'!$N47</f>
        <v>127.3012675</v>
      </c>
      <c r="P47" s="51">
        <f>Q46*('AP04'!$R47-1)</f>
        <v>0</v>
      </c>
      <c r="Q47" s="51">
        <f>(Q46*'AP04'!$R47)-'AP04'!$G47-'AP04'!$O47*2</f>
        <v>268466.3383</v>
      </c>
      <c r="R47" s="53">
        <f t="shared" si="8"/>
        <v>1</v>
      </c>
      <c r="S47" s="4"/>
      <c r="T47" s="4"/>
      <c r="U47" s="4"/>
      <c r="V47" s="4"/>
      <c r="W47" s="4"/>
      <c r="X47" s="4"/>
      <c r="Y47" s="4"/>
      <c r="Z47" s="4"/>
    </row>
    <row r="48" ht="18.75" customHeight="1">
      <c r="A48" s="56">
        <f t="shared" si="2"/>
        <v>34</v>
      </c>
      <c r="B48" s="50">
        <f t="shared" si="5"/>
        <v>44276</v>
      </c>
      <c r="C48" s="47">
        <f t="shared" ref="C48:D48" si="64">C47</f>
        <v>0.062</v>
      </c>
      <c r="D48" s="47">
        <f t="shared" si="64"/>
        <v>0.005025</v>
      </c>
      <c r="E48" s="51">
        <f>'AP04'!$F48+'AP04'!$G48</f>
        <v>2170.041326</v>
      </c>
      <c r="F48" s="51">
        <f>(Q47*'AP04'!$R48)*'AP04'!$D48</f>
        <v>1349.04335</v>
      </c>
      <c r="G48" s="51">
        <f>(Q47*'AP04'!$R48)/($I$5-A47)</f>
        <v>820.9979765</v>
      </c>
      <c r="H48" s="52">
        <f t="shared" ref="H48:L48" si="65">H47</f>
        <v>0</v>
      </c>
      <c r="I48" s="52">
        <f t="shared" si="65"/>
        <v>0</v>
      </c>
      <c r="J48" s="51">
        <f t="shared" si="65"/>
        <v>25</v>
      </c>
      <c r="K48" s="52">
        <f t="shared" si="65"/>
        <v>0</v>
      </c>
      <c r="L48" s="52">
        <f t="shared" si="65"/>
        <v>0</v>
      </c>
      <c r="M48" s="51">
        <f>'AP03'!D41</f>
        <v>2324.19</v>
      </c>
      <c r="N48" s="51">
        <f>SUM('AP04'!$F48:$L48)</f>
        <v>2195.041326</v>
      </c>
      <c r="O48" s="137">
        <f>'AP04'!$M48-'AP04'!$N48</f>
        <v>129.1486735</v>
      </c>
      <c r="P48" s="51">
        <f>Q47*('AP04'!$R48-1)</f>
        <v>0</v>
      </c>
      <c r="Q48" s="51">
        <f>(Q47*'AP04'!$R48)-'AP04'!$G48-'AP04'!$O48*2</f>
        <v>267387.043</v>
      </c>
      <c r="R48" s="53">
        <f t="shared" si="8"/>
        <v>1</v>
      </c>
      <c r="S48" s="4"/>
      <c r="T48" s="4"/>
      <c r="U48" s="4"/>
      <c r="V48" s="4"/>
      <c r="W48" s="4"/>
      <c r="X48" s="4"/>
      <c r="Y48" s="4"/>
      <c r="Z48" s="4"/>
    </row>
    <row r="49" ht="18.75" customHeight="1">
      <c r="A49" s="56">
        <f t="shared" si="2"/>
        <v>35</v>
      </c>
      <c r="B49" s="50">
        <f t="shared" si="5"/>
        <v>44307</v>
      </c>
      <c r="C49" s="47">
        <f t="shared" ref="C49:D49" si="66">C48</f>
        <v>0.062</v>
      </c>
      <c r="D49" s="47">
        <f t="shared" si="66"/>
        <v>0.005025</v>
      </c>
      <c r="E49" s="51">
        <f>'AP04'!$F49+'AP04'!$G49</f>
        <v>2163.825544</v>
      </c>
      <c r="F49" s="51">
        <f>(Q48*'AP04'!$R49)*'AP04'!$D49</f>
        <v>1343.619891</v>
      </c>
      <c r="G49" s="51">
        <f>(Q48*'AP04'!$R49)/($I$5-A48)</f>
        <v>820.2056533</v>
      </c>
      <c r="H49" s="52">
        <f t="shared" ref="H49:L49" si="67">H48</f>
        <v>0</v>
      </c>
      <c r="I49" s="52">
        <f t="shared" si="67"/>
        <v>0</v>
      </c>
      <c r="J49" s="51">
        <f t="shared" si="67"/>
        <v>25</v>
      </c>
      <c r="K49" s="52">
        <f t="shared" si="67"/>
        <v>0</v>
      </c>
      <c r="L49" s="52">
        <f t="shared" si="67"/>
        <v>0</v>
      </c>
      <c r="M49" s="51">
        <f>'AP03'!D42</f>
        <v>2319.85</v>
      </c>
      <c r="N49" s="51">
        <f>SUM('AP04'!$F49:$L49)</f>
        <v>2188.825544</v>
      </c>
      <c r="O49" s="137">
        <f>'AP04'!$M49-'AP04'!$N49</f>
        <v>131.0244557</v>
      </c>
      <c r="P49" s="51">
        <f>Q48*('AP04'!$R49-1)</f>
        <v>0</v>
      </c>
      <c r="Q49" s="51">
        <f>(Q48*'AP04'!$R49)-'AP04'!$G49-'AP04'!$O49*2</f>
        <v>266304.7884</v>
      </c>
      <c r="R49" s="53">
        <f t="shared" si="8"/>
        <v>1</v>
      </c>
      <c r="S49" s="4"/>
      <c r="T49" s="4"/>
      <c r="U49" s="4"/>
      <c r="V49" s="4"/>
      <c r="W49" s="4"/>
      <c r="X49" s="4"/>
      <c r="Y49" s="4"/>
      <c r="Z49" s="4"/>
    </row>
    <row r="50" ht="18.75" customHeight="1">
      <c r="A50" s="56">
        <f t="shared" si="2"/>
        <v>36</v>
      </c>
      <c r="B50" s="50">
        <f t="shared" si="5"/>
        <v>44337</v>
      </c>
      <c r="C50" s="47">
        <f t="shared" ref="C50:D50" si="68">C49</f>
        <v>0.062</v>
      </c>
      <c r="D50" s="47">
        <f t="shared" si="68"/>
        <v>0.005025</v>
      </c>
      <c r="E50" s="51">
        <f>'AP04'!$F50+'AP04'!$G50</f>
        <v>2157.580911</v>
      </c>
      <c r="F50" s="51">
        <f>(Q49*'AP04'!$R50)*'AP04'!$D50</f>
        <v>1338.181562</v>
      </c>
      <c r="G50" s="51">
        <f>(Q49*'AP04'!$R50)/($I$5-A49)</f>
        <v>819.399349</v>
      </c>
      <c r="H50" s="52">
        <f t="shared" ref="H50:L50" si="69">H49</f>
        <v>0</v>
      </c>
      <c r="I50" s="52">
        <f t="shared" si="69"/>
        <v>0</v>
      </c>
      <c r="J50" s="51">
        <f t="shared" si="69"/>
        <v>25</v>
      </c>
      <c r="K50" s="52">
        <f t="shared" si="69"/>
        <v>0</v>
      </c>
      <c r="L50" s="52">
        <f t="shared" si="69"/>
        <v>0</v>
      </c>
      <c r="M50" s="51">
        <f>'AP03'!D43</f>
        <v>2315.51</v>
      </c>
      <c r="N50" s="51">
        <f>SUM('AP04'!$F50:$L50)</f>
        <v>2182.580911</v>
      </c>
      <c r="O50" s="137">
        <f>'AP04'!$M50-'AP04'!$N50</f>
        <v>132.9290892</v>
      </c>
      <c r="P50" s="51">
        <f>Q49*('AP04'!$R50-1)</f>
        <v>0</v>
      </c>
      <c r="Q50" s="51">
        <f>(Q49*'AP04'!$R50)-'AP04'!$G50-'AP04'!$O50*2</f>
        <v>265219.5309</v>
      </c>
      <c r="R50" s="53">
        <f t="shared" si="8"/>
        <v>1</v>
      </c>
      <c r="S50" s="4"/>
      <c r="T50" s="4"/>
      <c r="U50" s="4"/>
      <c r="V50" s="4"/>
      <c r="W50" s="4"/>
      <c r="X50" s="4"/>
      <c r="Y50" s="4"/>
      <c r="Z50" s="4"/>
    </row>
    <row r="51" ht="18.75" customHeight="1">
      <c r="A51" s="56">
        <f t="shared" si="2"/>
        <v>37</v>
      </c>
      <c r="B51" s="50">
        <f t="shared" si="5"/>
        <v>44368</v>
      </c>
      <c r="C51" s="47">
        <f t="shared" ref="C51:D51" si="70">C50</f>
        <v>0.062</v>
      </c>
      <c r="D51" s="47">
        <f t="shared" si="70"/>
        <v>0.005025</v>
      </c>
      <c r="E51" s="51">
        <f>'AP04'!$F51+'AP04'!$G51</f>
        <v>2151.306942</v>
      </c>
      <c r="F51" s="51">
        <f>(Q50*'AP04'!$R51)*'AP04'!$D51</f>
        <v>1332.728143</v>
      </c>
      <c r="G51" s="51">
        <f>(Q50*'AP04'!$R51)/($I$5-A50)</f>
        <v>818.5787991</v>
      </c>
      <c r="H51" s="52">
        <f t="shared" ref="H51:L51" si="71">H50</f>
        <v>0</v>
      </c>
      <c r="I51" s="52">
        <f t="shared" si="71"/>
        <v>0</v>
      </c>
      <c r="J51" s="51">
        <f t="shared" si="71"/>
        <v>25</v>
      </c>
      <c r="K51" s="52">
        <f t="shared" si="71"/>
        <v>0</v>
      </c>
      <c r="L51" s="52">
        <f t="shared" si="71"/>
        <v>0</v>
      </c>
      <c r="M51" s="51">
        <f>'AP03'!D44</f>
        <v>2311.16</v>
      </c>
      <c r="N51" s="51">
        <f>SUM('AP04'!$F51:$L51)</f>
        <v>2176.306942</v>
      </c>
      <c r="O51" s="137">
        <f>'AP04'!$M51-'AP04'!$N51</f>
        <v>134.8530582</v>
      </c>
      <c r="P51" s="51">
        <f>Q50*('AP04'!$R51-1)</f>
        <v>0</v>
      </c>
      <c r="Q51" s="51">
        <f>(Q50*'AP04'!$R51)-'AP04'!$G51-'AP04'!$O51*2</f>
        <v>264131.246</v>
      </c>
      <c r="R51" s="53">
        <f t="shared" si="8"/>
        <v>1</v>
      </c>
      <c r="S51" s="4"/>
      <c r="T51" s="4"/>
      <c r="U51" s="4"/>
      <c r="V51" s="4"/>
      <c r="W51" s="4"/>
      <c r="X51" s="4"/>
      <c r="Y51" s="4"/>
      <c r="Z51" s="4"/>
    </row>
    <row r="52" ht="18.75" customHeight="1">
      <c r="A52" s="56">
        <f t="shared" si="2"/>
        <v>38</v>
      </c>
      <c r="B52" s="50">
        <f t="shared" si="5"/>
        <v>44398</v>
      </c>
      <c r="C52" s="47">
        <f t="shared" ref="C52:D52" si="72">C51</f>
        <v>0.062</v>
      </c>
      <c r="D52" s="47">
        <f t="shared" si="72"/>
        <v>0.005025</v>
      </c>
      <c r="E52" s="51">
        <f>'AP04'!$F52+'AP04'!$G52</f>
        <v>2145.003307</v>
      </c>
      <c r="F52" s="51">
        <f>(Q51*'AP04'!$R52)*'AP04'!$D52</f>
        <v>1327.259511</v>
      </c>
      <c r="G52" s="51">
        <f>(Q51*'AP04'!$R52)/($I$5-A51)</f>
        <v>817.7437956</v>
      </c>
      <c r="H52" s="52">
        <f t="shared" ref="H52:L52" si="73">H51</f>
        <v>0</v>
      </c>
      <c r="I52" s="52">
        <f t="shared" si="73"/>
        <v>0</v>
      </c>
      <c r="J52" s="51">
        <f t="shared" si="73"/>
        <v>25</v>
      </c>
      <c r="K52" s="52">
        <f t="shared" si="73"/>
        <v>0</v>
      </c>
      <c r="L52" s="52">
        <f t="shared" si="73"/>
        <v>0</v>
      </c>
      <c r="M52" s="51">
        <f>'AP03'!D45</f>
        <v>2306.81</v>
      </c>
      <c r="N52" s="51">
        <f>SUM('AP04'!$F52:$L52)</f>
        <v>2170.003307</v>
      </c>
      <c r="O52" s="137">
        <f>'AP04'!$M52-'AP04'!$N52</f>
        <v>136.8066934</v>
      </c>
      <c r="P52" s="51">
        <f>Q51*('AP04'!$R52-1)</f>
        <v>0</v>
      </c>
      <c r="Q52" s="51">
        <f>(Q51*'AP04'!$R52)-'AP04'!$G52-'AP04'!$O52*2</f>
        <v>263039.8888</v>
      </c>
      <c r="R52" s="53">
        <f t="shared" si="8"/>
        <v>1</v>
      </c>
      <c r="S52" s="4"/>
      <c r="T52" s="4"/>
      <c r="U52" s="4"/>
      <c r="V52" s="4"/>
      <c r="W52" s="4"/>
      <c r="X52" s="4"/>
      <c r="Y52" s="4"/>
      <c r="Z52" s="4"/>
    </row>
    <row r="53" ht="18.75" customHeight="1">
      <c r="A53" s="56">
        <f t="shared" si="2"/>
        <v>39</v>
      </c>
      <c r="B53" s="50">
        <f t="shared" si="5"/>
        <v>44429</v>
      </c>
      <c r="C53" s="47">
        <f t="shared" ref="C53:D53" si="74">C52</f>
        <v>0.062</v>
      </c>
      <c r="D53" s="47">
        <f t="shared" si="74"/>
        <v>0.005025</v>
      </c>
      <c r="E53" s="51">
        <f>'AP04'!$F53+'AP04'!$G53</f>
        <v>2138.669506</v>
      </c>
      <c r="F53" s="51">
        <f>(Q52*'AP04'!$R53)*'AP04'!$D53</f>
        <v>1321.775441</v>
      </c>
      <c r="G53" s="51">
        <f>(Q52*'AP04'!$R53)/($I$5-A52)</f>
        <v>816.8940646</v>
      </c>
      <c r="H53" s="52">
        <f t="shared" ref="H53:L53" si="75">H52</f>
        <v>0</v>
      </c>
      <c r="I53" s="52">
        <f t="shared" si="75"/>
        <v>0</v>
      </c>
      <c r="J53" s="51">
        <f t="shared" si="75"/>
        <v>25</v>
      </c>
      <c r="K53" s="52">
        <f t="shared" si="75"/>
        <v>0</v>
      </c>
      <c r="L53" s="52">
        <f t="shared" si="75"/>
        <v>0</v>
      </c>
      <c r="M53" s="51">
        <f>'AP03'!D46</f>
        <v>2302.47</v>
      </c>
      <c r="N53" s="51">
        <f>SUM('AP04'!$F53:$L53)</f>
        <v>2163.669506</v>
      </c>
      <c r="O53" s="137">
        <f>'AP04'!$M53-'AP04'!$N53</f>
        <v>138.8004942</v>
      </c>
      <c r="P53" s="51">
        <f>Q52*('AP04'!$R53-1)</f>
        <v>0</v>
      </c>
      <c r="Q53" s="51">
        <f>(Q52*'AP04'!$R53)-'AP04'!$G53-'AP04'!$O53*2</f>
        <v>261945.3937</v>
      </c>
      <c r="R53" s="53">
        <f t="shared" si="8"/>
        <v>1</v>
      </c>
      <c r="S53" s="4"/>
      <c r="T53" s="4"/>
      <c r="U53" s="4"/>
      <c r="V53" s="4"/>
      <c r="W53" s="4"/>
      <c r="X53" s="4"/>
      <c r="Y53" s="4"/>
      <c r="Z53" s="4"/>
    </row>
    <row r="54" ht="18.75" customHeight="1">
      <c r="A54" s="56">
        <f t="shared" si="2"/>
        <v>40</v>
      </c>
      <c r="B54" s="50">
        <f t="shared" si="5"/>
        <v>44460</v>
      </c>
      <c r="C54" s="47">
        <f t="shared" ref="C54:D54" si="76">C53</f>
        <v>0.062</v>
      </c>
      <c r="D54" s="47">
        <f t="shared" si="76"/>
        <v>0.005025</v>
      </c>
      <c r="E54" s="51">
        <f>'AP04'!$F54+'AP04'!$G54</f>
        <v>2132.304868</v>
      </c>
      <c r="F54" s="51">
        <f>(Q53*'AP04'!$R54)*'AP04'!$D54</f>
        <v>1316.275604</v>
      </c>
      <c r="G54" s="51">
        <f>(Q53*'AP04'!$R54)/($I$5-A53)</f>
        <v>816.029264</v>
      </c>
      <c r="H54" s="52">
        <f t="shared" ref="H54:L54" si="77">H53</f>
        <v>0</v>
      </c>
      <c r="I54" s="52">
        <f t="shared" si="77"/>
        <v>0</v>
      </c>
      <c r="J54" s="51">
        <f t="shared" si="77"/>
        <v>25</v>
      </c>
      <c r="K54" s="52">
        <f t="shared" si="77"/>
        <v>0</v>
      </c>
      <c r="L54" s="52">
        <f t="shared" si="77"/>
        <v>0</v>
      </c>
      <c r="M54" s="51">
        <f>'AP03'!D47</f>
        <v>2298.13</v>
      </c>
      <c r="N54" s="51">
        <f>SUM('AP04'!$F54:$L54)</f>
        <v>2157.304868</v>
      </c>
      <c r="O54" s="137">
        <f>'AP04'!$M54-'AP04'!$N54</f>
        <v>140.8251325</v>
      </c>
      <c r="P54" s="51">
        <f>Q53*('AP04'!$R54-1)</f>
        <v>0</v>
      </c>
      <c r="Q54" s="51">
        <f>(Q53*'AP04'!$R54)-'AP04'!$G54-'AP04'!$O54*2</f>
        <v>260847.7142</v>
      </c>
      <c r="R54" s="53">
        <f t="shared" si="8"/>
        <v>1</v>
      </c>
      <c r="S54" s="4"/>
      <c r="T54" s="4"/>
      <c r="U54" s="4"/>
      <c r="V54" s="4"/>
      <c r="W54" s="4"/>
      <c r="X54" s="4"/>
      <c r="Y54" s="4"/>
      <c r="Z54" s="4"/>
    </row>
    <row r="55" ht="18.75" customHeight="1">
      <c r="A55" s="56">
        <f t="shared" si="2"/>
        <v>41</v>
      </c>
      <c r="B55" s="50">
        <f t="shared" si="5"/>
        <v>44490</v>
      </c>
      <c r="C55" s="47">
        <f t="shared" ref="C55:D55" si="78">C54</f>
        <v>0.062</v>
      </c>
      <c r="D55" s="47">
        <f t="shared" si="78"/>
        <v>0.005025</v>
      </c>
      <c r="E55" s="51">
        <f>'AP04'!$F55+'AP04'!$G55</f>
        <v>2125.908871</v>
      </c>
      <c r="F55" s="51">
        <f>(Q54*'AP04'!$R55)*'AP04'!$D55</f>
        <v>1310.759764</v>
      </c>
      <c r="G55" s="51">
        <f>(Q54*'AP04'!$R55)/($I$5-A54)</f>
        <v>815.1491069</v>
      </c>
      <c r="H55" s="52">
        <f t="shared" ref="H55:L55" si="79">H54</f>
        <v>0</v>
      </c>
      <c r="I55" s="52">
        <f t="shared" si="79"/>
        <v>0</v>
      </c>
      <c r="J55" s="51">
        <f t="shared" si="79"/>
        <v>25</v>
      </c>
      <c r="K55" s="52">
        <f t="shared" si="79"/>
        <v>0</v>
      </c>
      <c r="L55" s="52">
        <f t="shared" si="79"/>
        <v>0</v>
      </c>
      <c r="M55" s="51">
        <f>'AP03'!D48</f>
        <v>2293.79</v>
      </c>
      <c r="N55" s="51">
        <f>SUM('AP04'!$F55:$L55)</f>
        <v>2150.908871</v>
      </c>
      <c r="O55" s="137">
        <f>'AP04'!$M55-'AP04'!$N55</f>
        <v>142.8811292</v>
      </c>
      <c r="P55" s="51">
        <f>Q54*('AP04'!$R55-1)</f>
        <v>0</v>
      </c>
      <c r="Q55" s="51">
        <f>(Q54*'AP04'!$R55)-'AP04'!$G55-'AP04'!$O55*2</f>
        <v>259746.8028</v>
      </c>
      <c r="R55" s="53">
        <f t="shared" si="8"/>
        <v>1</v>
      </c>
      <c r="S55" s="4"/>
      <c r="T55" s="4"/>
      <c r="U55" s="4"/>
      <c r="V55" s="4"/>
      <c r="W55" s="4"/>
      <c r="X55" s="4"/>
      <c r="Y55" s="4"/>
      <c r="Z55" s="4"/>
    </row>
    <row r="56" ht="18.75" customHeight="1">
      <c r="A56" s="56">
        <f t="shared" si="2"/>
        <v>42</v>
      </c>
      <c r="B56" s="50">
        <f t="shared" si="5"/>
        <v>44521</v>
      </c>
      <c r="C56" s="47">
        <f t="shared" ref="C56:D56" si="80">C55</f>
        <v>0.062</v>
      </c>
      <c r="D56" s="47">
        <f t="shared" si="80"/>
        <v>0.005025</v>
      </c>
      <c r="E56" s="51">
        <f>'AP04'!$F56+'AP04'!$G56</f>
        <v>2119.480985</v>
      </c>
      <c r="F56" s="51">
        <f>(Q55*'AP04'!$R56)*'AP04'!$D56</f>
        <v>1305.227684</v>
      </c>
      <c r="G56" s="51">
        <f>(Q55*'AP04'!$R56)/($I$5-A55)</f>
        <v>814.2533005</v>
      </c>
      <c r="H56" s="52">
        <f t="shared" ref="H56:L56" si="81">H55</f>
        <v>0</v>
      </c>
      <c r="I56" s="52">
        <f t="shared" si="81"/>
        <v>0</v>
      </c>
      <c r="J56" s="51">
        <f t="shared" si="81"/>
        <v>25</v>
      </c>
      <c r="K56" s="52">
        <f t="shared" si="81"/>
        <v>0</v>
      </c>
      <c r="L56" s="52">
        <f t="shared" si="81"/>
        <v>0</v>
      </c>
      <c r="M56" s="51">
        <f>'AP03'!D49</f>
        <v>2289.44</v>
      </c>
      <c r="N56" s="51">
        <f>SUM('AP04'!$F56:$L56)</f>
        <v>2144.480985</v>
      </c>
      <c r="O56" s="137">
        <f>'AP04'!$M56-'AP04'!$N56</f>
        <v>144.9590152</v>
      </c>
      <c r="P56" s="51">
        <f>Q55*('AP04'!$R56-1)</f>
        <v>0</v>
      </c>
      <c r="Q56" s="51">
        <f>(Q55*'AP04'!$R56)-'AP04'!$G56-'AP04'!$O56*2</f>
        <v>258642.6315</v>
      </c>
      <c r="R56" s="53">
        <f t="shared" si="8"/>
        <v>1</v>
      </c>
      <c r="S56" s="4"/>
      <c r="T56" s="4"/>
      <c r="U56" s="4"/>
      <c r="V56" s="4"/>
      <c r="W56" s="4"/>
      <c r="X56" s="4"/>
      <c r="Y56" s="4"/>
      <c r="Z56" s="4"/>
    </row>
    <row r="57" ht="18.75" customHeight="1">
      <c r="A57" s="56">
        <f t="shared" si="2"/>
        <v>43</v>
      </c>
      <c r="B57" s="50">
        <f t="shared" si="5"/>
        <v>44551</v>
      </c>
      <c r="C57" s="47">
        <f t="shared" ref="C57:D57" si="82">C56</f>
        <v>0.062</v>
      </c>
      <c r="D57" s="47">
        <f t="shared" si="82"/>
        <v>0.005025</v>
      </c>
      <c r="E57" s="51">
        <f>'AP04'!$F57+'AP04'!$G57</f>
        <v>2113.020832</v>
      </c>
      <c r="F57" s="51">
        <f>(Q56*'AP04'!$R57)*'AP04'!$D57</f>
        <v>1299.679223</v>
      </c>
      <c r="G57" s="51">
        <f>(Q56*'AP04'!$R57)/($I$5-A56)</f>
        <v>813.3416085</v>
      </c>
      <c r="H57" s="52">
        <f t="shared" ref="H57:L57" si="83">H56</f>
        <v>0</v>
      </c>
      <c r="I57" s="52">
        <f t="shared" si="83"/>
        <v>0</v>
      </c>
      <c r="J57" s="51">
        <f t="shared" si="83"/>
        <v>25</v>
      </c>
      <c r="K57" s="52">
        <f t="shared" si="83"/>
        <v>0</v>
      </c>
      <c r="L57" s="52">
        <f t="shared" si="83"/>
        <v>0</v>
      </c>
      <c r="M57" s="51">
        <f>'AP03'!D50</f>
        <v>2294.47</v>
      </c>
      <c r="N57" s="51">
        <f>SUM('AP04'!$F57:$L57)</f>
        <v>2138.020832</v>
      </c>
      <c r="O57" s="137">
        <f>'AP04'!$M57-'AP04'!$N57</f>
        <v>156.4491681</v>
      </c>
      <c r="P57" s="51">
        <f>Q56*('AP04'!$R57-1)</f>
        <v>0</v>
      </c>
      <c r="Q57" s="51">
        <f>(Q56*'AP04'!$R57)-'AP04'!$G57-'AP04'!$O57*2</f>
        <v>257516.3916</v>
      </c>
      <c r="R57" s="53">
        <f t="shared" si="8"/>
        <v>1</v>
      </c>
      <c r="S57" s="4"/>
      <c r="T57" s="4"/>
      <c r="U57" s="4"/>
      <c r="V57" s="4"/>
      <c r="W57" s="4"/>
      <c r="X57" s="4"/>
      <c r="Y57" s="4"/>
      <c r="Z57" s="4"/>
    </row>
    <row r="58" ht="18.75" customHeight="1">
      <c r="A58" s="56">
        <f t="shared" si="2"/>
        <v>44</v>
      </c>
      <c r="B58" s="50">
        <f t="shared" si="5"/>
        <v>44582</v>
      </c>
      <c r="C58" s="47">
        <f t="shared" ref="C58:D58" si="84">C57</f>
        <v>0.062</v>
      </c>
      <c r="D58" s="47">
        <f t="shared" si="84"/>
        <v>0.005025</v>
      </c>
      <c r="E58" s="51">
        <f>'AP04'!$F58+'AP04'!$G58</f>
        <v>2108.891533</v>
      </c>
      <c r="F58" s="51">
        <f>(Q57*'AP04'!$R58)*'AP04'!$D58</f>
        <v>1295.566221</v>
      </c>
      <c r="G58" s="51">
        <f>(Q57*'AP04'!$R58)/($I$5-A57)</f>
        <v>813.3253112</v>
      </c>
      <c r="H58" s="52">
        <f t="shared" ref="H58:L58" si="85">H57</f>
        <v>0</v>
      </c>
      <c r="I58" s="52">
        <f t="shared" si="85"/>
        <v>0</v>
      </c>
      <c r="J58" s="51">
        <f t="shared" si="85"/>
        <v>25</v>
      </c>
      <c r="K58" s="52">
        <f t="shared" si="85"/>
        <v>0</v>
      </c>
      <c r="L58" s="52">
        <f t="shared" si="85"/>
        <v>0</v>
      </c>
      <c r="M58" s="51">
        <f>'AP03'!D51</f>
        <v>2292.79</v>
      </c>
      <c r="N58" s="51">
        <f>SUM('AP04'!$F58:$L58)</f>
        <v>2133.891533</v>
      </c>
      <c r="O58" s="137">
        <f>'AP04'!$M58-'AP04'!$N58</f>
        <v>158.8984674</v>
      </c>
      <c r="P58" s="51">
        <f>Q57*('AP04'!$R58-1)</f>
        <v>307.7320879</v>
      </c>
      <c r="Q58" s="51">
        <f>(Q57*'AP04'!$R58)-'AP04'!$G58-'AP04'!$O58*2</f>
        <v>256693.0014</v>
      </c>
      <c r="R58" s="53">
        <v>1.001195</v>
      </c>
      <c r="S58" s="4"/>
      <c r="T58" s="4"/>
      <c r="U58" s="4"/>
      <c r="V58" s="4"/>
      <c r="W58" s="4"/>
      <c r="X58" s="4"/>
      <c r="Y58" s="4"/>
      <c r="Z58" s="4"/>
    </row>
    <row r="59" ht="18.75" customHeight="1">
      <c r="A59" s="56">
        <f t="shared" si="2"/>
        <v>45</v>
      </c>
      <c r="B59" s="50">
        <f t="shared" si="5"/>
        <v>44613</v>
      </c>
      <c r="C59" s="47">
        <f t="shared" ref="C59:D59" si="86">C58</f>
        <v>0.062</v>
      </c>
      <c r="D59" s="47">
        <f t="shared" si="86"/>
        <v>0.005025</v>
      </c>
      <c r="E59" s="51">
        <f>'AP04'!$F59+'AP04'!$G59</f>
        <v>2103.969909</v>
      </c>
      <c r="F59" s="51">
        <f>(Q58*'AP04'!$R59)*'AP04'!$D59</f>
        <v>1290.967123</v>
      </c>
      <c r="G59" s="51">
        <f>(Q58*'AP04'!$R59)/($I$5-A58)</f>
        <v>813.0027855</v>
      </c>
      <c r="H59" s="52">
        <f t="shared" ref="H59:L59" si="87">H58</f>
        <v>0</v>
      </c>
      <c r="I59" s="52">
        <f t="shared" si="87"/>
        <v>0</v>
      </c>
      <c r="J59" s="51">
        <f t="shared" si="87"/>
        <v>25</v>
      </c>
      <c r="K59" s="52">
        <f t="shared" si="87"/>
        <v>0</v>
      </c>
      <c r="L59" s="52">
        <f t="shared" si="87"/>
        <v>0</v>
      </c>
      <c r="M59" s="51">
        <f>'AP03'!D52</f>
        <v>2290.94</v>
      </c>
      <c r="N59" s="51">
        <f>SUM('AP04'!$F59:$L59)</f>
        <v>2128.969909</v>
      </c>
      <c r="O59" s="137">
        <f>'AP04'!$M59-'AP04'!$N59</f>
        <v>161.9700913</v>
      </c>
      <c r="P59" s="51">
        <f>Q58*('AP04'!$R59-1)</f>
        <v>215.8788142</v>
      </c>
      <c r="Q59" s="51">
        <f>(Q58*'AP04'!$R59)-'AP04'!$G59-'AP04'!$O59*2</f>
        <v>255771.9373</v>
      </c>
      <c r="R59" s="53">
        <v>1.000841</v>
      </c>
      <c r="S59" s="4"/>
      <c r="T59" s="4"/>
      <c r="U59" s="4"/>
      <c r="V59" s="4"/>
      <c r="W59" s="4"/>
      <c r="X59" s="4"/>
      <c r="Y59" s="4"/>
      <c r="Z59" s="4"/>
    </row>
    <row r="60" ht="18.75" customHeight="1">
      <c r="A60" s="56">
        <f t="shared" si="2"/>
        <v>46</v>
      </c>
      <c r="B60" s="50">
        <f t="shared" si="5"/>
        <v>44641</v>
      </c>
      <c r="C60" s="47">
        <f t="shared" ref="C60:D60" si="88">C59</f>
        <v>0.062</v>
      </c>
      <c r="D60" s="47">
        <f t="shared" si="88"/>
        <v>0.005025</v>
      </c>
      <c r="E60" s="51">
        <f>'AP04'!$F60+'AP04'!$G60</f>
        <v>2097.228389</v>
      </c>
      <c r="F60" s="51">
        <f>(Q59*'AP04'!$R60)*'AP04'!$D60</f>
        <v>1285.253985</v>
      </c>
      <c r="G60" s="51">
        <f>(Q59*'AP04'!$R60)/($I$5-A59)</f>
        <v>811.974404</v>
      </c>
      <c r="H60" s="52">
        <f t="shared" ref="H60:L60" si="89">H59</f>
        <v>0</v>
      </c>
      <c r="I60" s="52">
        <f t="shared" si="89"/>
        <v>0</v>
      </c>
      <c r="J60" s="51">
        <f t="shared" si="89"/>
        <v>25</v>
      </c>
      <c r="K60" s="52">
        <f t="shared" si="89"/>
        <v>0</v>
      </c>
      <c r="L60" s="52">
        <f t="shared" si="89"/>
        <v>0</v>
      </c>
      <c r="M60" s="51">
        <f>'AP03'!D53</f>
        <v>2286.56</v>
      </c>
      <c r="N60" s="51">
        <f>SUM('AP04'!$F60:$L60)</f>
        <v>2122.228389</v>
      </c>
      <c r="O60" s="137">
        <f>'AP04'!$M60-'AP04'!$N60</f>
        <v>164.3316113</v>
      </c>
      <c r="P60" s="51">
        <f>Q59*('AP04'!$R60-1)</f>
        <v>0</v>
      </c>
      <c r="Q60" s="51">
        <f>(Q59*'AP04'!$R60)-'AP04'!$G60-'AP04'!$O60*2</f>
        <v>254631.2996</v>
      </c>
      <c r="R60" s="53">
        <v>1.0</v>
      </c>
      <c r="S60" s="4"/>
      <c r="T60" s="4"/>
      <c r="U60" s="4"/>
      <c r="V60" s="4"/>
      <c r="W60" s="4"/>
      <c r="X60" s="4"/>
      <c r="Y60" s="4"/>
      <c r="Z60" s="4"/>
    </row>
    <row r="61" ht="18.75" customHeight="1">
      <c r="A61" s="56">
        <f t="shared" si="2"/>
        <v>47</v>
      </c>
      <c r="B61" s="50">
        <f t="shared" si="5"/>
        <v>44672</v>
      </c>
      <c r="C61" s="47">
        <f t="shared" ref="C61:D61" si="90">C60</f>
        <v>0.062</v>
      </c>
      <c r="D61" s="47">
        <f t="shared" si="90"/>
        <v>0.005025</v>
      </c>
      <c r="E61" s="51">
        <f>'AP04'!$F61+'AP04'!$G61</f>
        <v>2093.213561</v>
      </c>
      <c r="F61" s="51">
        <f>(Q60*'AP04'!$R61)*'AP04'!$D61</f>
        <v>1281.213809</v>
      </c>
      <c r="G61" s="51">
        <f>(Q60*'AP04'!$R61)/($I$5-A60)</f>
        <v>811.9997523</v>
      </c>
      <c r="H61" s="52">
        <f t="shared" ref="H61:L61" si="91">H60</f>
        <v>0</v>
      </c>
      <c r="I61" s="52">
        <f t="shared" si="91"/>
        <v>0</v>
      </c>
      <c r="J61" s="51">
        <f t="shared" si="91"/>
        <v>25</v>
      </c>
      <c r="K61" s="52">
        <f t="shared" si="91"/>
        <v>0</v>
      </c>
      <c r="L61" s="52">
        <f t="shared" si="91"/>
        <v>0</v>
      </c>
      <c r="M61" s="51">
        <f>'AP03'!D54</f>
        <v>2282.17</v>
      </c>
      <c r="N61" s="51">
        <f>SUM('AP04'!$F61:$L61)</f>
        <v>2118.213561</v>
      </c>
      <c r="O61" s="137">
        <f>'AP04'!$M61-'AP04'!$N61</f>
        <v>163.9564386</v>
      </c>
      <c r="P61" s="51">
        <f>Q60*('AP04'!$R61-1)</f>
        <v>336.6225781</v>
      </c>
      <c r="Q61" s="51">
        <f>(Q60*'AP04'!$R61)-'AP04'!$G61-'AP04'!$O61*2</f>
        <v>253828.0096</v>
      </c>
      <c r="R61" s="53">
        <v>1.001322</v>
      </c>
      <c r="S61" s="4"/>
      <c r="T61" s="4"/>
      <c r="U61" s="4"/>
      <c r="V61" s="4"/>
      <c r="W61" s="4"/>
      <c r="X61" s="4"/>
      <c r="Y61" s="4"/>
      <c r="Z61" s="4"/>
    </row>
    <row r="62" ht="18.75" customHeight="1">
      <c r="A62" s="56">
        <f t="shared" si="2"/>
        <v>48</v>
      </c>
      <c r="B62" s="50">
        <f t="shared" si="5"/>
        <v>44702</v>
      </c>
      <c r="C62" s="47">
        <f t="shared" ref="C62:D62" si="92">C61</f>
        <v>0.062</v>
      </c>
      <c r="D62" s="47">
        <f t="shared" si="92"/>
        <v>0.005025</v>
      </c>
      <c r="E62" s="51">
        <f>'AP04'!$F62+'AP04'!$G62</f>
        <v>2089.154398</v>
      </c>
      <c r="F62" s="51">
        <f>(Q61*'AP04'!$R62)*'AP04'!$D62</f>
        <v>1277.146431</v>
      </c>
      <c r="G62" s="51">
        <f>(Q61*'AP04'!$R62)/($I$5-A61)</f>
        <v>812.0079669</v>
      </c>
      <c r="H62" s="52">
        <f t="shared" ref="H62:L62" si="93">H61</f>
        <v>0</v>
      </c>
      <c r="I62" s="52">
        <f t="shared" si="93"/>
        <v>0</v>
      </c>
      <c r="J62" s="51">
        <f t="shared" si="93"/>
        <v>25</v>
      </c>
      <c r="K62" s="52">
        <f t="shared" si="93"/>
        <v>0</v>
      </c>
      <c r="L62" s="52">
        <f t="shared" si="93"/>
        <v>0</v>
      </c>
      <c r="M62" s="51">
        <f>'AP03'!D55</f>
        <v>2283.71</v>
      </c>
      <c r="N62" s="51">
        <f>SUM('AP04'!$F62:$L62)</f>
        <v>2114.154398</v>
      </c>
      <c r="O62" s="137">
        <f>'AP04'!$M62-'AP04'!$N62</f>
        <v>169.5556025</v>
      </c>
      <c r="P62" s="51">
        <f>Q61*('AP04'!$R62-1)</f>
        <v>330.4840685</v>
      </c>
      <c r="Q62" s="51">
        <f>(Q61*'AP04'!$R62)-'AP04'!$G62-'AP04'!$O62*2</f>
        <v>253007.3745</v>
      </c>
      <c r="R62" s="53">
        <v>1.001302</v>
      </c>
      <c r="S62" s="4"/>
      <c r="T62" s="4"/>
      <c r="U62" s="4"/>
      <c r="V62" s="4"/>
      <c r="W62" s="4"/>
      <c r="X62" s="4"/>
      <c r="Y62" s="4"/>
      <c r="Z62" s="4"/>
    </row>
    <row r="63" ht="18.75" customHeight="1">
      <c r="A63" s="56">
        <f t="shared" si="2"/>
        <v>49</v>
      </c>
      <c r="B63" s="50">
        <f t="shared" si="5"/>
        <v>44733</v>
      </c>
      <c r="C63" s="47">
        <f t="shared" ref="C63:E63" si="94">C62</f>
        <v>0.062</v>
      </c>
      <c r="D63" s="47">
        <f t="shared" si="94"/>
        <v>0.005025</v>
      </c>
      <c r="E63" s="51">
        <f t="shared" si="94"/>
        <v>2089.154398</v>
      </c>
      <c r="F63" s="51">
        <f>(Q62*'AP04'!$R63)*'AP04'!$D63</f>
        <v>1272.712243</v>
      </c>
      <c r="G63" s="51">
        <f>(Q62*'AP04'!$R63)/($I$5-A62)</f>
        <v>811.7822702</v>
      </c>
      <c r="H63" s="52">
        <f t="shared" ref="H63:L63" si="95">H62</f>
        <v>0</v>
      </c>
      <c r="I63" s="52">
        <f t="shared" si="95"/>
        <v>0</v>
      </c>
      <c r="J63" s="51">
        <f t="shared" si="95"/>
        <v>25</v>
      </c>
      <c r="K63" s="52">
        <f t="shared" si="95"/>
        <v>0</v>
      </c>
      <c r="L63" s="52">
        <f t="shared" si="95"/>
        <v>0</v>
      </c>
      <c r="M63" s="51">
        <f>'AP03'!D56</f>
        <v>2284.69</v>
      </c>
      <c r="N63" s="51">
        <f>SUM('AP04'!$F63:$L63)</f>
        <v>2109.494513</v>
      </c>
      <c r="O63" s="137">
        <f>'AP04'!$M63-'AP04'!$N63</f>
        <v>175.1954865</v>
      </c>
      <c r="P63" s="51">
        <f>Q62*('AP04'!$R63-1)</f>
        <v>268.6938317</v>
      </c>
      <c r="Q63" s="51">
        <f>(Q62*'AP04'!$R63)-'AP04'!$G63-'AP04'!$O63*2</f>
        <v>252113.8951</v>
      </c>
      <c r="R63" s="53">
        <v>1.001062</v>
      </c>
      <c r="S63" s="4"/>
      <c r="T63" s="4"/>
      <c r="U63" s="4"/>
      <c r="V63" s="4"/>
      <c r="W63" s="4"/>
      <c r="X63" s="4"/>
      <c r="Y63" s="4"/>
      <c r="Z63" s="4"/>
    </row>
    <row r="64" ht="18.75" customHeight="1">
      <c r="A64" s="56">
        <f t="shared" si="2"/>
        <v>50</v>
      </c>
      <c r="B64" s="50">
        <f t="shared" si="5"/>
        <v>44763</v>
      </c>
      <c r="C64" s="47">
        <f t="shared" ref="C64:E64" si="96">C63</f>
        <v>0.062</v>
      </c>
      <c r="D64" s="47">
        <f t="shared" si="96"/>
        <v>0.005025</v>
      </c>
      <c r="E64" s="51">
        <f t="shared" si="96"/>
        <v>2089.154398</v>
      </c>
      <c r="F64" s="51">
        <f>(Q63*'AP04'!$R64)*'AP04'!$D64</f>
        <v>1269.308518</v>
      </c>
      <c r="G64" s="51">
        <f>(Q63*'AP04'!$R64)/($I$5-A63)</f>
        <v>812.2145019</v>
      </c>
      <c r="H64" s="52">
        <f t="shared" ref="H64:L64" si="97">H63</f>
        <v>0</v>
      </c>
      <c r="I64" s="52">
        <f t="shared" si="97"/>
        <v>0</v>
      </c>
      <c r="J64" s="51">
        <f t="shared" si="97"/>
        <v>25</v>
      </c>
      <c r="K64" s="52">
        <f t="shared" si="97"/>
        <v>0</v>
      </c>
      <c r="L64" s="52">
        <f t="shared" si="97"/>
        <v>0</v>
      </c>
      <c r="M64" s="51">
        <f>'AP03'!D57</f>
        <v>2281.63</v>
      </c>
      <c r="N64" s="51">
        <f>SUM('AP04'!$F64:$L64)</f>
        <v>2106.52302</v>
      </c>
      <c r="O64" s="137">
        <f>'AP04'!$M64-'AP04'!$N64</f>
        <v>175.1069799</v>
      </c>
      <c r="P64" s="51">
        <f>Q63*('AP04'!$R64-1)</f>
        <v>484.8150202</v>
      </c>
      <c r="Q64" s="51">
        <f>(Q63*'AP04'!$R64)-'AP04'!$G64-'AP04'!$O64*2</f>
        <v>251436.2816</v>
      </c>
      <c r="R64" s="53">
        <v>1.001923</v>
      </c>
      <c r="S64" s="4"/>
      <c r="T64" s="4"/>
      <c r="U64" s="4"/>
      <c r="V64" s="4"/>
      <c r="W64" s="4"/>
      <c r="X64" s="4"/>
      <c r="Y64" s="4"/>
      <c r="Z64" s="4"/>
    </row>
    <row r="65" ht="18.75" customHeight="1">
      <c r="A65" s="56">
        <f t="shared" si="2"/>
        <v>51</v>
      </c>
      <c r="B65" s="50">
        <f t="shared" si="5"/>
        <v>44794</v>
      </c>
      <c r="C65" s="47">
        <f t="shared" ref="C65:E65" si="98">C64</f>
        <v>0.062</v>
      </c>
      <c r="D65" s="47">
        <f t="shared" si="98"/>
        <v>0.005025</v>
      </c>
      <c r="E65" s="51">
        <f t="shared" si="98"/>
        <v>2089.154398</v>
      </c>
      <c r="F65" s="51">
        <f>(Q64*'AP04'!$R65)*'AP04'!$D65</f>
        <v>1266.107962</v>
      </c>
      <c r="G65" s="51">
        <f>(Q64*'AP04'!$R65)/($I$5-A64)</f>
        <v>812.7799466</v>
      </c>
      <c r="H65" s="52">
        <f t="shared" ref="H65:L65" si="99">H64</f>
        <v>0</v>
      </c>
      <c r="I65" s="52">
        <f t="shared" si="99"/>
        <v>0</v>
      </c>
      <c r="J65" s="51">
        <f t="shared" si="99"/>
        <v>25</v>
      </c>
      <c r="K65" s="52">
        <f t="shared" si="99"/>
        <v>0</v>
      </c>
      <c r="L65" s="52">
        <f t="shared" si="99"/>
        <v>0</v>
      </c>
      <c r="M65" s="51">
        <f>'AP03'!D58</f>
        <v>2281.94</v>
      </c>
      <c r="N65" s="51">
        <f>SUM('AP04'!$F65:$L65)</f>
        <v>2103.887908</v>
      </c>
      <c r="O65" s="137">
        <f>'AP04'!$M65-'AP04'!$N65</f>
        <v>178.0520915</v>
      </c>
      <c r="P65" s="51">
        <f>Q64*('AP04'!$R65-1)</f>
        <v>525.5018286</v>
      </c>
      <c r="Q65" s="51">
        <f>(Q64*'AP04'!$R65)-'AP04'!$G65-'AP04'!$O65*2</f>
        <v>250792.8993</v>
      </c>
      <c r="R65" s="53">
        <v>1.00209</v>
      </c>
      <c r="S65" s="4"/>
      <c r="T65" s="4"/>
      <c r="U65" s="4"/>
      <c r="V65" s="4"/>
      <c r="W65" s="4"/>
      <c r="X65" s="4"/>
      <c r="Y65" s="4"/>
      <c r="Z65" s="4"/>
    </row>
    <row r="66" ht="18.75" customHeight="1">
      <c r="A66" s="56">
        <f t="shared" si="2"/>
        <v>52</v>
      </c>
      <c r="B66" s="50">
        <f t="shared" si="5"/>
        <v>44825</v>
      </c>
      <c r="C66" s="47">
        <f t="shared" ref="C66:E66" si="100">C65</f>
        <v>0.062</v>
      </c>
      <c r="D66" s="47">
        <f t="shared" si="100"/>
        <v>0.005025</v>
      </c>
      <c r="E66" s="51">
        <f t="shared" si="100"/>
        <v>2089.154398</v>
      </c>
      <c r="F66" s="51">
        <f>(Q65*'AP04'!$R66)*'AP04'!$D66</f>
        <v>1262.492659</v>
      </c>
      <c r="G66" s="51">
        <f>(Q65*'AP04'!$R66)/($I$5-A65)</f>
        <v>813.0819424</v>
      </c>
      <c r="H66" s="52">
        <f t="shared" ref="H66:L66" si="101">H65</f>
        <v>0</v>
      </c>
      <c r="I66" s="52">
        <f t="shared" si="101"/>
        <v>0</v>
      </c>
      <c r="J66" s="51">
        <f t="shared" si="101"/>
        <v>25</v>
      </c>
      <c r="K66" s="52">
        <f t="shared" si="101"/>
        <v>0</v>
      </c>
      <c r="L66" s="52">
        <f t="shared" si="101"/>
        <v>0</v>
      </c>
      <c r="M66" s="51">
        <f>'AP03'!D59</f>
        <v>2281.56</v>
      </c>
      <c r="N66" s="51">
        <f>SUM('AP04'!$F66:$L66)</f>
        <v>2100.574601</v>
      </c>
      <c r="O66" s="137">
        <f>'AP04'!$M66-'AP04'!$N66</f>
        <v>180.9853986</v>
      </c>
      <c r="P66" s="51">
        <f>Q65*('AP04'!$R66-1)</f>
        <v>449.4208756</v>
      </c>
      <c r="Q66" s="51">
        <f>(Q65*'AP04'!$R66)-'AP04'!$G66-'AP04'!$O66*2</f>
        <v>250067.2675</v>
      </c>
      <c r="R66" s="53">
        <v>1.001792</v>
      </c>
      <c r="S66" s="4"/>
      <c r="T66" s="4"/>
      <c r="U66" s="4"/>
      <c r="V66" s="4"/>
      <c r="W66" s="4"/>
      <c r="X66" s="4"/>
      <c r="Y66" s="4"/>
      <c r="Z66" s="4"/>
    </row>
    <row r="67" ht="18.75" customHeight="1">
      <c r="A67" s="56">
        <f t="shared" si="2"/>
        <v>53</v>
      </c>
      <c r="B67" s="50">
        <f t="shared" si="5"/>
        <v>44855</v>
      </c>
      <c r="C67" s="47">
        <f t="shared" ref="C67:E67" si="102">C66</f>
        <v>0.062</v>
      </c>
      <c r="D67" s="47">
        <f t="shared" si="102"/>
        <v>0.005025</v>
      </c>
      <c r="E67" s="51">
        <f t="shared" si="102"/>
        <v>2089.154398</v>
      </c>
      <c r="F67" s="51">
        <f>(Q66*'AP04'!$R67)*'AP04'!$D67</f>
        <v>1258.895115</v>
      </c>
      <c r="G67" s="51">
        <f>(Q66*'AP04'!$R67)/($I$5-A66)</f>
        <v>813.3973733</v>
      </c>
      <c r="H67" s="52">
        <f t="shared" ref="H67:L67" si="103">H66</f>
        <v>0</v>
      </c>
      <c r="I67" s="52">
        <f t="shared" si="103"/>
        <v>0</v>
      </c>
      <c r="J67" s="51">
        <f t="shared" si="103"/>
        <v>25</v>
      </c>
      <c r="K67" s="52">
        <f t="shared" si="103"/>
        <v>0</v>
      </c>
      <c r="L67" s="52">
        <f t="shared" si="103"/>
        <v>0</v>
      </c>
      <c r="M67" s="51">
        <f>'AP03'!D60</f>
        <v>2281.26</v>
      </c>
      <c r="N67" s="51">
        <f>SUM('AP04'!$F67:$L67)</f>
        <v>2097.292488</v>
      </c>
      <c r="O67" s="137">
        <f>'AP04'!$M67-'AP04'!$N67</f>
        <v>183.9675121</v>
      </c>
      <c r="P67" s="51">
        <f>Q66*('AP04'!$R67-1)</f>
        <v>459.1235031</v>
      </c>
      <c r="Q67" s="51">
        <f>(Q66*'AP04'!$R67)-'AP04'!$G67-'AP04'!$O67*2</f>
        <v>249345.0586</v>
      </c>
      <c r="R67" s="53">
        <v>1.001836</v>
      </c>
      <c r="S67" s="4"/>
      <c r="T67" s="4"/>
      <c r="U67" s="4"/>
      <c r="V67" s="4"/>
      <c r="W67" s="4"/>
      <c r="X67" s="4"/>
      <c r="Y67" s="4"/>
      <c r="Z67" s="4"/>
    </row>
    <row r="68" ht="18.75" customHeight="1">
      <c r="A68" s="56">
        <f t="shared" si="2"/>
        <v>54</v>
      </c>
      <c r="B68" s="50">
        <f t="shared" si="5"/>
        <v>44886</v>
      </c>
      <c r="C68" s="47">
        <f t="shared" ref="C68:E68" si="104">C67</f>
        <v>0.062</v>
      </c>
      <c r="D68" s="47">
        <f t="shared" si="104"/>
        <v>0.005025</v>
      </c>
      <c r="E68" s="51">
        <f t="shared" si="104"/>
        <v>2089.154398</v>
      </c>
      <c r="F68" s="51">
        <f>(Q67*'AP04'!$R68)*'AP04'!$D68</f>
        <v>1254.383534</v>
      </c>
      <c r="G68" s="51">
        <f>(Q67*'AP04'!$R68)/($I$5-A67)</f>
        <v>813.122358</v>
      </c>
      <c r="H68" s="52">
        <f t="shared" ref="H68:L68" si="105">H67</f>
        <v>0</v>
      </c>
      <c r="I68" s="52">
        <f t="shared" si="105"/>
        <v>0</v>
      </c>
      <c r="J68" s="51">
        <f t="shared" si="105"/>
        <v>25</v>
      </c>
      <c r="K68" s="52">
        <f t="shared" si="105"/>
        <v>0</v>
      </c>
      <c r="L68" s="52">
        <f t="shared" si="105"/>
        <v>0</v>
      </c>
      <c r="M68" s="51">
        <f>'AP03'!D61</f>
        <v>2279.39</v>
      </c>
      <c r="N68" s="51">
        <f>SUM('AP04'!$F68:$L68)</f>
        <v>2092.505892</v>
      </c>
      <c r="O68" s="137">
        <f>'AP04'!$M68-'AP04'!$N68</f>
        <v>186.8841084</v>
      </c>
      <c r="P68" s="51">
        <f>Q67*('AP04'!$R68-1)</f>
        <v>283.5053316</v>
      </c>
      <c r="Q68" s="51">
        <f>(Q67*'AP04'!$R68)-'AP04'!$G68-'AP04'!$O68*2</f>
        <v>248441.6733</v>
      </c>
      <c r="R68" s="53">
        <v>1.001137</v>
      </c>
      <c r="S68" s="4"/>
      <c r="T68" s="4"/>
      <c r="U68" s="4"/>
      <c r="V68" s="4"/>
      <c r="W68" s="4"/>
      <c r="X68" s="4"/>
      <c r="Y68" s="4"/>
      <c r="Z68" s="4"/>
    </row>
    <row r="69" ht="18.75" customHeight="1">
      <c r="A69" s="56">
        <f t="shared" si="2"/>
        <v>55</v>
      </c>
      <c r="B69" s="50">
        <f t="shared" si="5"/>
        <v>44916</v>
      </c>
      <c r="C69" s="47">
        <f t="shared" ref="C69:E69" si="106">C68</f>
        <v>0.062</v>
      </c>
      <c r="D69" s="47">
        <f t="shared" si="106"/>
        <v>0.005025</v>
      </c>
      <c r="E69" s="51">
        <f t="shared" si="106"/>
        <v>2089.154398</v>
      </c>
      <c r="F69" s="51">
        <f>(Q68*'AP04'!$R69)*'AP04'!$D69</f>
        <v>1251.03235</v>
      </c>
      <c r="G69" s="51">
        <f>(Q68*'AP04'!$R69)/($I$5-A68)</f>
        <v>813.6002018</v>
      </c>
      <c r="H69" s="52">
        <f t="shared" ref="H69:L69" si="107">H68</f>
        <v>0</v>
      </c>
      <c r="I69" s="52">
        <f t="shared" si="107"/>
        <v>0</v>
      </c>
      <c r="J69" s="51">
        <f t="shared" si="107"/>
        <v>25</v>
      </c>
      <c r="K69" s="52">
        <f t="shared" si="107"/>
        <v>0</v>
      </c>
      <c r="L69" s="52">
        <f t="shared" si="107"/>
        <v>0</v>
      </c>
      <c r="M69" s="51">
        <f>'AP03'!D62</f>
        <v>2281.2</v>
      </c>
      <c r="N69" s="51">
        <f>SUM('AP04'!$F69:$L69)</f>
        <v>2089.632552</v>
      </c>
      <c r="O69" s="137">
        <f>'AP04'!$M69-'AP04'!$N69</f>
        <v>191.567448</v>
      </c>
      <c r="P69" s="51">
        <f>Q68*('AP04'!$R69-1)</f>
        <v>519.9884223</v>
      </c>
      <c r="Q69" s="51">
        <f>(Q68*'AP04'!$R69)-'AP04'!$G69-'AP04'!$O69*2</f>
        <v>247764.9266</v>
      </c>
      <c r="R69" s="53">
        <v>1.002093</v>
      </c>
      <c r="S69" s="4"/>
      <c r="T69" s="4"/>
      <c r="U69" s="4"/>
      <c r="V69" s="4"/>
      <c r="W69" s="4"/>
      <c r="X69" s="4"/>
      <c r="Y69" s="4"/>
      <c r="Z69" s="4"/>
    </row>
    <row r="70" ht="18.75" customHeight="1">
      <c r="A70" s="56">
        <f t="shared" si="2"/>
        <v>56</v>
      </c>
      <c r="B70" s="50">
        <f t="shared" si="5"/>
        <v>44947</v>
      </c>
      <c r="C70" s="47">
        <f t="shared" ref="C70:E70" si="108">C69</f>
        <v>0.062</v>
      </c>
      <c r="D70" s="47">
        <f t="shared" si="108"/>
        <v>0.005025</v>
      </c>
      <c r="E70" s="51">
        <f t="shared" si="108"/>
        <v>2089.154398</v>
      </c>
      <c r="F70" s="51">
        <f>(Q69*'AP04'!$R70)*'AP04'!$D70</f>
        <v>1248.019252</v>
      </c>
      <c r="G70" s="51">
        <f>(Q69*'AP04'!$R70)/($I$5-A69)</f>
        <v>814.3017709</v>
      </c>
      <c r="H70" s="52">
        <f t="shared" ref="H70:L70" si="109">H69</f>
        <v>0</v>
      </c>
      <c r="I70" s="52">
        <f t="shared" si="109"/>
        <v>0</v>
      </c>
      <c r="J70" s="51">
        <f t="shared" si="109"/>
        <v>25</v>
      </c>
      <c r="K70" s="52">
        <f t="shared" si="109"/>
        <v>0</v>
      </c>
      <c r="L70" s="52">
        <f t="shared" si="109"/>
        <v>0</v>
      </c>
      <c r="M70" s="51">
        <f>'AP03'!D63</f>
        <v>2282.16</v>
      </c>
      <c r="N70" s="51">
        <f>SUM('AP04'!$F70:$L70)</f>
        <v>2087.321022</v>
      </c>
      <c r="O70" s="137">
        <f>'AP04'!$M70-'AP04'!$N70</f>
        <v>194.8389775</v>
      </c>
      <c r="P70" s="51">
        <f>Q69*('AP04'!$R70-1)</f>
        <v>597.1134732</v>
      </c>
      <c r="Q70" s="51">
        <f>(Q69*'AP04'!$R70)-'AP04'!$G70-'AP04'!$O70*2</f>
        <v>247158.0604</v>
      </c>
      <c r="R70" s="53">
        <v>1.00241</v>
      </c>
      <c r="S70" s="4"/>
      <c r="T70" s="4"/>
      <c r="U70" s="4"/>
      <c r="V70" s="4"/>
      <c r="W70" s="4"/>
      <c r="X70" s="4"/>
      <c r="Y70" s="4"/>
      <c r="Z70" s="4"/>
    </row>
    <row r="71" ht="18.75" customHeight="1">
      <c r="A71" s="56">
        <f t="shared" si="2"/>
        <v>57</v>
      </c>
      <c r="B71" s="50">
        <f t="shared" si="5"/>
        <v>44978</v>
      </c>
      <c r="C71" s="47">
        <f t="shared" ref="C71:E71" si="110">C70</f>
        <v>0.062</v>
      </c>
      <c r="D71" s="47">
        <f t="shared" si="110"/>
        <v>0.005025</v>
      </c>
      <c r="E71" s="51">
        <f t="shared" si="110"/>
        <v>2089.154398</v>
      </c>
      <c r="F71" s="51">
        <f>(Q70*'AP04'!$R71)*'AP04'!$D71</f>
        <v>1243.817304</v>
      </c>
      <c r="G71" s="51">
        <f>(Q70*'AP04'!$R71)/($I$5-A70)</f>
        <v>814.2297092</v>
      </c>
      <c r="H71" s="52">
        <f t="shared" ref="H71:L71" si="111">H70</f>
        <v>0</v>
      </c>
      <c r="I71" s="52">
        <f t="shared" si="111"/>
        <v>0</v>
      </c>
      <c r="J71" s="51">
        <f t="shared" si="111"/>
        <v>25</v>
      </c>
      <c r="K71" s="52">
        <f t="shared" si="111"/>
        <v>0</v>
      </c>
      <c r="L71" s="52">
        <f t="shared" si="111"/>
        <v>0</v>
      </c>
      <c r="M71" s="51">
        <f>'AP03'!D64</f>
        <v>2281.76</v>
      </c>
      <c r="N71" s="51">
        <f>SUM('AP04'!$F71:$L71)</f>
        <v>2083.047013</v>
      </c>
      <c r="O71" s="137">
        <f>'AP04'!$M71-'AP04'!$N71</f>
        <v>198.7129871</v>
      </c>
      <c r="P71" s="51">
        <f>Q70*('AP04'!$R71-1)</f>
        <v>367.7711939</v>
      </c>
      <c r="Q71" s="51">
        <f>(Q70*'AP04'!$R71)-'AP04'!$G71-'AP04'!$O71*2</f>
        <v>246314.1759</v>
      </c>
      <c r="R71" s="53">
        <v>1.001488</v>
      </c>
      <c r="S71" s="4"/>
      <c r="T71" s="4"/>
      <c r="U71" s="4"/>
      <c r="V71" s="4"/>
      <c r="W71" s="4"/>
      <c r="X71" s="4"/>
      <c r="Y71" s="4"/>
      <c r="Z71" s="4"/>
    </row>
    <row r="72" ht="18.75" customHeight="1">
      <c r="A72" s="56">
        <f t="shared" si="2"/>
        <v>58</v>
      </c>
      <c r="B72" s="50">
        <f t="shared" si="5"/>
        <v>45006</v>
      </c>
      <c r="C72" s="47">
        <f t="shared" ref="C72:E72" si="112">C71</f>
        <v>0.062</v>
      </c>
      <c r="D72" s="47">
        <f t="shared" si="112"/>
        <v>0.005025</v>
      </c>
      <c r="E72" s="51">
        <f t="shared" si="112"/>
        <v>2089.154398</v>
      </c>
      <c r="F72" s="51">
        <f>(Q71*'AP04'!$R72)*'AP04'!$D72</f>
        <v>1239.082809</v>
      </c>
      <c r="G72" s="51">
        <f>(Q71*'AP04'!$R72)/($I$5-A71)</f>
        <v>813.8074047</v>
      </c>
      <c r="H72" s="52">
        <f t="shared" ref="H72:L72" si="113">H71</f>
        <v>0</v>
      </c>
      <c r="I72" s="52">
        <f t="shared" si="113"/>
        <v>0</v>
      </c>
      <c r="J72" s="51">
        <f t="shared" si="113"/>
        <v>25</v>
      </c>
      <c r="K72" s="52">
        <f t="shared" si="113"/>
        <v>0</v>
      </c>
      <c r="L72" s="52">
        <f t="shared" si="113"/>
        <v>0</v>
      </c>
      <c r="M72" s="51">
        <f>'AP03'!D65</f>
        <v>2279.74</v>
      </c>
      <c r="N72" s="51">
        <f>SUM('AP04'!$F72:$L72)</f>
        <v>2077.890214</v>
      </c>
      <c r="O72" s="137">
        <f>'AP04'!$M72-'AP04'!$N72</f>
        <v>201.8497862</v>
      </c>
      <c r="P72" s="51">
        <f>Q71*('AP04'!$R72-1)</f>
        <v>269.4677084</v>
      </c>
      <c r="Q72" s="51">
        <f>(Q71*'AP04'!$R72)-'AP04'!$G72-'AP04'!$O72*2</f>
        <v>245366.1366</v>
      </c>
      <c r="R72" s="53">
        <v>1.001094</v>
      </c>
      <c r="S72" s="4"/>
      <c r="T72" s="4"/>
      <c r="U72" s="4"/>
      <c r="V72" s="4"/>
      <c r="W72" s="4"/>
      <c r="X72" s="4"/>
      <c r="Y72" s="4"/>
      <c r="Z72" s="4"/>
    </row>
    <row r="73" ht="18.75" customHeight="1">
      <c r="A73" s="56">
        <f t="shared" si="2"/>
        <v>59</v>
      </c>
      <c r="B73" s="50">
        <f t="shared" si="5"/>
        <v>45037</v>
      </c>
      <c r="C73" s="47">
        <f t="shared" ref="C73:E73" si="114">C72</f>
        <v>0.062</v>
      </c>
      <c r="D73" s="47">
        <f t="shared" si="114"/>
        <v>0.005025</v>
      </c>
      <c r="E73" s="51">
        <f t="shared" si="114"/>
        <v>2089.154398</v>
      </c>
      <c r="F73" s="51">
        <f>(Q72*'AP04'!$R73)*'AP04'!$D73</f>
        <v>1235.5405</v>
      </c>
      <c r="G73" s="51">
        <f>(Q72*'AP04'!$R73)/($I$5-A72)</f>
        <v>814.1679023</v>
      </c>
      <c r="H73" s="52">
        <f t="shared" ref="H73:L73" si="115">H72</f>
        <v>0</v>
      </c>
      <c r="I73" s="52">
        <f t="shared" si="115"/>
        <v>0</v>
      </c>
      <c r="J73" s="51">
        <f t="shared" si="115"/>
        <v>25</v>
      </c>
      <c r="K73" s="52">
        <f t="shared" si="115"/>
        <v>0</v>
      </c>
      <c r="L73" s="52">
        <f t="shared" si="115"/>
        <v>0</v>
      </c>
      <c r="M73" s="51">
        <f>'AP03'!D66</f>
        <v>2279.98</v>
      </c>
      <c r="N73" s="51">
        <f>SUM('AP04'!$F73:$L73)</f>
        <v>2074.708402</v>
      </c>
      <c r="O73" s="137">
        <f>'AP04'!$M73-'AP04'!$N73</f>
        <v>205.2715976</v>
      </c>
      <c r="P73" s="51">
        <f>Q72*('AP04'!$R73-1)</f>
        <v>512.5698594</v>
      </c>
      <c r="Q73" s="51">
        <f>(Q72*'AP04'!$R73)-'AP04'!$G73-'AP04'!$O73*2</f>
        <v>244653.9954</v>
      </c>
      <c r="R73" s="53">
        <v>1.002089</v>
      </c>
      <c r="S73" s="4"/>
      <c r="T73" s="4"/>
      <c r="U73" s="4"/>
      <c r="V73" s="4"/>
      <c r="W73" s="4"/>
      <c r="X73" s="4"/>
      <c r="Y73" s="4"/>
      <c r="Z73" s="4"/>
    </row>
    <row r="74" ht="18.75" customHeight="1">
      <c r="A74" s="56">
        <f t="shared" si="2"/>
        <v>60</v>
      </c>
      <c r="B74" s="50">
        <f t="shared" si="5"/>
        <v>45067</v>
      </c>
      <c r="C74" s="47">
        <f t="shared" ref="C74:E74" si="116">C73</f>
        <v>0.062</v>
      </c>
      <c r="D74" s="47">
        <f t="shared" si="116"/>
        <v>0.005025</v>
      </c>
      <c r="E74" s="51">
        <f t="shared" si="116"/>
        <v>2089.154398</v>
      </c>
      <c r="F74" s="51">
        <f>(Q73*'AP04'!$R74)*'AP04'!$D74</f>
        <v>1230.76324</v>
      </c>
      <c r="G74" s="51">
        <f>(Q73*'AP04'!$R74)/($I$5-A73)</f>
        <v>813.7143119</v>
      </c>
      <c r="H74" s="52">
        <f t="shared" ref="H74:L74" si="117">H73</f>
        <v>0</v>
      </c>
      <c r="I74" s="52">
        <f t="shared" si="117"/>
        <v>0</v>
      </c>
      <c r="J74" s="51">
        <f t="shared" si="117"/>
        <v>25</v>
      </c>
      <c r="K74" s="52">
        <f t="shared" si="117"/>
        <v>0</v>
      </c>
      <c r="L74" s="52">
        <f t="shared" si="117"/>
        <v>0</v>
      </c>
      <c r="M74" s="51">
        <f>'AP03'!D67</f>
        <v>2278.01</v>
      </c>
      <c r="N74" s="51">
        <f>SUM('AP04'!$F74:$L74)</f>
        <v>2069.477551</v>
      </c>
      <c r="O74" s="137">
        <f>'AP04'!$M74-'AP04'!$N74</f>
        <v>208.5324486</v>
      </c>
      <c r="P74" s="51">
        <f>Q73*('AP04'!$R74-1)</f>
        <v>274.0124748</v>
      </c>
      <c r="Q74" s="51">
        <f>(Q73*'AP04'!$R74)-'AP04'!$G74-'AP04'!$O74*2</f>
        <v>243697.2287</v>
      </c>
      <c r="R74" s="53">
        <v>1.00112</v>
      </c>
      <c r="S74" s="4"/>
      <c r="T74" s="4"/>
      <c r="U74" s="4"/>
      <c r="V74" s="4"/>
      <c r="W74" s="4"/>
      <c r="X74" s="4"/>
      <c r="Y74" s="4"/>
      <c r="Z74" s="4"/>
    </row>
    <row r="75" ht="18.75" customHeight="1">
      <c r="A75" s="56">
        <f t="shared" si="2"/>
        <v>61</v>
      </c>
      <c r="B75" s="50">
        <f t="shared" si="5"/>
        <v>45098</v>
      </c>
      <c r="C75" s="47">
        <f t="shared" ref="C75:E75" si="118">C74</f>
        <v>0.062</v>
      </c>
      <c r="D75" s="47">
        <f t="shared" si="118"/>
        <v>0.005025</v>
      </c>
      <c r="E75" s="51">
        <f t="shared" si="118"/>
        <v>2089.154398</v>
      </c>
      <c r="F75" s="51">
        <f>(Q74*'AP04'!$R75)*'AP04'!$D75</f>
        <v>1226.771794</v>
      </c>
      <c r="G75" s="51">
        <f>(Q74*'AP04'!$R75)/($I$5-A74)</f>
        <v>813.778968</v>
      </c>
      <c r="H75" s="52">
        <f t="shared" ref="H75:L75" si="119">H74</f>
        <v>0</v>
      </c>
      <c r="I75" s="52">
        <f t="shared" si="119"/>
        <v>0</v>
      </c>
      <c r="J75" s="51">
        <f t="shared" si="119"/>
        <v>25</v>
      </c>
      <c r="K75" s="52">
        <f t="shared" si="119"/>
        <v>0</v>
      </c>
      <c r="L75" s="52">
        <f t="shared" si="119"/>
        <v>0</v>
      </c>
      <c r="M75" s="51">
        <f>'AP03'!D68</f>
        <v>2277.54</v>
      </c>
      <c r="N75" s="51">
        <f>SUM('AP04'!$F75:$L75)</f>
        <v>2065.550762</v>
      </c>
      <c r="O75" s="137">
        <f>'AP04'!$M75-'AP04'!$N75</f>
        <v>211.9892377</v>
      </c>
      <c r="P75" s="51">
        <f>Q74*('AP04'!$R75-1)</f>
        <v>436.4617365</v>
      </c>
      <c r="Q75" s="51">
        <f>(Q74*'AP04'!$R75)-'AP04'!$G75-'AP04'!$O75*2</f>
        <v>242895.933</v>
      </c>
      <c r="R75" s="53">
        <v>1.001791</v>
      </c>
      <c r="S75" s="4"/>
      <c r="T75" s="4"/>
      <c r="U75" s="4"/>
      <c r="V75" s="4"/>
      <c r="W75" s="4"/>
      <c r="X75" s="4"/>
      <c r="Y75" s="4"/>
      <c r="Z75" s="4"/>
    </row>
    <row r="76" ht="18.75" customHeight="1">
      <c r="A76" s="56">
        <f t="shared" si="2"/>
        <v>62</v>
      </c>
      <c r="B76" s="50">
        <f t="shared" si="5"/>
        <v>45128</v>
      </c>
      <c r="C76" s="47">
        <f t="shared" ref="C76:E76" si="120">C75</f>
        <v>0.062</v>
      </c>
      <c r="D76" s="47">
        <f t="shared" si="120"/>
        <v>0.005025</v>
      </c>
      <c r="E76" s="51">
        <f t="shared" si="120"/>
        <v>2089.154398</v>
      </c>
      <c r="F76" s="51">
        <f>(Q75*'AP04'!$R76)*'AP04'!$D76</f>
        <v>1222.996829</v>
      </c>
      <c r="G76" s="51">
        <f>(Q75*'AP04'!$R76)/($I$5-A75)</f>
        <v>813.9881388</v>
      </c>
      <c r="H76" s="52">
        <f t="shared" ref="H76:L76" si="121">H75</f>
        <v>0</v>
      </c>
      <c r="I76" s="52">
        <f t="shared" si="121"/>
        <v>0</v>
      </c>
      <c r="J76" s="51">
        <f t="shared" si="121"/>
        <v>25</v>
      </c>
      <c r="K76" s="52">
        <f t="shared" si="121"/>
        <v>0</v>
      </c>
      <c r="L76" s="52">
        <f t="shared" si="121"/>
        <v>0</v>
      </c>
      <c r="M76" s="51">
        <f>'AP03'!D69</f>
        <v>2277.54</v>
      </c>
      <c r="N76" s="51">
        <f>SUM('AP04'!$F76:$L76)</f>
        <v>2061.984968</v>
      </c>
      <c r="O76" s="137">
        <f>'AP04'!$M76-'AP04'!$N76</f>
        <v>215.5550323</v>
      </c>
      <c r="P76" s="51">
        <f>Q75*('AP04'!$R76-1)</f>
        <v>486.5205537</v>
      </c>
      <c r="Q76" s="51">
        <f>(Q75*'AP04'!$R76)-'AP04'!$G76-'AP04'!$O76*2</f>
        <v>242137.3553</v>
      </c>
      <c r="R76" s="53">
        <v>1.002003</v>
      </c>
      <c r="S76" s="4"/>
      <c r="T76" s="4"/>
      <c r="U76" s="4"/>
      <c r="V76" s="4"/>
      <c r="W76" s="4"/>
      <c r="X76" s="4"/>
      <c r="Y76" s="4"/>
      <c r="Z76" s="4"/>
    </row>
    <row r="77" ht="18.75" customHeight="1">
      <c r="A77" s="113">
        <f t="shared" si="2"/>
        <v>63</v>
      </c>
      <c r="B77" s="114">
        <f t="shared" si="5"/>
        <v>45159</v>
      </c>
      <c r="C77" s="115">
        <f>I7</f>
        <v>0.0775</v>
      </c>
      <c r="D77" s="115">
        <f>I6</f>
        <v>0.0062</v>
      </c>
      <c r="E77" s="51">
        <f>E76</f>
        <v>2089.154398</v>
      </c>
      <c r="F77" s="51">
        <f>(Q76*'AP04'!$R77)*'AP04'!$D77</f>
        <v>1503.62358</v>
      </c>
      <c r="G77" s="51">
        <f>(Q76*'AP04'!$R77)/($I$5-A76)</f>
        <v>813.8252763</v>
      </c>
      <c r="H77" s="52">
        <f t="shared" ref="H77:L77" si="122">H76</f>
        <v>0</v>
      </c>
      <c r="I77" s="52">
        <f t="shared" si="122"/>
        <v>0</v>
      </c>
      <c r="J77" s="51">
        <f t="shared" si="122"/>
        <v>25</v>
      </c>
      <c r="K77" s="52">
        <f t="shared" si="122"/>
        <v>0</v>
      </c>
      <c r="L77" s="52">
        <f t="shared" si="122"/>
        <v>0</v>
      </c>
      <c r="M77" s="51">
        <f>'AP03'!D70</f>
        <v>3133.63</v>
      </c>
      <c r="N77" s="51">
        <f>SUM('AP04'!$F77:$L77)</f>
        <v>2342.448857</v>
      </c>
      <c r="O77" s="137">
        <f>'AP04'!$M77-'AP04'!$N77</f>
        <v>791.1811433</v>
      </c>
      <c r="P77" s="51">
        <f>Q76*('AP04'!$R77-1)</f>
        <v>382.5770214</v>
      </c>
      <c r="Q77" s="51">
        <f>(Q76*'AP04'!$R77)-'AP04'!$G77-'AP04'!$O77*2</f>
        <v>240123.7448</v>
      </c>
      <c r="R77" s="53">
        <v>1.00158</v>
      </c>
      <c r="S77" s="4"/>
      <c r="T77" s="4"/>
      <c r="U77" s="4"/>
      <c r="V77" s="4"/>
      <c r="W77" s="4"/>
      <c r="X77" s="4"/>
      <c r="Y77" s="4"/>
      <c r="Z77" s="4"/>
    </row>
    <row r="78" ht="18.75" customHeight="1">
      <c r="A78" s="56">
        <f t="shared" si="2"/>
        <v>64</v>
      </c>
      <c r="B78" s="50">
        <f t="shared" si="5"/>
        <v>45190</v>
      </c>
      <c r="C78" s="116">
        <f t="shared" ref="C78:E78" si="123">C77</f>
        <v>0.0775</v>
      </c>
      <c r="D78" s="116">
        <f t="shared" si="123"/>
        <v>0.0062</v>
      </c>
      <c r="E78" s="51">
        <f t="shared" si="123"/>
        <v>2089.154398</v>
      </c>
      <c r="F78" s="51">
        <f>(Q77*'AP04'!$R78)*'AP04'!$D78</f>
        <v>1491.414246</v>
      </c>
      <c r="G78" s="51">
        <f>(Q77*'AP04'!$R78)/($I$5-A77)</f>
        <v>809.9349656</v>
      </c>
      <c r="H78" s="52">
        <f t="shared" ref="H78:L78" si="124">H77</f>
        <v>0</v>
      </c>
      <c r="I78" s="52">
        <f t="shared" si="124"/>
        <v>0</v>
      </c>
      <c r="J78" s="51">
        <f t="shared" si="124"/>
        <v>25</v>
      </c>
      <c r="K78" s="52">
        <f t="shared" si="124"/>
        <v>0</v>
      </c>
      <c r="L78" s="52">
        <f t="shared" si="124"/>
        <v>0</v>
      </c>
      <c r="M78" s="51">
        <f>'AP03'!D71</f>
        <v>3131.76</v>
      </c>
      <c r="N78" s="51">
        <f>SUM('AP04'!$F78:$L78)</f>
        <v>2326.349211</v>
      </c>
      <c r="O78" s="137">
        <f>'AP04'!$M78-'AP04'!$N78</f>
        <v>805.4107887</v>
      </c>
      <c r="P78" s="51">
        <f>Q77*('AP04'!$R78-1)</f>
        <v>426.9400182</v>
      </c>
      <c r="Q78" s="51">
        <f>(Q77*'AP04'!$R78)-'AP04'!$G78-'AP04'!$O78*2</f>
        <v>238129.9282</v>
      </c>
      <c r="R78" s="53">
        <v>1.001778</v>
      </c>
      <c r="S78" s="4"/>
      <c r="T78" s="4"/>
      <c r="U78" s="4"/>
      <c r="V78" s="4"/>
      <c r="W78" s="4"/>
      <c r="X78" s="4"/>
      <c r="Y78" s="4"/>
      <c r="Z78" s="4"/>
    </row>
    <row r="79" ht="18.75" customHeight="1">
      <c r="A79" s="56">
        <f t="shared" si="2"/>
        <v>65</v>
      </c>
      <c r="B79" s="50">
        <f t="shared" si="5"/>
        <v>45220</v>
      </c>
      <c r="C79" s="116">
        <f t="shared" ref="C79:C374" si="126">C78</f>
        <v>0.0775</v>
      </c>
      <c r="D79" s="116">
        <f>((1+'AP04'!$C79)^(1/12))-1</f>
        <v>0.006239681461</v>
      </c>
      <c r="E79" s="51">
        <f t="shared" ref="E79:E374" si="127">E78</f>
        <v>2089.154398</v>
      </c>
      <c r="F79" s="51">
        <f>(Q78*'AP04'!$R79)*'AP04'!$D79</f>
        <v>1487.563632</v>
      </c>
      <c r="G79" s="51">
        <f>(Q78*'AP04'!$R79)/($I$5-A78)</f>
        <v>805.4181678</v>
      </c>
      <c r="H79" s="52">
        <f t="shared" ref="H79:L79" si="125">H78</f>
        <v>0</v>
      </c>
      <c r="I79" s="52">
        <f t="shared" si="125"/>
        <v>0</v>
      </c>
      <c r="J79" s="51">
        <f t="shared" si="125"/>
        <v>25</v>
      </c>
      <c r="K79" s="52">
        <f t="shared" si="125"/>
        <v>0</v>
      </c>
      <c r="L79" s="52">
        <f t="shared" si="125"/>
        <v>0</v>
      </c>
      <c r="M79" s="51">
        <f>'AP03'!D72</f>
        <v>3127.92</v>
      </c>
      <c r="N79" s="51">
        <f>SUM('AP04'!$F79:$L79)</f>
        <v>2317.9818</v>
      </c>
      <c r="O79" s="137">
        <f>'AP04'!$M79-'AP04'!$N79</f>
        <v>809.9382005</v>
      </c>
      <c r="P79" s="51">
        <f>Q78*('AP04'!$R79-1)</f>
        <v>273.8494175</v>
      </c>
      <c r="Q79" s="51">
        <f>(Q78*'AP04'!$R79)-'AP04'!$G79-'AP04'!$O79*2</f>
        <v>235978.4831</v>
      </c>
      <c r="R79" s="53">
        <v>1.00115</v>
      </c>
      <c r="S79" s="4"/>
      <c r="T79" s="4"/>
      <c r="U79" s="4"/>
      <c r="V79" s="4"/>
      <c r="W79" s="4"/>
      <c r="X79" s="4"/>
      <c r="Y79" s="4"/>
      <c r="Z79" s="4"/>
    </row>
    <row r="80" ht="18.75" customHeight="1">
      <c r="A80" s="56">
        <f t="shared" si="2"/>
        <v>66</v>
      </c>
      <c r="B80" s="50">
        <f t="shared" si="5"/>
        <v>45251</v>
      </c>
      <c r="C80" s="116">
        <f t="shared" si="126"/>
        <v>0.0775</v>
      </c>
      <c r="D80" s="116">
        <f>((1+'AP04'!$C80)^(1/12))-1</f>
        <v>0.006239681461</v>
      </c>
      <c r="E80" s="51">
        <f t="shared" si="127"/>
        <v>2089.154398</v>
      </c>
      <c r="F80" s="51">
        <f>(Q79*'AP04'!$R80)*'AP04'!$D80</f>
        <v>1473.162364</v>
      </c>
      <c r="G80" s="51">
        <f>(Q79*'AP04'!$R80)/($I$5-A79)</f>
        <v>800.3246251</v>
      </c>
      <c r="H80" s="52">
        <f t="shared" ref="H80:L80" si="128">H79</f>
        <v>0</v>
      </c>
      <c r="I80" s="52">
        <f t="shared" si="128"/>
        <v>0</v>
      </c>
      <c r="J80" s="51">
        <f t="shared" si="128"/>
        <v>25</v>
      </c>
      <c r="K80" s="52">
        <f t="shared" si="128"/>
        <v>0</v>
      </c>
      <c r="L80" s="52">
        <f t="shared" si="128"/>
        <v>0</v>
      </c>
      <c r="M80" s="51">
        <f>'AP03'!D73</f>
        <v>3122.04</v>
      </c>
      <c r="N80" s="51">
        <f>SUM('AP04'!$F80:$L80)</f>
        <v>2298.486989</v>
      </c>
      <c r="O80" s="137">
        <f>'AP04'!$M80-'AP04'!$N80</f>
        <v>823.5530107</v>
      </c>
      <c r="P80" s="51">
        <f>Q79*('AP04'!$R80-1)</f>
        <v>117.2813061</v>
      </c>
      <c r="Q80" s="51">
        <f>(Q79*'AP04'!$R80)-'AP04'!$G80-'AP04'!$O80*2</f>
        <v>233648.3337</v>
      </c>
      <c r="R80" s="53">
        <v>1.000497</v>
      </c>
      <c r="S80" s="4"/>
      <c r="T80" s="4"/>
      <c r="U80" s="4"/>
      <c r="V80" s="4"/>
      <c r="W80" s="4"/>
      <c r="X80" s="4"/>
      <c r="Y80" s="4"/>
      <c r="Z80" s="4"/>
    </row>
    <row r="81" ht="18.75" customHeight="1">
      <c r="A81" s="56">
        <f t="shared" si="2"/>
        <v>67</v>
      </c>
      <c r="B81" s="50">
        <f t="shared" si="5"/>
        <v>45281</v>
      </c>
      <c r="C81" s="116">
        <f t="shared" si="126"/>
        <v>0.0775</v>
      </c>
      <c r="D81" s="116">
        <f>((1+'AP04'!$C81)^(1/12))-1</f>
        <v>0.006239681461</v>
      </c>
      <c r="E81" s="51">
        <f t="shared" si="127"/>
        <v>2089.154398</v>
      </c>
      <c r="F81" s="51">
        <f>(Q80*'AP04'!$R81)*'AP04'!$D81</f>
        <v>1459.752904</v>
      </c>
      <c r="G81" s="51">
        <f>(Q80*'AP04'!$R81)/($I$5-A80)</f>
        <v>795.7370839</v>
      </c>
      <c r="H81" s="52">
        <f t="shared" ref="H81:L81" si="129">H80</f>
        <v>0</v>
      </c>
      <c r="I81" s="52">
        <f t="shared" si="129"/>
        <v>0</v>
      </c>
      <c r="J81" s="51">
        <f t="shared" si="129"/>
        <v>25</v>
      </c>
      <c r="K81" s="52">
        <f t="shared" si="129"/>
        <v>0</v>
      </c>
      <c r="L81" s="52">
        <f t="shared" si="129"/>
        <v>0</v>
      </c>
      <c r="M81" s="51">
        <f>'AP03'!D74</f>
        <v>3120.41</v>
      </c>
      <c r="N81" s="51">
        <f>SUM('AP04'!$F81:$L81)</f>
        <v>2280.489988</v>
      </c>
      <c r="O81" s="137">
        <f>'AP04'!$M81-'AP04'!$N81</f>
        <v>839.9200125</v>
      </c>
      <c r="P81" s="51">
        <f>Q80*('AP04'!$R81-1)</f>
        <v>298.3689222</v>
      </c>
      <c r="Q81" s="51">
        <f>(Q80*'AP04'!$R81)-'AP04'!$G81-'AP04'!$O81*2</f>
        <v>231471.1256</v>
      </c>
      <c r="R81" s="53">
        <v>1.001277</v>
      </c>
      <c r="S81" s="4"/>
      <c r="T81" s="4"/>
      <c r="U81" s="4"/>
      <c r="V81" s="4"/>
      <c r="W81" s="4"/>
      <c r="X81" s="4"/>
      <c r="Y81" s="4"/>
      <c r="Z81" s="4"/>
    </row>
    <row r="82" ht="18.75" customHeight="1">
      <c r="A82" s="56">
        <f t="shared" si="2"/>
        <v>68</v>
      </c>
      <c r="B82" s="50">
        <f t="shared" si="5"/>
        <v>45312</v>
      </c>
      <c r="C82" s="116">
        <f t="shared" si="126"/>
        <v>0.0775</v>
      </c>
      <c r="D82" s="116">
        <f>((1+'AP04'!$C82)^(1/12))-1</f>
        <v>0.006239681461</v>
      </c>
      <c r="E82" s="51">
        <f t="shared" si="127"/>
        <v>2089.154398</v>
      </c>
      <c r="F82" s="51">
        <f>(Q81*'AP04'!$R82)*'AP04'!$D82</f>
        <v>1444.976249</v>
      </c>
      <c r="G82" s="51">
        <f>(Q81*'AP04'!$R82)/($I$5-A81)</f>
        <v>790.3704033</v>
      </c>
      <c r="H82" s="52">
        <f t="shared" ref="H82:L82" si="130">H81</f>
        <v>0</v>
      </c>
      <c r="I82" s="52">
        <f t="shared" si="130"/>
        <v>0</v>
      </c>
      <c r="J82" s="51">
        <f t="shared" si="130"/>
        <v>25</v>
      </c>
      <c r="K82" s="52">
        <f t="shared" si="130"/>
        <v>0</v>
      </c>
      <c r="L82" s="52">
        <f t="shared" si="130"/>
        <v>0</v>
      </c>
      <c r="M82" s="51">
        <f>'AP03'!D75</f>
        <v>3114.42</v>
      </c>
      <c r="N82" s="51">
        <f>SUM('AP04'!$F82:$L82)</f>
        <v>2260.346652</v>
      </c>
      <c r="O82" s="137">
        <f>'AP04'!$M82-'AP04'!$N82</f>
        <v>854.0733477</v>
      </c>
      <c r="P82" s="51">
        <f>Q81*('AP04'!$R82-1)</f>
        <v>107.4026023</v>
      </c>
      <c r="Q82" s="51">
        <f>(Q81*'AP04'!$R82)-'AP04'!$G82-'AP04'!$O82*2</f>
        <v>229080.0111</v>
      </c>
      <c r="R82" s="53">
        <v>1.000464</v>
      </c>
      <c r="S82" s="4"/>
      <c r="T82" s="4"/>
      <c r="U82" s="4"/>
      <c r="V82" s="4"/>
      <c r="W82" s="4"/>
      <c r="X82" s="4"/>
      <c r="Y82" s="4"/>
      <c r="Z82" s="4"/>
    </row>
    <row r="83" ht="18.75" customHeight="1">
      <c r="A83" s="56">
        <f t="shared" si="2"/>
        <v>69</v>
      </c>
      <c r="B83" s="50">
        <f t="shared" si="5"/>
        <v>45343</v>
      </c>
      <c r="C83" s="116">
        <f t="shared" si="126"/>
        <v>0.0775</v>
      </c>
      <c r="D83" s="116">
        <f>((1+'AP04'!$C83)^(1/12))-1</f>
        <v>0.006239681461</v>
      </c>
      <c r="E83" s="51">
        <f t="shared" si="127"/>
        <v>2089.154398</v>
      </c>
      <c r="F83" s="51">
        <f>(Q82*'AP04'!$R83)*'AP04'!$D83</f>
        <v>1429.925177</v>
      </c>
      <c r="G83" s="51">
        <f>(Q82*'AP04'!$R83)/($I$5-A82)</f>
        <v>784.8163501</v>
      </c>
      <c r="H83" s="52">
        <f t="shared" ref="H83:L83" si="131">H82</f>
        <v>0</v>
      </c>
      <c r="I83" s="52">
        <f t="shared" si="131"/>
        <v>0</v>
      </c>
      <c r="J83" s="51">
        <f t="shared" si="131"/>
        <v>25</v>
      </c>
      <c r="K83" s="52">
        <f t="shared" si="131"/>
        <v>0</v>
      </c>
      <c r="L83" s="52">
        <f t="shared" si="131"/>
        <v>0</v>
      </c>
      <c r="M83" s="51">
        <f>'AP03'!D76</f>
        <v>3109.21</v>
      </c>
      <c r="N83" s="51">
        <f>SUM('AP04'!$F83:$L83)</f>
        <v>2239.741527</v>
      </c>
      <c r="O83" s="137">
        <f>'AP04'!$M83-'AP04'!$N83</f>
        <v>869.4684731</v>
      </c>
      <c r="P83" s="51">
        <f>Q82*('AP04'!$R83-1)</f>
        <v>86.36316417</v>
      </c>
      <c r="Q83" s="51">
        <f>(Q82*'AP04'!$R83)-'AP04'!$G83-'AP04'!$O83*2</f>
        <v>226642.6209</v>
      </c>
      <c r="R83" s="53">
        <v>1.000377</v>
      </c>
      <c r="S83" s="4"/>
      <c r="T83" s="4"/>
      <c r="U83" s="4"/>
      <c r="V83" s="4"/>
      <c r="W83" s="4"/>
      <c r="X83" s="4"/>
      <c r="Y83" s="4"/>
      <c r="Z83" s="4"/>
    </row>
    <row r="84" ht="18.75" customHeight="1">
      <c r="A84" s="59">
        <f t="shared" si="2"/>
        <v>70</v>
      </c>
      <c r="B84" s="60">
        <f t="shared" si="5"/>
        <v>45372</v>
      </c>
      <c r="C84" s="117">
        <f t="shared" si="126"/>
        <v>0.0775</v>
      </c>
      <c r="D84" s="117">
        <f>((1+'AP04'!$C84)^(1/12))-1</f>
        <v>0.006239681461</v>
      </c>
      <c r="E84" s="62">
        <f t="shared" si="127"/>
        <v>2089.154398</v>
      </c>
      <c r="F84" s="62">
        <f>(Q83*'AP04'!$R84)*'AP04'!$D84</f>
        <v>1415.094147</v>
      </c>
      <c r="G84" s="62">
        <f>(Q83*'AP04'!$R84)/($I$5-A83)</f>
        <v>779.3453105</v>
      </c>
      <c r="H84" s="63">
        <f t="shared" ref="H84:L84" si="132">H83</f>
        <v>0</v>
      </c>
      <c r="I84" s="63">
        <f t="shared" si="132"/>
        <v>0</v>
      </c>
      <c r="J84" s="62">
        <f t="shared" si="132"/>
        <v>25</v>
      </c>
      <c r="K84" s="63">
        <f t="shared" si="132"/>
        <v>0</v>
      </c>
      <c r="L84" s="63">
        <f t="shared" si="132"/>
        <v>0</v>
      </c>
      <c r="M84" s="62">
        <f>'AP03'!D77</f>
        <v>3103.77</v>
      </c>
      <c r="N84" s="62">
        <f>SUM('AP04'!$F84:$L84)</f>
        <v>2219.439458</v>
      </c>
      <c r="O84" s="62">
        <f>'AP04'!$M84-'AP04'!$N84</f>
        <v>884.3305421</v>
      </c>
      <c r="P84" s="62">
        <f>Q83*('AP04'!$R84-1)</f>
        <v>146.8644184</v>
      </c>
      <c r="Q84" s="62">
        <f>(Q83*'AP04'!$R84)-'AP04'!$G84-'AP04'!$O84*2</f>
        <v>224241.479</v>
      </c>
      <c r="R84" s="64">
        <v>1.000648</v>
      </c>
      <c r="S84" s="4"/>
      <c r="T84" s="65">
        <f>'AP04'!$Q84+0.02</f>
        <v>224241.499</v>
      </c>
      <c r="U84" s="4">
        <v>3103.77</v>
      </c>
      <c r="V84" s="65">
        <f>T84+U84-'AP04'!$G84</f>
        <v>226565.9236</v>
      </c>
      <c r="W84" s="4"/>
      <c r="X84" s="4"/>
      <c r="Y84" s="4"/>
      <c r="Z84" s="4"/>
    </row>
    <row r="85" ht="18.75" customHeight="1">
      <c r="A85" s="59">
        <f t="shared" si="2"/>
        <v>71</v>
      </c>
      <c r="B85" s="60">
        <f t="shared" si="5"/>
        <v>45403</v>
      </c>
      <c r="C85" s="117">
        <f t="shared" si="126"/>
        <v>0.0775</v>
      </c>
      <c r="D85" s="117">
        <f>((1+'AP04'!$C85)^(1/12))-1</f>
        <v>0.006239681461</v>
      </c>
      <c r="E85" s="62">
        <f t="shared" si="127"/>
        <v>2089.154398</v>
      </c>
      <c r="F85" s="62">
        <f>(Q84*'AP04'!$R85)*'AP04'!$D85</f>
        <v>1400.074094</v>
      </c>
      <c r="G85" s="62">
        <f>(Q84*'AP04'!$R85)/($I$5-A84)</f>
        <v>773.732078</v>
      </c>
      <c r="H85" s="63">
        <f t="shared" ref="H85:L85" si="133">H84</f>
        <v>0</v>
      </c>
      <c r="I85" s="63">
        <f t="shared" si="133"/>
        <v>0</v>
      </c>
      <c r="J85" s="62">
        <f t="shared" si="133"/>
        <v>25</v>
      </c>
      <c r="K85" s="63">
        <f t="shared" si="133"/>
        <v>0</v>
      </c>
      <c r="L85" s="63">
        <f t="shared" si="133"/>
        <v>0</v>
      </c>
      <c r="M85" s="62">
        <f>'AP03'!D78</f>
        <v>3135.52</v>
      </c>
      <c r="N85" s="62">
        <f>SUM('AP04'!$F85:$L85)</f>
        <v>2198.806172</v>
      </c>
      <c r="O85" s="62">
        <f>'AP04'!$M85-'AP04'!$N85</f>
        <v>936.7138282</v>
      </c>
      <c r="P85" s="62">
        <f>Q84*('AP04'!$R85-1)</f>
        <v>140.8236488</v>
      </c>
      <c r="Q85" s="62">
        <f>(Q84*'AP04'!$R85)+'AP04'!$F85</f>
        <v>225782.3767</v>
      </c>
      <c r="R85" s="64">
        <v>1.000628</v>
      </c>
      <c r="S85" s="4"/>
      <c r="T85" s="65">
        <f>(T84*'AP04'!$R85)+(U84*'AP04'!$R85)</f>
        <v>227488.0418</v>
      </c>
      <c r="U85" s="4">
        <f>2115.97+871.08+51.45+40.27+25</f>
        <v>3103.77</v>
      </c>
      <c r="V85" s="4"/>
      <c r="W85" s="4"/>
      <c r="X85" s="4"/>
      <c r="Y85" s="4"/>
      <c r="Z85" s="4"/>
    </row>
    <row r="86" ht="18.75" customHeight="1">
      <c r="A86" s="56">
        <f t="shared" si="2"/>
        <v>72</v>
      </c>
      <c r="B86" s="50">
        <f t="shared" si="5"/>
        <v>45433</v>
      </c>
      <c r="C86" s="116">
        <f t="shared" si="126"/>
        <v>0.0775</v>
      </c>
      <c r="D86" s="116">
        <f>((1+'AP04'!$C86)^(1/12))-1</f>
        <v>0.006239681461</v>
      </c>
      <c r="E86" s="51">
        <f t="shared" si="127"/>
        <v>2089.154398</v>
      </c>
      <c r="F86" s="51">
        <f>(Q85*'AP04'!$R86)*'AP04'!$D86</f>
        <v>1409.321508</v>
      </c>
      <c r="G86" s="51">
        <f>(Q85*'AP04'!$R86)/($I$5-A85)</f>
        <v>781.5374938</v>
      </c>
      <c r="H86" s="52">
        <f t="shared" ref="H86:L86" si="134">H85</f>
        <v>0</v>
      </c>
      <c r="I86" s="52">
        <f t="shared" si="134"/>
        <v>0</v>
      </c>
      <c r="J86" s="51">
        <f t="shared" si="134"/>
        <v>25</v>
      </c>
      <c r="K86" s="52">
        <f t="shared" si="134"/>
        <v>0</v>
      </c>
      <c r="L86" s="52">
        <f t="shared" si="134"/>
        <v>0</v>
      </c>
      <c r="M86" s="51">
        <f>'AP03'!D79</f>
        <v>3977.85</v>
      </c>
      <c r="N86" s="51">
        <f>SUM('AP04'!$F86:$L86)</f>
        <v>2215.859002</v>
      </c>
      <c r="O86" s="137">
        <f>'AP04'!$M86-'AP04'!$N86</f>
        <v>1761.990998</v>
      </c>
      <c r="P86" s="51">
        <f>Q85*('AP04'!$R86-1)</f>
        <v>81.95900274</v>
      </c>
      <c r="Q86" s="51">
        <f>(Q85*'AP04'!$R86)+'AP04'!$F86</f>
        <v>227273.6572</v>
      </c>
      <c r="R86" s="53">
        <v>1.000363</v>
      </c>
      <c r="S86" s="4"/>
      <c r="T86" s="65"/>
      <c r="U86" s="4"/>
      <c r="V86" s="4"/>
      <c r="W86" s="4"/>
      <c r="X86" s="4"/>
      <c r="Y86" s="4"/>
      <c r="Z86" s="4"/>
    </row>
    <row r="87" ht="18.75" customHeight="1">
      <c r="A87" s="56">
        <f t="shared" si="2"/>
        <v>73</v>
      </c>
      <c r="B87" s="50">
        <f t="shared" si="5"/>
        <v>45464</v>
      </c>
      <c r="C87" s="116">
        <f t="shared" si="126"/>
        <v>0.0775</v>
      </c>
      <c r="D87" s="116">
        <f>((1+'AP04'!$C87)^(1/12))-1</f>
        <v>0.006239681461</v>
      </c>
      <c r="E87" s="51">
        <f t="shared" si="127"/>
        <v>2089.154398</v>
      </c>
      <c r="F87" s="51">
        <f>(Q86*'AP04'!$R87)*'AP04'!$D87</f>
        <v>1419.42131</v>
      </c>
      <c r="G87" s="51">
        <f>(Q86*'AP04'!$R87)/($I$5-A86)</f>
        <v>789.8714453</v>
      </c>
      <c r="H87" s="52">
        <f t="shared" ref="H87:L87" si="135">H86</f>
        <v>0</v>
      </c>
      <c r="I87" s="52">
        <f t="shared" si="135"/>
        <v>0</v>
      </c>
      <c r="J87" s="51">
        <f t="shared" si="135"/>
        <v>25</v>
      </c>
      <c r="K87" s="52">
        <f t="shared" si="135"/>
        <v>0</v>
      </c>
      <c r="L87" s="52">
        <f t="shared" si="135"/>
        <v>0</v>
      </c>
      <c r="M87" s="51">
        <f>'AP03'!D80</f>
        <v>3898.81</v>
      </c>
      <c r="N87" s="51">
        <f>SUM('AP04'!$F87:$L87)</f>
        <v>2234.292755</v>
      </c>
      <c r="O87" s="137">
        <f>'AP04'!$M87-'AP04'!$N87</f>
        <v>1664.517245</v>
      </c>
      <c r="P87" s="51">
        <f>Q86*('AP04'!$R87-1)</f>
        <v>209.3190383</v>
      </c>
      <c r="Q87" s="51">
        <f>(Q86*'AP04'!$R87)-'AP04'!$G87-'AP04'!$O87*2</f>
        <v>223364.0703</v>
      </c>
      <c r="R87" s="53">
        <v>1.000921</v>
      </c>
      <c r="S87" s="4"/>
      <c r="T87" s="65">
        <v>254994.68</v>
      </c>
      <c r="U87" s="4"/>
      <c r="V87" s="4"/>
      <c r="W87" s="4"/>
      <c r="X87" s="4"/>
      <c r="Y87" s="4"/>
      <c r="Z87" s="4"/>
    </row>
    <row r="88" ht="18.75" customHeight="1">
      <c r="A88" s="56">
        <f t="shared" si="2"/>
        <v>74</v>
      </c>
      <c r="B88" s="50">
        <f t="shared" si="5"/>
        <v>45494</v>
      </c>
      <c r="C88" s="116">
        <f t="shared" si="126"/>
        <v>0.0775</v>
      </c>
      <c r="D88" s="116">
        <f>((1+'AP04'!$C88)^(1/12))-1</f>
        <v>0.006239681461</v>
      </c>
      <c r="E88" s="51">
        <f t="shared" si="127"/>
        <v>2089.154398</v>
      </c>
      <c r="F88" s="51">
        <f>(Q87*'AP04'!$R88)*'AP04'!$D88</f>
        <v>1394.630748</v>
      </c>
      <c r="G88" s="51">
        <f>(Q87*'AP04'!$R88)/($I$5-A87)</f>
        <v>778.7802336</v>
      </c>
      <c r="H88" s="52">
        <f t="shared" ref="H88:L88" si="136">H87</f>
        <v>0</v>
      </c>
      <c r="I88" s="52">
        <f t="shared" si="136"/>
        <v>0</v>
      </c>
      <c r="J88" s="51">
        <f t="shared" si="136"/>
        <v>25</v>
      </c>
      <c r="K88" s="52">
        <f t="shared" si="136"/>
        <v>0</v>
      </c>
      <c r="L88" s="52">
        <f t="shared" si="136"/>
        <v>0</v>
      </c>
      <c r="M88" s="51">
        <f>'AP03'!D81</f>
        <v>3822.16</v>
      </c>
      <c r="N88" s="51">
        <f>SUM('AP04'!$F88:$L88)</f>
        <v>2198.410982</v>
      </c>
      <c r="O88" s="137">
        <f>'AP04'!$M88-'AP04'!$N88</f>
        <v>1623.749018</v>
      </c>
      <c r="P88" s="51">
        <f>Q87*('AP04'!$R88-1)</f>
        <v>145.8567379</v>
      </c>
      <c r="Q88" s="51">
        <f>(Q87*'AP04'!$R88)-'AP04'!$G88-'AP04'!$O88*2</f>
        <v>219483.6488</v>
      </c>
      <c r="R88" s="53">
        <v>1.000653</v>
      </c>
      <c r="S88" s="4"/>
      <c r="T88" s="65">
        <f>T87-T84</f>
        <v>30753.18104</v>
      </c>
      <c r="U88" s="4"/>
      <c r="V88" s="4"/>
      <c r="W88" s="4"/>
      <c r="X88" s="4"/>
      <c r="Y88" s="4"/>
      <c r="Z88" s="4"/>
    </row>
    <row r="89" ht="18.75" customHeight="1">
      <c r="A89" s="56">
        <f t="shared" si="2"/>
        <v>75</v>
      </c>
      <c r="B89" s="50">
        <f t="shared" si="5"/>
        <v>45525</v>
      </c>
      <c r="C89" s="116">
        <f t="shared" si="126"/>
        <v>0.0775</v>
      </c>
      <c r="D89" s="116">
        <f>((1+'AP04'!$C89)^(1/12))-1</f>
        <v>0.006239681461</v>
      </c>
      <c r="E89" s="51">
        <f t="shared" si="127"/>
        <v>2089.154398</v>
      </c>
      <c r="F89" s="51">
        <f>(Q88*'AP04'!$R89)*'AP04'!$D89</f>
        <v>1370.477666</v>
      </c>
      <c r="G89" s="51">
        <f>(Q88*'AP04'!$R89)/($I$5-A88)</f>
        <v>767.9686825</v>
      </c>
      <c r="H89" s="52">
        <f t="shared" ref="H89:L89" si="137">H88</f>
        <v>0</v>
      </c>
      <c r="I89" s="52">
        <f t="shared" si="137"/>
        <v>0</v>
      </c>
      <c r="J89" s="51">
        <f t="shared" si="137"/>
        <v>25</v>
      </c>
      <c r="K89" s="52">
        <f t="shared" si="137"/>
        <v>0</v>
      </c>
      <c r="L89" s="52">
        <f t="shared" si="137"/>
        <v>0</v>
      </c>
      <c r="M89" s="51">
        <f>'AP03'!D82</f>
        <v>3745.51</v>
      </c>
      <c r="N89" s="51">
        <f>SUM('AP04'!$F89:$L89)</f>
        <v>2163.446349</v>
      </c>
      <c r="O89" s="137">
        <f>'AP04'!$M89-'AP04'!$N89</f>
        <v>1582.063651</v>
      </c>
      <c r="P89" s="51">
        <f>Q88*('AP04'!$R89-1)</f>
        <v>155.3944233</v>
      </c>
      <c r="Q89" s="51">
        <f>(Q88*'AP04'!$R89)-'AP04'!$G89-'AP04'!$O89*2</f>
        <v>215706.9472</v>
      </c>
      <c r="R89" s="53">
        <v>1.000708</v>
      </c>
      <c r="S89" s="4"/>
      <c r="T89" s="65">
        <f>T88-2115.97</f>
        <v>28637.21104</v>
      </c>
      <c r="U89" s="4"/>
      <c r="V89" s="4"/>
      <c r="W89" s="4"/>
      <c r="X89" s="4"/>
      <c r="Y89" s="4"/>
      <c r="Z89" s="4"/>
    </row>
    <row r="90" ht="18.75" customHeight="1">
      <c r="A90" s="56">
        <f t="shared" si="2"/>
        <v>76</v>
      </c>
      <c r="B90" s="50">
        <f t="shared" si="5"/>
        <v>45556</v>
      </c>
      <c r="C90" s="116">
        <f t="shared" si="126"/>
        <v>0.0775</v>
      </c>
      <c r="D90" s="116">
        <f>((1+'AP04'!$C90)^(1/12))-1</f>
        <v>0.006239681461</v>
      </c>
      <c r="E90" s="51">
        <f t="shared" si="127"/>
        <v>2089.154398</v>
      </c>
      <c r="F90" s="51">
        <f>(Q89*'AP04'!$R90)*'AP04'!$D90</f>
        <v>1346.945367</v>
      </c>
      <c r="G90" s="51">
        <f>(Q89*'AP04'!$R90)/($I$5-A89)</f>
        <v>757.430347</v>
      </c>
      <c r="H90" s="52">
        <f t="shared" ref="H90:L90" si="138">H89</f>
        <v>0</v>
      </c>
      <c r="I90" s="52">
        <f t="shared" si="138"/>
        <v>0</v>
      </c>
      <c r="J90" s="51">
        <f t="shared" si="138"/>
        <v>25</v>
      </c>
      <c r="K90" s="52">
        <f t="shared" si="138"/>
        <v>0</v>
      </c>
      <c r="L90" s="52">
        <f t="shared" si="138"/>
        <v>0</v>
      </c>
      <c r="M90" s="51">
        <f>'AP03'!D83</f>
        <v>3670.04</v>
      </c>
      <c r="N90" s="51">
        <f>SUM('AP04'!$F90:$L90)</f>
        <v>2129.375714</v>
      </c>
      <c r="O90" s="137">
        <f>'AP04'!$M90-'AP04'!$N90</f>
        <v>1540.664286</v>
      </c>
      <c r="P90" s="51">
        <f>Q89*('AP04'!$R90-1)</f>
        <v>160.7016757</v>
      </c>
      <c r="Q90" s="51">
        <f>(Q89*'AP04'!$R90)-'AP04'!$G90-'AP04'!$O90*2</f>
        <v>212028.89</v>
      </c>
      <c r="R90" s="53">
        <v>1.000745</v>
      </c>
      <c r="S90" s="4"/>
      <c r="T90" s="4">
        <f>51.45+40.27+51.94+40.3+50</f>
        <v>233.96</v>
      </c>
      <c r="U90" s="4"/>
      <c r="V90" s="4"/>
      <c r="W90" s="4"/>
      <c r="X90" s="4"/>
      <c r="Y90" s="4"/>
      <c r="Z90" s="4"/>
    </row>
    <row r="91" ht="18.75" customHeight="1">
      <c r="A91" s="56">
        <f t="shared" si="2"/>
        <v>77</v>
      </c>
      <c r="B91" s="50">
        <f t="shared" si="5"/>
        <v>45586</v>
      </c>
      <c r="C91" s="116">
        <f t="shared" si="126"/>
        <v>0.0775</v>
      </c>
      <c r="D91" s="116">
        <f>((1+'AP04'!$C91)^(1/12))-1</f>
        <v>0.006239681461</v>
      </c>
      <c r="E91" s="51">
        <f t="shared" si="127"/>
        <v>2089.154398</v>
      </c>
      <c r="F91" s="51">
        <f>(Q90*'AP04'!$R91)*'AP04'!$D91</f>
        <v>1323.872524</v>
      </c>
      <c r="G91" s="51">
        <f>(Q90*'AP04'!$R91)/($I$5-A90)</f>
        <v>747.0770746</v>
      </c>
      <c r="H91" s="52">
        <f t="shared" ref="H91:L91" si="139">H90</f>
        <v>0</v>
      </c>
      <c r="I91" s="52">
        <f t="shared" si="139"/>
        <v>0</v>
      </c>
      <c r="J91" s="51">
        <f t="shared" si="139"/>
        <v>25</v>
      </c>
      <c r="K91" s="52">
        <f t="shared" si="139"/>
        <v>0</v>
      </c>
      <c r="L91" s="52">
        <f t="shared" si="139"/>
        <v>0</v>
      </c>
      <c r="M91" s="51">
        <f>'AP03'!D84</f>
        <v>3596.87</v>
      </c>
      <c r="N91" s="51">
        <f>SUM('AP04'!$F91:$L91)</f>
        <v>2095.949599</v>
      </c>
      <c r="O91" s="137">
        <f>'AP04'!$M91-'AP04'!$N91</f>
        <v>1500.920401</v>
      </c>
      <c r="P91" s="51">
        <f>Q90*('AP04'!$R91-1)</f>
        <v>140.9992118</v>
      </c>
      <c r="Q91" s="51">
        <f>(Q90*'AP04'!$R91)-'AP04'!$G91-'AP04'!$O91*2</f>
        <v>208420.9713</v>
      </c>
      <c r="R91" s="53">
        <v>1.000665</v>
      </c>
      <c r="S91" s="4"/>
      <c r="T91" s="4"/>
      <c r="U91" s="4"/>
      <c r="V91" s="4"/>
      <c r="W91" s="4"/>
      <c r="X91" s="4"/>
      <c r="Y91" s="4"/>
      <c r="Z91" s="4"/>
    </row>
    <row r="92" ht="18.75" customHeight="1">
      <c r="A92" s="56">
        <f t="shared" si="2"/>
        <v>78</v>
      </c>
      <c r="B92" s="50">
        <f t="shared" si="5"/>
        <v>45617</v>
      </c>
      <c r="C92" s="116">
        <f t="shared" si="126"/>
        <v>0.0775</v>
      </c>
      <c r="D92" s="116">
        <f>((1+'AP04'!$C92)^(1/12))-1</f>
        <v>0.006239681461</v>
      </c>
      <c r="E92" s="51">
        <f t="shared" si="127"/>
        <v>2089.154398</v>
      </c>
      <c r="F92" s="51">
        <f>(Q91*'AP04'!$R92)*'AP04'!$D92</f>
        <v>1301.420718</v>
      </c>
      <c r="G92" s="51">
        <f>(Q91*'AP04'!$R92)/($I$5-A91)</f>
        <v>737.002331</v>
      </c>
      <c r="H92" s="52">
        <f t="shared" ref="H92:L92" si="140">H91</f>
        <v>0</v>
      </c>
      <c r="I92" s="52">
        <f t="shared" si="140"/>
        <v>0</v>
      </c>
      <c r="J92" s="51">
        <f t="shared" si="140"/>
        <v>25</v>
      </c>
      <c r="K92" s="52">
        <f t="shared" si="140"/>
        <v>0</v>
      </c>
      <c r="L92" s="52">
        <f t="shared" si="140"/>
        <v>0</v>
      </c>
      <c r="M92" s="51">
        <f>'AP03'!D85</f>
        <v>3523.71</v>
      </c>
      <c r="N92" s="51">
        <f>SUM('AP04'!$F92:$L92)</f>
        <v>2063.423049</v>
      </c>
      <c r="O92" s="137">
        <f>'AP04'!$M92-'AP04'!$N92</f>
        <v>1460.286951</v>
      </c>
      <c r="P92" s="51">
        <f>Q91*('AP04'!$R92-1)</f>
        <v>150.6883623</v>
      </c>
      <c r="Q92" s="51">
        <f>(Q91*'AP04'!$R92)-'AP04'!$G92-'AP04'!$O92*2</f>
        <v>204914.0834</v>
      </c>
      <c r="R92" s="53">
        <v>1.000723</v>
      </c>
      <c r="S92" s="4"/>
      <c r="T92" s="4"/>
      <c r="U92" s="4"/>
      <c r="V92" s="4"/>
      <c r="W92" s="4"/>
      <c r="X92" s="4"/>
      <c r="Y92" s="4"/>
      <c r="Z92" s="4"/>
    </row>
    <row r="93" ht="18.75" customHeight="1">
      <c r="A93" s="56">
        <f t="shared" si="2"/>
        <v>79</v>
      </c>
      <c r="B93" s="50">
        <f t="shared" si="5"/>
        <v>45647</v>
      </c>
      <c r="C93" s="116">
        <f t="shared" si="126"/>
        <v>0.0775</v>
      </c>
      <c r="D93" s="116">
        <f>((1+'AP04'!$C93)^(1/12))-1</f>
        <v>0.006239681461</v>
      </c>
      <c r="E93" s="51">
        <f t="shared" si="127"/>
        <v>2089.154398</v>
      </c>
      <c r="F93" s="51">
        <f>(Q92*'AP04'!$R93)*'AP04'!$D93</f>
        <v>1279.875928</v>
      </c>
      <c r="G93" s="51">
        <f>(Q92*'AP04'!$R93)/($I$5-A92)</f>
        <v>727.371605</v>
      </c>
      <c r="H93" s="52">
        <f t="shared" ref="H93:L93" si="141">H92</f>
        <v>0</v>
      </c>
      <c r="I93" s="52">
        <f t="shared" si="141"/>
        <v>0</v>
      </c>
      <c r="J93" s="51">
        <f t="shared" si="141"/>
        <v>25</v>
      </c>
      <c r="K93" s="52">
        <f t="shared" si="141"/>
        <v>0</v>
      </c>
      <c r="L93" s="52">
        <f t="shared" si="141"/>
        <v>0</v>
      </c>
      <c r="M93" s="51">
        <f>'AP03'!D86</f>
        <v>3455.26</v>
      </c>
      <c r="N93" s="51">
        <f>SUM('AP04'!$F93:$L93)</f>
        <v>2032.247533</v>
      </c>
      <c r="O93" s="137">
        <f>'AP04'!$M93-'AP04'!$N93</f>
        <v>1423.012467</v>
      </c>
      <c r="P93" s="51">
        <f>Q92*('AP04'!$R93-1)</f>
        <v>204.7091694</v>
      </c>
      <c r="Q93" s="51">
        <f>(Q92*'AP04'!$R93)-'AP04'!$G93-'AP04'!$O93*2</f>
        <v>201545.3961</v>
      </c>
      <c r="R93" s="53">
        <v>1.000999</v>
      </c>
      <c r="S93" s="4"/>
      <c r="T93" s="4"/>
      <c r="U93" s="4"/>
      <c r="V93" s="4"/>
      <c r="W93" s="4"/>
      <c r="X93" s="4"/>
      <c r="Y93" s="4"/>
      <c r="Z93" s="4"/>
    </row>
    <row r="94" ht="18.75" customHeight="1">
      <c r="A94" s="56">
        <f t="shared" si="2"/>
        <v>80</v>
      </c>
      <c r="B94" s="50">
        <f t="shared" si="5"/>
        <v>45678</v>
      </c>
      <c r="C94" s="116">
        <f t="shared" si="126"/>
        <v>0.0775</v>
      </c>
      <c r="D94" s="116">
        <f>((1+'AP04'!$C94)^(1/12))-1</f>
        <v>0.006239681461</v>
      </c>
      <c r="E94" s="51">
        <f t="shared" si="127"/>
        <v>2089.154398</v>
      </c>
      <c r="F94" s="51">
        <f>(Q93*'AP04'!$R94)*'AP04'!$D94</f>
        <v>1258.585135</v>
      </c>
      <c r="G94" s="51">
        <f>(Q93*'AP04'!$R94)/($I$5-A93)</f>
        <v>717.8171971</v>
      </c>
      <c r="H94" s="52">
        <f t="shared" ref="H94:L94" si="142">H93</f>
        <v>0</v>
      </c>
      <c r="I94" s="52">
        <f t="shared" si="142"/>
        <v>0</v>
      </c>
      <c r="J94" s="51">
        <f t="shared" si="142"/>
        <v>25</v>
      </c>
      <c r="K94" s="52">
        <f t="shared" si="142"/>
        <v>0</v>
      </c>
      <c r="L94" s="52">
        <f t="shared" si="142"/>
        <v>0</v>
      </c>
      <c r="M94" s="51">
        <f>'AP03'!D87</f>
        <v>3384.28</v>
      </c>
      <c r="N94" s="51">
        <f>SUM('AP04'!$F94:$L94)</f>
        <v>2001.402332</v>
      </c>
      <c r="O94" s="137">
        <f>'AP04'!$M94-'AP04'!$N94</f>
        <v>1382.877668</v>
      </c>
      <c r="P94" s="51">
        <f>Q93*('AP04'!$R94-1)</f>
        <v>161.2363169</v>
      </c>
      <c r="Q94" s="51">
        <f>(Q93*'AP04'!$R94)-'AP04'!$G94-'AP04'!$O94*2</f>
        <v>198223.0599</v>
      </c>
      <c r="R94" s="53">
        <v>1.0008</v>
      </c>
      <c r="S94" s="4"/>
      <c r="T94" s="4"/>
      <c r="U94" s="4"/>
      <c r="V94" s="4"/>
      <c r="W94" s="4"/>
      <c r="X94" s="4"/>
      <c r="Y94" s="4"/>
      <c r="Z94" s="4"/>
    </row>
    <row r="95" ht="18.75" customHeight="1">
      <c r="A95" s="56">
        <f t="shared" si="2"/>
        <v>81</v>
      </c>
      <c r="B95" s="50">
        <f t="shared" si="5"/>
        <v>45709</v>
      </c>
      <c r="C95" s="116">
        <f t="shared" si="126"/>
        <v>0.0775</v>
      </c>
      <c r="D95" s="116">
        <f>((1+'AP04'!$C95)^(1/12))-1</f>
        <v>0.006239681461</v>
      </c>
      <c r="E95" s="51">
        <f t="shared" si="127"/>
        <v>2089.154398</v>
      </c>
      <c r="F95" s="51">
        <f>(Q94*'AP04'!$R95)*'AP04'!$D95</f>
        <v>1238.966237</v>
      </c>
      <c r="G95" s="51">
        <f>(Q94*'AP04'!$R95)/($I$5-A94)</f>
        <v>709.1514919</v>
      </c>
      <c r="H95" s="52">
        <f t="shared" ref="H95:L95" si="143">H94</f>
        <v>0</v>
      </c>
      <c r="I95" s="52">
        <f t="shared" si="143"/>
        <v>0</v>
      </c>
      <c r="J95" s="51">
        <f t="shared" si="143"/>
        <v>25</v>
      </c>
      <c r="K95" s="52">
        <f t="shared" si="143"/>
        <v>0</v>
      </c>
      <c r="L95" s="52">
        <f t="shared" si="143"/>
        <v>0</v>
      </c>
      <c r="M95" s="51">
        <f>'AP03'!D88</f>
        <v>3326.09</v>
      </c>
      <c r="N95" s="51">
        <f>SUM('AP04'!$F95:$L95)</f>
        <v>1973.117729</v>
      </c>
      <c r="O95" s="137">
        <f>'AP04'!$M95-'AP04'!$N95</f>
        <v>1352.972271</v>
      </c>
      <c r="P95" s="51">
        <f>Q94*('AP04'!$R95-1)</f>
        <v>339.3578785</v>
      </c>
      <c r="Q95" s="51">
        <f>(Q94*'AP04'!$R95)-'AP04'!$G95-'AP04'!$O95*2</f>
        <v>195147.3217</v>
      </c>
      <c r="R95" s="53">
        <v>1.001712</v>
      </c>
      <c r="S95" s="4"/>
      <c r="T95" s="4"/>
      <c r="U95" s="4"/>
      <c r="V95" s="4"/>
      <c r="W95" s="4"/>
      <c r="X95" s="4"/>
      <c r="Y95" s="4"/>
      <c r="Z95" s="4"/>
    </row>
    <row r="96" ht="18.75" customHeight="1">
      <c r="A96" s="56">
        <f t="shared" si="2"/>
        <v>82</v>
      </c>
      <c r="B96" s="67">
        <f t="shared" si="5"/>
        <v>45737</v>
      </c>
      <c r="C96" s="118">
        <f t="shared" si="126"/>
        <v>0.0775</v>
      </c>
      <c r="D96" s="118">
        <f>((1+'AP04'!$C96)^(1/12))-1</f>
        <v>0.006239681461</v>
      </c>
      <c r="E96" s="69">
        <f t="shared" si="127"/>
        <v>2089.154398</v>
      </c>
      <c r="F96" s="69">
        <f>(Q95*'AP04'!$R96)*'AP04'!$D96</f>
        <v>1218.561845</v>
      </c>
      <c r="G96" s="69">
        <f>(Q95*'AP04'!$R96)/($I$5-A95)</f>
        <v>699.9724594</v>
      </c>
      <c r="H96" s="57">
        <f t="shared" ref="H96:L96" si="144">H95</f>
        <v>0</v>
      </c>
      <c r="I96" s="57">
        <f t="shared" si="144"/>
        <v>0</v>
      </c>
      <c r="J96" s="69">
        <f t="shared" si="144"/>
        <v>25</v>
      </c>
      <c r="K96" s="57">
        <f t="shared" si="144"/>
        <v>0</v>
      </c>
      <c r="L96" s="57">
        <f t="shared" si="144"/>
        <v>0</v>
      </c>
      <c r="M96" s="69">
        <f>'AP03'!D89</f>
        <v>3260.28</v>
      </c>
      <c r="N96" s="69">
        <f>SUM('AP04'!$F96:$L96)</f>
        <v>1943.534304</v>
      </c>
      <c r="O96" s="138">
        <f>'AP04'!$M96-'AP04'!$N96</f>
        <v>1316.745696</v>
      </c>
      <c r="P96" s="69">
        <f>Q95*('AP04'!$R96-1)</f>
        <v>144.99446</v>
      </c>
      <c r="Q96" s="51">
        <f>(Q95*'AP04'!$R96)-'AP04'!$G96-'AP04'!$O96*2</f>
        <v>191958.8523</v>
      </c>
      <c r="R96" s="71">
        <v>1.000743</v>
      </c>
      <c r="S96" s="4"/>
      <c r="T96" s="4"/>
      <c r="U96" s="4"/>
      <c r="V96" s="4"/>
      <c r="W96" s="4"/>
      <c r="X96" s="4"/>
      <c r="Y96" s="4"/>
      <c r="Z96" s="4"/>
    </row>
    <row r="97" ht="18.75" customHeight="1">
      <c r="A97" s="72">
        <f t="shared" si="2"/>
        <v>83</v>
      </c>
      <c r="B97" s="73">
        <f t="shared" si="5"/>
        <v>45768</v>
      </c>
      <c r="C97" s="119">
        <f t="shared" si="126"/>
        <v>0.0775</v>
      </c>
      <c r="D97" s="119">
        <f>((1+'AP04'!$C97)^(1/12))-1</f>
        <v>0.006239681461</v>
      </c>
      <c r="E97" s="75">
        <f t="shared" si="127"/>
        <v>2089.154398</v>
      </c>
      <c r="F97" s="75">
        <f>(Q96*'AP04'!$R97)*'AP04'!$D97</f>
        <v>1199.783914</v>
      </c>
      <c r="G97" s="75">
        <f>(Q96*'AP04'!$R97)/($I$5-A96)</f>
        <v>691.6650318</v>
      </c>
      <c r="H97" s="76">
        <f t="shared" ref="H97:L97" si="145">H96</f>
        <v>0</v>
      </c>
      <c r="I97" s="76">
        <f t="shared" si="145"/>
        <v>0</v>
      </c>
      <c r="J97" s="75">
        <f t="shared" si="145"/>
        <v>25</v>
      </c>
      <c r="K97" s="76">
        <f t="shared" si="145"/>
        <v>0</v>
      </c>
      <c r="L97" s="76">
        <f t="shared" si="145"/>
        <v>0</v>
      </c>
      <c r="M97" s="75">
        <f>'AP03'!D90</f>
        <v>3127.79</v>
      </c>
      <c r="N97" s="75">
        <f>SUM('AP04'!$F97:$L97)</f>
        <v>1916.448946</v>
      </c>
      <c r="O97" s="120">
        <f>'AP04'!$M97-'AP04'!$N97</f>
        <v>1211.341054</v>
      </c>
      <c r="P97" s="75">
        <f>Q96*('AP04'!$R97-1)</f>
        <v>324.0265427</v>
      </c>
      <c r="Q97" s="120">
        <f>(Q96*'AP04'!$R97)-'AP04'!$G97-'AP04'!$O97*2</f>
        <v>189168.5317</v>
      </c>
      <c r="R97" s="78">
        <v>1.001688</v>
      </c>
      <c r="S97" s="4"/>
      <c r="T97" s="4">
        <f>360-'AP04'!$A97</f>
        <v>277</v>
      </c>
      <c r="U97" s="4"/>
      <c r="V97" s="4"/>
      <c r="W97" s="4"/>
      <c r="X97" s="4"/>
      <c r="Y97" s="4"/>
      <c r="Z97" s="4"/>
    </row>
    <row r="98" ht="18.75" customHeight="1">
      <c r="A98" s="80">
        <f t="shared" si="2"/>
        <v>84</v>
      </c>
      <c r="B98" s="42">
        <f t="shared" si="5"/>
        <v>45798</v>
      </c>
      <c r="C98" s="121">
        <f t="shared" si="126"/>
        <v>0.0775</v>
      </c>
      <c r="D98" s="121">
        <f>((1+'AP04'!$C98)^(1/12))-1</f>
        <v>0.006239681461</v>
      </c>
      <c r="E98" s="45">
        <f t="shared" si="127"/>
        <v>2089.154398</v>
      </c>
      <c r="F98" s="45">
        <f>(Q97*'AP04'!$R98)*'AP04'!$D98</f>
        <v>1180.35138</v>
      </c>
      <c r="G98" s="45">
        <f>(Q97*'AP04'!$R98)/($I$5-A97)</f>
        <v>682.918887</v>
      </c>
      <c r="H98" s="82">
        <f t="shared" ref="H98:L98" si="146">H97</f>
        <v>0</v>
      </c>
      <c r="I98" s="82">
        <f t="shared" si="146"/>
        <v>0</v>
      </c>
      <c r="J98" s="45">
        <f t="shared" si="146"/>
        <v>25</v>
      </c>
      <c r="K98" s="82">
        <f t="shared" si="146"/>
        <v>0</v>
      </c>
      <c r="L98" s="82">
        <f t="shared" si="146"/>
        <v>0</v>
      </c>
      <c r="M98" s="82"/>
      <c r="N98" s="139">
        <f>SUM('AP04'!$F98:$L98)</f>
        <v>1888.270267</v>
      </c>
      <c r="O98" s="45"/>
      <c r="P98" s="45">
        <f>Q97*('AP04'!$R98-1)</f>
        <v>0</v>
      </c>
      <c r="Q98" s="45">
        <f>(Q97*'AP04'!$R98)-'AP04'!$G98</f>
        <v>188485.6128</v>
      </c>
      <c r="R98" s="83">
        <v>1.0</v>
      </c>
      <c r="S98" s="4"/>
      <c r="T98" s="4"/>
      <c r="U98" s="4"/>
      <c r="V98" s="4"/>
      <c r="W98" s="4"/>
      <c r="X98" s="4"/>
      <c r="Y98" s="4"/>
      <c r="Z98" s="4"/>
    </row>
    <row r="99" ht="18.75" customHeight="1">
      <c r="A99" s="56">
        <f t="shared" si="2"/>
        <v>85</v>
      </c>
      <c r="B99" s="50">
        <f t="shared" si="5"/>
        <v>45829</v>
      </c>
      <c r="C99" s="116">
        <f t="shared" si="126"/>
        <v>0.0775</v>
      </c>
      <c r="D99" s="116">
        <f>((1+'AP04'!$C99)^(1/12))-1</f>
        <v>0.006239681461</v>
      </c>
      <c r="E99" s="51">
        <f t="shared" si="127"/>
        <v>2089.154398</v>
      </c>
      <c r="F99" s="51">
        <f>(Q98*'AP04'!$R99)*'AP04'!$D99</f>
        <v>1176.090184</v>
      </c>
      <c r="G99" s="51">
        <f>(Q98*'AP04'!$R99)/($I$5-A98)</f>
        <v>682.918887</v>
      </c>
      <c r="H99" s="52">
        <f t="shared" ref="H99:L99" si="147">H98</f>
        <v>0</v>
      </c>
      <c r="I99" s="52">
        <f t="shared" si="147"/>
        <v>0</v>
      </c>
      <c r="J99" s="51">
        <f t="shared" si="147"/>
        <v>25</v>
      </c>
      <c r="K99" s="52">
        <f t="shared" si="147"/>
        <v>0</v>
      </c>
      <c r="L99" s="52">
        <f t="shared" si="147"/>
        <v>0</v>
      </c>
      <c r="M99" s="52"/>
      <c r="N99" s="85">
        <f>SUM('AP04'!$F99:$L99)</f>
        <v>1884.009071</v>
      </c>
      <c r="O99" s="51"/>
      <c r="P99" s="51">
        <f>Q98*('AP04'!$R99-1)</f>
        <v>0</v>
      </c>
      <c r="Q99" s="51">
        <f>(Q98*'AP04'!$R99)-'AP04'!$G99</f>
        <v>187802.6939</v>
      </c>
      <c r="R99" s="53">
        <f t="shared" ref="R99:R374" si="149">R98</f>
        <v>1</v>
      </c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56">
        <f t="shared" si="2"/>
        <v>86</v>
      </c>
      <c r="B100" s="50">
        <f t="shared" si="5"/>
        <v>45859</v>
      </c>
      <c r="C100" s="116">
        <f t="shared" si="126"/>
        <v>0.0775</v>
      </c>
      <c r="D100" s="116">
        <f>((1+'AP04'!$C100)^(1/12))-1</f>
        <v>0.006239681461</v>
      </c>
      <c r="E100" s="51">
        <f t="shared" si="127"/>
        <v>2089.154398</v>
      </c>
      <c r="F100" s="51">
        <f>(Q99*'AP04'!$R100)*'AP04'!$D100</f>
        <v>1171.828988</v>
      </c>
      <c r="G100" s="51">
        <f>(Q99*'AP04'!$R100)/($I$5-A99)</f>
        <v>682.918887</v>
      </c>
      <c r="H100" s="52">
        <f t="shared" ref="H100:L100" si="148">H99</f>
        <v>0</v>
      </c>
      <c r="I100" s="52">
        <f t="shared" si="148"/>
        <v>0</v>
      </c>
      <c r="J100" s="51">
        <f t="shared" si="148"/>
        <v>25</v>
      </c>
      <c r="K100" s="52">
        <f t="shared" si="148"/>
        <v>0</v>
      </c>
      <c r="L100" s="52">
        <f t="shared" si="148"/>
        <v>0</v>
      </c>
      <c r="M100" s="52"/>
      <c r="N100" s="85">
        <f>SUM('AP04'!$F100:$L100)</f>
        <v>1879.747875</v>
      </c>
      <c r="O100" s="51"/>
      <c r="P100" s="51">
        <f>Q99*('AP04'!$R100-1)</f>
        <v>0</v>
      </c>
      <c r="Q100" s="51">
        <f>(Q99*'AP04'!$R100)-'AP04'!$G100</f>
        <v>187119.7751</v>
      </c>
      <c r="R100" s="53">
        <f t="shared" si="149"/>
        <v>1</v>
      </c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56">
        <f t="shared" si="2"/>
        <v>87</v>
      </c>
      <c r="B101" s="50">
        <f t="shared" si="5"/>
        <v>45890</v>
      </c>
      <c r="C101" s="116">
        <f t="shared" si="126"/>
        <v>0.0775</v>
      </c>
      <c r="D101" s="116">
        <f>((1+'AP04'!$C101)^(1/12))-1</f>
        <v>0.006239681461</v>
      </c>
      <c r="E101" s="51">
        <f t="shared" si="127"/>
        <v>2089.154398</v>
      </c>
      <c r="F101" s="51">
        <f>(Q100*'AP04'!$R101)*'AP04'!$D101</f>
        <v>1167.567791</v>
      </c>
      <c r="G101" s="51">
        <f>(Q100*'AP04'!$R101)/($I$5-A100)</f>
        <v>682.918887</v>
      </c>
      <c r="H101" s="52">
        <f t="shared" ref="H101:L101" si="150">H100</f>
        <v>0</v>
      </c>
      <c r="I101" s="52">
        <f t="shared" si="150"/>
        <v>0</v>
      </c>
      <c r="J101" s="51">
        <f t="shared" si="150"/>
        <v>25</v>
      </c>
      <c r="K101" s="52">
        <f t="shared" si="150"/>
        <v>0</v>
      </c>
      <c r="L101" s="52">
        <f t="shared" si="150"/>
        <v>0</v>
      </c>
      <c r="M101" s="52"/>
      <c r="N101" s="85">
        <f>SUM('AP04'!$F101:$L101)</f>
        <v>1875.486678</v>
      </c>
      <c r="O101" s="51"/>
      <c r="P101" s="51">
        <f>Q100*('AP04'!$R101-1)</f>
        <v>0</v>
      </c>
      <c r="Q101" s="51">
        <f>(Q100*'AP04'!$R101)-'AP04'!$G101</f>
        <v>186436.8562</v>
      </c>
      <c r="R101" s="53">
        <f t="shared" si="149"/>
        <v>1</v>
      </c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56">
        <f t="shared" si="2"/>
        <v>88</v>
      </c>
      <c r="B102" s="50">
        <f t="shared" si="5"/>
        <v>45921</v>
      </c>
      <c r="C102" s="116">
        <f t="shared" si="126"/>
        <v>0.0775</v>
      </c>
      <c r="D102" s="116">
        <f>((1+'AP04'!$C102)^(1/12))-1</f>
        <v>0.006239681461</v>
      </c>
      <c r="E102" s="51">
        <f t="shared" si="127"/>
        <v>2089.154398</v>
      </c>
      <c r="F102" s="51">
        <f>(Q101*'AP04'!$R102)*'AP04'!$D102</f>
        <v>1163.306595</v>
      </c>
      <c r="G102" s="51">
        <f>(Q101*'AP04'!$R102)/($I$5-A101)</f>
        <v>682.918887</v>
      </c>
      <c r="H102" s="52">
        <f t="shared" ref="H102:L102" si="151">H101</f>
        <v>0</v>
      </c>
      <c r="I102" s="52">
        <f t="shared" si="151"/>
        <v>0</v>
      </c>
      <c r="J102" s="51">
        <f t="shared" si="151"/>
        <v>25</v>
      </c>
      <c r="K102" s="52">
        <f t="shared" si="151"/>
        <v>0</v>
      </c>
      <c r="L102" s="52">
        <f t="shared" si="151"/>
        <v>0</v>
      </c>
      <c r="M102" s="52"/>
      <c r="N102" s="85">
        <f>SUM('AP04'!$F102:$L102)</f>
        <v>1871.225482</v>
      </c>
      <c r="O102" s="51"/>
      <c r="P102" s="51">
        <f>Q101*('AP04'!$R102-1)</f>
        <v>0</v>
      </c>
      <c r="Q102" s="51">
        <f>(Q101*'AP04'!$R102)-'AP04'!$G102</f>
        <v>185753.9373</v>
      </c>
      <c r="R102" s="53">
        <f t="shared" si="149"/>
        <v>1</v>
      </c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6">
        <f t="shared" si="2"/>
        <v>89</v>
      </c>
      <c r="B103" s="50">
        <f t="shared" si="5"/>
        <v>45951</v>
      </c>
      <c r="C103" s="116">
        <f t="shared" si="126"/>
        <v>0.0775</v>
      </c>
      <c r="D103" s="116">
        <f>((1+'AP04'!$C103)^(1/12))-1</f>
        <v>0.006239681461</v>
      </c>
      <c r="E103" s="51">
        <f t="shared" si="127"/>
        <v>2089.154398</v>
      </c>
      <c r="F103" s="51">
        <f>(Q102*'AP04'!$R103)*'AP04'!$D103</f>
        <v>1159.045399</v>
      </c>
      <c r="G103" s="51">
        <f>(Q102*'AP04'!$R103)/($I$5-A102)</f>
        <v>682.918887</v>
      </c>
      <c r="H103" s="52">
        <f t="shared" ref="H103:L103" si="152">H102</f>
        <v>0</v>
      </c>
      <c r="I103" s="52">
        <f t="shared" si="152"/>
        <v>0</v>
      </c>
      <c r="J103" s="51">
        <f t="shared" si="152"/>
        <v>25</v>
      </c>
      <c r="K103" s="52">
        <f t="shared" si="152"/>
        <v>0</v>
      </c>
      <c r="L103" s="52">
        <f t="shared" si="152"/>
        <v>0</v>
      </c>
      <c r="M103" s="52"/>
      <c r="N103" s="85">
        <f>SUM('AP04'!$F103:$L103)</f>
        <v>1866.964286</v>
      </c>
      <c r="O103" s="51"/>
      <c r="P103" s="51">
        <f>Q102*('AP04'!$R103-1)</f>
        <v>0</v>
      </c>
      <c r="Q103" s="51">
        <f>(Q102*'AP04'!$R103)-'AP04'!$G103</f>
        <v>185071.0184</v>
      </c>
      <c r="R103" s="53">
        <f t="shared" si="149"/>
        <v>1</v>
      </c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56">
        <f t="shared" si="2"/>
        <v>90</v>
      </c>
      <c r="B104" s="50">
        <f t="shared" si="5"/>
        <v>45982</v>
      </c>
      <c r="C104" s="116">
        <f t="shared" si="126"/>
        <v>0.0775</v>
      </c>
      <c r="D104" s="116">
        <f>((1+'AP04'!$C104)^(1/12))-1</f>
        <v>0.006239681461</v>
      </c>
      <c r="E104" s="51">
        <f t="shared" si="127"/>
        <v>2089.154398</v>
      </c>
      <c r="F104" s="51">
        <f>(Q103*'AP04'!$R104)*'AP04'!$D104</f>
        <v>1154.784202</v>
      </c>
      <c r="G104" s="51">
        <f>(Q103*'AP04'!$R104)/($I$5-A103)</f>
        <v>682.918887</v>
      </c>
      <c r="H104" s="52">
        <f t="shared" ref="H104:L104" si="153">H103</f>
        <v>0</v>
      </c>
      <c r="I104" s="52">
        <f t="shared" si="153"/>
        <v>0</v>
      </c>
      <c r="J104" s="51">
        <f t="shared" si="153"/>
        <v>25</v>
      </c>
      <c r="K104" s="52">
        <f t="shared" si="153"/>
        <v>0</v>
      </c>
      <c r="L104" s="52">
        <f t="shared" si="153"/>
        <v>0</v>
      </c>
      <c r="M104" s="52"/>
      <c r="N104" s="85">
        <f>SUM('AP04'!$F104:$L104)</f>
        <v>1862.70309</v>
      </c>
      <c r="O104" s="51"/>
      <c r="P104" s="51">
        <f>Q103*('AP04'!$R104-1)</f>
        <v>0</v>
      </c>
      <c r="Q104" s="51">
        <f>(Q103*'AP04'!$R104)-'AP04'!$G104</f>
        <v>184388.0995</v>
      </c>
      <c r="R104" s="53">
        <f t="shared" si="149"/>
        <v>1</v>
      </c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56">
        <f t="shared" si="2"/>
        <v>91</v>
      </c>
      <c r="B105" s="50">
        <f t="shared" si="5"/>
        <v>46012</v>
      </c>
      <c r="C105" s="116">
        <f t="shared" si="126"/>
        <v>0.0775</v>
      </c>
      <c r="D105" s="116">
        <f>((1+'AP04'!$C105)^(1/12))-1</f>
        <v>0.006239681461</v>
      </c>
      <c r="E105" s="51">
        <f t="shared" si="127"/>
        <v>2089.154398</v>
      </c>
      <c r="F105" s="51">
        <f>(Q104*'AP04'!$R105)*'AP04'!$D105</f>
        <v>1150.523006</v>
      </c>
      <c r="G105" s="51">
        <f>(Q104*'AP04'!$R105)/($I$5-A104)</f>
        <v>682.918887</v>
      </c>
      <c r="H105" s="52">
        <f t="shared" ref="H105:L105" si="154">H104</f>
        <v>0</v>
      </c>
      <c r="I105" s="52">
        <f t="shared" si="154"/>
        <v>0</v>
      </c>
      <c r="J105" s="51">
        <f t="shared" si="154"/>
        <v>25</v>
      </c>
      <c r="K105" s="52">
        <f t="shared" si="154"/>
        <v>0</v>
      </c>
      <c r="L105" s="52">
        <f t="shared" si="154"/>
        <v>0</v>
      </c>
      <c r="M105" s="52"/>
      <c r="N105" s="85">
        <f>SUM('AP04'!$F105:$L105)</f>
        <v>1858.441893</v>
      </c>
      <c r="O105" s="51"/>
      <c r="P105" s="51">
        <f>Q104*('AP04'!$R105-1)</f>
        <v>0</v>
      </c>
      <c r="Q105" s="51">
        <f>(Q104*'AP04'!$R105)-'AP04'!$G105</f>
        <v>183705.1806</v>
      </c>
      <c r="R105" s="53">
        <f t="shared" si="149"/>
        <v>1</v>
      </c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56">
        <f t="shared" si="2"/>
        <v>92</v>
      </c>
      <c r="B106" s="50">
        <f t="shared" si="5"/>
        <v>46043</v>
      </c>
      <c r="C106" s="116">
        <f t="shared" si="126"/>
        <v>0.0775</v>
      </c>
      <c r="D106" s="116">
        <f>((1+'AP04'!$C106)^(1/12))-1</f>
        <v>0.006239681461</v>
      </c>
      <c r="E106" s="51">
        <f t="shared" si="127"/>
        <v>2089.154398</v>
      </c>
      <c r="F106" s="51">
        <f>(Q105*'AP04'!$R106)*'AP04'!$D106</f>
        <v>1146.26181</v>
      </c>
      <c r="G106" s="51">
        <f>(Q105*'AP04'!$R106)/($I$5-A105)</f>
        <v>682.918887</v>
      </c>
      <c r="H106" s="52">
        <f t="shared" ref="H106:L106" si="155">H105</f>
        <v>0</v>
      </c>
      <c r="I106" s="52">
        <f t="shared" si="155"/>
        <v>0</v>
      </c>
      <c r="J106" s="51">
        <f t="shared" si="155"/>
        <v>25</v>
      </c>
      <c r="K106" s="52">
        <f t="shared" si="155"/>
        <v>0</v>
      </c>
      <c r="L106" s="52">
        <f t="shared" si="155"/>
        <v>0</v>
      </c>
      <c r="M106" s="52"/>
      <c r="N106" s="85">
        <f>SUM('AP04'!$F106:$L106)</f>
        <v>1854.180697</v>
      </c>
      <c r="O106" s="51"/>
      <c r="P106" s="51">
        <f>Q105*('AP04'!$R106-1)</f>
        <v>0</v>
      </c>
      <c r="Q106" s="51">
        <f>(Q105*'AP04'!$R106)-'AP04'!$G106</f>
        <v>183022.2617</v>
      </c>
      <c r="R106" s="53">
        <f t="shared" si="149"/>
        <v>1</v>
      </c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56">
        <f t="shared" si="2"/>
        <v>93</v>
      </c>
      <c r="B107" s="50">
        <f t="shared" si="5"/>
        <v>46074</v>
      </c>
      <c r="C107" s="116">
        <f t="shared" si="126"/>
        <v>0.0775</v>
      </c>
      <c r="D107" s="116">
        <f>((1+'AP04'!$C107)^(1/12))-1</f>
        <v>0.006239681461</v>
      </c>
      <c r="E107" s="51">
        <f t="shared" si="127"/>
        <v>2089.154398</v>
      </c>
      <c r="F107" s="51">
        <f>(Q106*'AP04'!$R107)*'AP04'!$D107</f>
        <v>1142.000614</v>
      </c>
      <c r="G107" s="51">
        <f>(Q106*'AP04'!$R107)/($I$5-A106)</f>
        <v>682.918887</v>
      </c>
      <c r="H107" s="52">
        <f t="shared" ref="H107:L107" si="156">H106</f>
        <v>0</v>
      </c>
      <c r="I107" s="52">
        <f t="shared" si="156"/>
        <v>0</v>
      </c>
      <c r="J107" s="51">
        <f t="shared" si="156"/>
        <v>25</v>
      </c>
      <c r="K107" s="52">
        <f t="shared" si="156"/>
        <v>0</v>
      </c>
      <c r="L107" s="52">
        <f t="shared" si="156"/>
        <v>0</v>
      </c>
      <c r="M107" s="52"/>
      <c r="N107" s="85">
        <f>SUM('AP04'!$F107:$L107)</f>
        <v>1849.919501</v>
      </c>
      <c r="O107" s="51"/>
      <c r="P107" s="51">
        <f>Q106*('AP04'!$R107-1)</f>
        <v>0</v>
      </c>
      <c r="Q107" s="51">
        <f>(Q106*'AP04'!$R107)-'AP04'!$G107</f>
        <v>182339.3428</v>
      </c>
      <c r="R107" s="53">
        <f t="shared" si="149"/>
        <v>1</v>
      </c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56">
        <f t="shared" si="2"/>
        <v>94</v>
      </c>
      <c r="B108" s="50">
        <f t="shared" si="5"/>
        <v>46102</v>
      </c>
      <c r="C108" s="116">
        <f t="shared" si="126"/>
        <v>0.0775</v>
      </c>
      <c r="D108" s="116">
        <f>((1+'AP04'!$C108)^(1/12))-1</f>
        <v>0.006239681461</v>
      </c>
      <c r="E108" s="51">
        <f t="shared" si="127"/>
        <v>2089.154398</v>
      </c>
      <c r="F108" s="51">
        <f>(Q107*'AP04'!$R108)*'AP04'!$D108</f>
        <v>1137.739417</v>
      </c>
      <c r="G108" s="51">
        <f>(Q107*'AP04'!$R108)/($I$5-A107)</f>
        <v>682.918887</v>
      </c>
      <c r="H108" s="52">
        <f t="shared" ref="H108:L108" si="157">H107</f>
        <v>0</v>
      </c>
      <c r="I108" s="52">
        <f t="shared" si="157"/>
        <v>0</v>
      </c>
      <c r="J108" s="51">
        <f t="shared" si="157"/>
        <v>25</v>
      </c>
      <c r="K108" s="52">
        <f t="shared" si="157"/>
        <v>0</v>
      </c>
      <c r="L108" s="52">
        <f t="shared" si="157"/>
        <v>0</v>
      </c>
      <c r="M108" s="52"/>
      <c r="N108" s="85">
        <f>SUM('AP04'!$F108:$L108)</f>
        <v>1845.658304</v>
      </c>
      <c r="O108" s="51"/>
      <c r="P108" s="51">
        <f>Q107*('AP04'!$R108-1)</f>
        <v>0</v>
      </c>
      <c r="Q108" s="51">
        <f>(Q107*'AP04'!$R108)-'AP04'!$G108</f>
        <v>181656.424</v>
      </c>
      <c r="R108" s="53">
        <f t="shared" si="149"/>
        <v>1</v>
      </c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56">
        <f t="shared" si="2"/>
        <v>95</v>
      </c>
      <c r="B109" s="50">
        <f t="shared" si="5"/>
        <v>46133</v>
      </c>
      <c r="C109" s="116">
        <f t="shared" si="126"/>
        <v>0.0775</v>
      </c>
      <c r="D109" s="116">
        <f>((1+'AP04'!$C109)^(1/12))-1</f>
        <v>0.006239681461</v>
      </c>
      <c r="E109" s="51">
        <f t="shared" si="127"/>
        <v>2089.154398</v>
      </c>
      <c r="F109" s="51">
        <f>(Q108*'AP04'!$R109)*'AP04'!$D109</f>
        <v>1133.478221</v>
      </c>
      <c r="G109" s="51">
        <f>(Q108*'AP04'!$R109)/($I$5-A108)</f>
        <v>682.918887</v>
      </c>
      <c r="H109" s="52">
        <f t="shared" ref="H109:L109" si="158">H108</f>
        <v>0</v>
      </c>
      <c r="I109" s="52">
        <f t="shared" si="158"/>
        <v>0</v>
      </c>
      <c r="J109" s="51">
        <f t="shared" si="158"/>
        <v>25</v>
      </c>
      <c r="K109" s="52">
        <f t="shared" si="158"/>
        <v>0</v>
      </c>
      <c r="L109" s="52">
        <f t="shared" si="158"/>
        <v>0</v>
      </c>
      <c r="M109" s="52"/>
      <c r="N109" s="85">
        <f>SUM('AP04'!$F109:$L109)</f>
        <v>1841.397108</v>
      </c>
      <c r="O109" s="51"/>
      <c r="P109" s="51">
        <f>Q108*('AP04'!$R109-1)</f>
        <v>0</v>
      </c>
      <c r="Q109" s="51">
        <f>(Q108*'AP04'!$R109)-'AP04'!$G109</f>
        <v>180973.5051</v>
      </c>
      <c r="R109" s="53">
        <f t="shared" si="149"/>
        <v>1</v>
      </c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56">
        <f t="shared" si="2"/>
        <v>96</v>
      </c>
      <c r="B110" s="50">
        <f t="shared" si="5"/>
        <v>46163</v>
      </c>
      <c r="C110" s="116">
        <f t="shared" si="126"/>
        <v>0.0775</v>
      </c>
      <c r="D110" s="116">
        <f>((1+'AP04'!$C110)^(1/12))-1</f>
        <v>0.006239681461</v>
      </c>
      <c r="E110" s="51">
        <f t="shared" si="127"/>
        <v>2089.154398</v>
      </c>
      <c r="F110" s="51">
        <f>(Q109*'AP04'!$R110)*'AP04'!$D110</f>
        <v>1129.217025</v>
      </c>
      <c r="G110" s="51">
        <f>(Q109*'AP04'!$R110)/($I$5-A109)</f>
        <v>682.918887</v>
      </c>
      <c r="H110" s="52">
        <f t="shared" ref="H110:L110" si="159">H109</f>
        <v>0</v>
      </c>
      <c r="I110" s="52">
        <f t="shared" si="159"/>
        <v>0</v>
      </c>
      <c r="J110" s="51">
        <f t="shared" si="159"/>
        <v>25</v>
      </c>
      <c r="K110" s="52">
        <f t="shared" si="159"/>
        <v>0</v>
      </c>
      <c r="L110" s="52">
        <f t="shared" si="159"/>
        <v>0</v>
      </c>
      <c r="M110" s="52"/>
      <c r="N110" s="85">
        <f>SUM('AP04'!$F110:$L110)</f>
        <v>1837.135912</v>
      </c>
      <c r="O110" s="51"/>
      <c r="P110" s="51">
        <f>Q109*('AP04'!$R110-1)</f>
        <v>0</v>
      </c>
      <c r="Q110" s="51">
        <f>(Q109*'AP04'!$R110)-'AP04'!$G110</f>
        <v>180290.5862</v>
      </c>
      <c r="R110" s="53">
        <f t="shared" si="149"/>
        <v>1</v>
      </c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56">
        <f t="shared" si="2"/>
        <v>97</v>
      </c>
      <c r="B111" s="50">
        <f t="shared" si="5"/>
        <v>46194</v>
      </c>
      <c r="C111" s="116">
        <f t="shared" si="126"/>
        <v>0.0775</v>
      </c>
      <c r="D111" s="116">
        <f>((1+'AP04'!$C111)^(1/12))-1</f>
        <v>0.006239681461</v>
      </c>
      <c r="E111" s="51">
        <f t="shared" si="127"/>
        <v>2089.154398</v>
      </c>
      <c r="F111" s="51">
        <f>(Q110*'AP04'!$R111)*'AP04'!$D111</f>
        <v>1124.955828</v>
      </c>
      <c r="G111" s="51">
        <f>(Q110*'AP04'!$R111)/($I$5-A110)</f>
        <v>682.918887</v>
      </c>
      <c r="H111" s="52">
        <f t="shared" ref="H111:L111" si="160">H110</f>
        <v>0</v>
      </c>
      <c r="I111" s="52">
        <f t="shared" si="160"/>
        <v>0</v>
      </c>
      <c r="J111" s="51">
        <f t="shared" si="160"/>
        <v>25</v>
      </c>
      <c r="K111" s="52">
        <f t="shared" si="160"/>
        <v>0</v>
      </c>
      <c r="L111" s="52">
        <f t="shared" si="160"/>
        <v>0</v>
      </c>
      <c r="M111" s="52"/>
      <c r="N111" s="85">
        <f>SUM('AP04'!$F111:$L111)</f>
        <v>1832.874715</v>
      </c>
      <c r="O111" s="51"/>
      <c r="P111" s="51">
        <f>Q110*('AP04'!$R111-1)</f>
        <v>0</v>
      </c>
      <c r="Q111" s="51">
        <f>(Q110*'AP04'!$R111)-'AP04'!$G111</f>
        <v>179607.6673</v>
      </c>
      <c r="R111" s="53">
        <f t="shared" si="149"/>
        <v>1</v>
      </c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56">
        <f t="shared" si="2"/>
        <v>98</v>
      </c>
      <c r="B112" s="50">
        <f t="shared" si="5"/>
        <v>46224</v>
      </c>
      <c r="C112" s="116">
        <f t="shared" si="126"/>
        <v>0.0775</v>
      </c>
      <c r="D112" s="116">
        <f>((1+'AP04'!$C112)^(1/12))-1</f>
        <v>0.006239681461</v>
      </c>
      <c r="E112" s="51">
        <f t="shared" si="127"/>
        <v>2089.154398</v>
      </c>
      <c r="F112" s="51">
        <f>(Q111*'AP04'!$R112)*'AP04'!$D112</f>
        <v>1120.694632</v>
      </c>
      <c r="G112" s="51">
        <f>(Q111*'AP04'!$R112)/($I$5-A111)</f>
        <v>682.918887</v>
      </c>
      <c r="H112" s="52">
        <f t="shared" ref="H112:L112" si="161">H111</f>
        <v>0</v>
      </c>
      <c r="I112" s="52">
        <f t="shared" si="161"/>
        <v>0</v>
      </c>
      <c r="J112" s="51">
        <f t="shared" si="161"/>
        <v>25</v>
      </c>
      <c r="K112" s="52">
        <f t="shared" si="161"/>
        <v>0</v>
      </c>
      <c r="L112" s="52">
        <f t="shared" si="161"/>
        <v>0</v>
      </c>
      <c r="M112" s="52"/>
      <c r="N112" s="85">
        <f>SUM('AP04'!$F112:$L112)</f>
        <v>1828.613519</v>
      </c>
      <c r="O112" s="51"/>
      <c r="P112" s="51">
        <f>Q111*('AP04'!$R112-1)</f>
        <v>0</v>
      </c>
      <c r="Q112" s="51">
        <f>(Q111*'AP04'!$R112)-'AP04'!$G112</f>
        <v>178924.7484</v>
      </c>
      <c r="R112" s="53">
        <f t="shared" si="149"/>
        <v>1</v>
      </c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56">
        <f t="shared" si="2"/>
        <v>99</v>
      </c>
      <c r="B113" s="50">
        <f t="shared" si="5"/>
        <v>46255</v>
      </c>
      <c r="C113" s="116">
        <f t="shared" si="126"/>
        <v>0.0775</v>
      </c>
      <c r="D113" s="116">
        <f>((1+'AP04'!$C113)^(1/12))-1</f>
        <v>0.006239681461</v>
      </c>
      <c r="E113" s="51">
        <f t="shared" si="127"/>
        <v>2089.154398</v>
      </c>
      <c r="F113" s="51">
        <f>(Q112*'AP04'!$R113)*'AP04'!$D113</f>
        <v>1116.433436</v>
      </c>
      <c r="G113" s="51">
        <f>(Q112*'AP04'!$R113)/($I$5-A112)</f>
        <v>682.918887</v>
      </c>
      <c r="H113" s="52">
        <f t="shared" ref="H113:L113" si="162">H112</f>
        <v>0</v>
      </c>
      <c r="I113" s="52">
        <f t="shared" si="162"/>
        <v>0</v>
      </c>
      <c r="J113" s="51">
        <f t="shared" si="162"/>
        <v>25</v>
      </c>
      <c r="K113" s="52">
        <f t="shared" si="162"/>
        <v>0</v>
      </c>
      <c r="L113" s="52">
        <f t="shared" si="162"/>
        <v>0</v>
      </c>
      <c r="M113" s="52"/>
      <c r="N113" s="85">
        <f>SUM('AP04'!$F113:$L113)</f>
        <v>1824.352323</v>
      </c>
      <c r="O113" s="51"/>
      <c r="P113" s="51">
        <f>Q112*('AP04'!$R113-1)</f>
        <v>0</v>
      </c>
      <c r="Q113" s="51">
        <f>(Q112*'AP04'!$R113)-'AP04'!$G113</f>
        <v>178241.8295</v>
      </c>
      <c r="R113" s="53">
        <f t="shared" si="149"/>
        <v>1</v>
      </c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56">
        <f t="shared" si="2"/>
        <v>100</v>
      </c>
      <c r="B114" s="50">
        <f t="shared" si="5"/>
        <v>46286</v>
      </c>
      <c r="C114" s="116">
        <f t="shared" si="126"/>
        <v>0.0775</v>
      </c>
      <c r="D114" s="116">
        <f>((1+'AP04'!$C114)^(1/12))-1</f>
        <v>0.006239681461</v>
      </c>
      <c r="E114" s="51">
        <f t="shared" si="127"/>
        <v>2089.154398</v>
      </c>
      <c r="F114" s="51">
        <f>(Q113*'AP04'!$R114)*'AP04'!$D114</f>
        <v>1112.172239</v>
      </c>
      <c r="G114" s="51">
        <f>(Q113*'AP04'!$R114)/($I$5-A113)</f>
        <v>682.918887</v>
      </c>
      <c r="H114" s="52">
        <f t="shared" ref="H114:L114" si="163">H113</f>
        <v>0</v>
      </c>
      <c r="I114" s="52">
        <f t="shared" si="163"/>
        <v>0</v>
      </c>
      <c r="J114" s="51">
        <f t="shared" si="163"/>
        <v>25</v>
      </c>
      <c r="K114" s="52">
        <f t="shared" si="163"/>
        <v>0</v>
      </c>
      <c r="L114" s="52">
        <f t="shared" si="163"/>
        <v>0</v>
      </c>
      <c r="M114" s="52"/>
      <c r="N114" s="85">
        <f>SUM('AP04'!$F114:$L114)</f>
        <v>1820.091126</v>
      </c>
      <c r="O114" s="51"/>
      <c r="P114" s="51">
        <f>Q113*('AP04'!$R114-1)</f>
        <v>0</v>
      </c>
      <c r="Q114" s="51">
        <f>(Q113*'AP04'!$R114)-'AP04'!$G114</f>
        <v>177558.9106</v>
      </c>
      <c r="R114" s="53">
        <f t="shared" si="149"/>
        <v>1</v>
      </c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56">
        <f t="shared" si="2"/>
        <v>101</v>
      </c>
      <c r="B115" s="50">
        <f t="shared" si="5"/>
        <v>46316</v>
      </c>
      <c r="C115" s="116">
        <f t="shared" si="126"/>
        <v>0.0775</v>
      </c>
      <c r="D115" s="116">
        <f>((1+'AP04'!$C115)^(1/12))-1</f>
        <v>0.006239681461</v>
      </c>
      <c r="E115" s="51">
        <f t="shared" si="127"/>
        <v>2089.154398</v>
      </c>
      <c r="F115" s="51">
        <f>(Q114*'AP04'!$R115)*'AP04'!$D115</f>
        <v>1107.911043</v>
      </c>
      <c r="G115" s="51">
        <f>(Q114*'AP04'!$R115)/($I$5-A114)</f>
        <v>682.918887</v>
      </c>
      <c r="H115" s="52">
        <f t="shared" ref="H115:L115" si="164">H114</f>
        <v>0</v>
      </c>
      <c r="I115" s="52">
        <f t="shared" si="164"/>
        <v>0</v>
      </c>
      <c r="J115" s="51">
        <f t="shared" si="164"/>
        <v>25</v>
      </c>
      <c r="K115" s="52">
        <f t="shared" si="164"/>
        <v>0</v>
      </c>
      <c r="L115" s="52">
        <f t="shared" si="164"/>
        <v>0</v>
      </c>
      <c r="M115" s="52"/>
      <c r="N115" s="85">
        <f>SUM('AP04'!$F115:$L115)</f>
        <v>1815.82993</v>
      </c>
      <c r="O115" s="51"/>
      <c r="P115" s="51">
        <f>Q114*('AP04'!$R115-1)</f>
        <v>0</v>
      </c>
      <c r="Q115" s="51">
        <f>(Q114*'AP04'!$R115)-'AP04'!$G115</f>
        <v>176875.9917</v>
      </c>
      <c r="R115" s="53">
        <f t="shared" si="149"/>
        <v>1</v>
      </c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56">
        <f t="shared" si="2"/>
        <v>102</v>
      </c>
      <c r="B116" s="50">
        <f t="shared" si="5"/>
        <v>46347</v>
      </c>
      <c r="C116" s="116">
        <f t="shared" si="126"/>
        <v>0.0775</v>
      </c>
      <c r="D116" s="116">
        <f>((1+'AP04'!$C116)^(1/12))-1</f>
        <v>0.006239681461</v>
      </c>
      <c r="E116" s="51">
        <f t="shared" si="127"/>
        <v>2089.154398</v>
      </c>
      <c r="F116" s="51">
        <f>(Q115*'AP04'!$R116)*'AP04'!$D116</f>
        <v>1103.649847</v>
      </c>
      <c r="G116" s="51">
        <f>(Q115*'AP04'!$R116)/($I$5-A115)</f>
        <v>682.918887</v>
      </c>
      <c r="H116" s="52">
        <f t="shared" ref="H116:L116" si="165">H115</f>
        <v>0</v>
      </c>
      <c r="I116" s="52">
        <f t="shared" si="165"/>
        <v>0</v>
      </c>
      <c r="J116" s="51">
        <f t="shared" si="165"/>
        <v>25</v>
      </c>
      <c r="K116" s="52">
        <f t="shared" si="165"/>
        <v>0</v>
      </c>
      <c r="L116" s="52">
        <f t="shared" si="165"/>
        <v>0</v>
      </c>
      <c r="M116" s="52"/>
      <c r="N116" s="85">
        <f>SUM('AP04'!$F116:$L116)</f>
        <v>1811.568734</v>
      </c>
      <c r="O116" s="51"/>
      <c r="P116" s="51">
        <f>Q115*('AP04'!$R116-1)</f>
        <v>0</v>
      </c>
      <c r="Q116" s="51">
        <f>(Q115*'AP04'!$R116)-'AP04'!$G116</f>
        <v>176193.0729</v>
      </c>
      <c r="R116" s="53">
        <f t="shared" si="149"/>
        <v>1</v>
      </c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56">
        <f t="shared" si="2"/>
        <v>103</v>
      </c>
      <c r="B117" s="50">
        <f t="shared" si="5"/>
        <v>46377</v>
      </c>
      <c r="C117" s="116">
        <f t="shared" si="126"/>
        <v>0.0775</v>
      </c>
      <c r="D117" s="116">
        <f>((1+'AP04'!$C117)^(1/12))-1</f>
        <v>0.006239681461</v>
      </c>
      <c r="E117" s="51">
        <f t="shared" si="127"/>
        <v>2089.154398</v>
      </c>
      <c r="F117" s="51">
        <f>(Q116*'AP04'!$R117)*'AP04'!$D117</f>
        <v>1099.38865</v>
      </c>
      <c r="G117" s="51">
        <f>(Q116*'AP04'!$R117)/($I$5-A116)</f>
        <v>682.918887</v>
      </c>
      <c r="H117" s="52">
        <f t="shared" ref="H117:L117" si="166">H116</f>
        <v>0</v>
      </c>
      <c r="I117" s="52">
        <f t="shared" si="166"/>
        <v>0</v>
      </c>
      <c r="J117" s="51">
        <f t="shared" si="166"/>
        <v>25</v>
      </c>
      <c r="K117" s="52">
        <f t="shared" si="166"/>
        <v>0</v>
      </c>
      <c r="L117" s="52">
        <f t="shared" si="166"/>
        <v>0</v>
      </c>
      <c r="M117" s="52"/>
      <c r="N117" s="85">
        <f>SUM('AP04'!$F117:$L117)</f>
        <v>1807.307537</v>
      </c>
      <c r="O117" s="51"/>
      <c r="P117" s="51">
        <f>Q116*('AP04'!$R117-1)</f>
        <v>0</v>
      </c>
      <c r="Q117" s="51">
        <f>(Q116*'AP04'!$R117)-'AP04'!$G117</f>
        <v>175510.154</v>
      </c>
      <c r="R117" s="53">
        <f t="shared" si="149"/>
        <v>1</v>
      </c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56">
        <f t="shared" si="2"/>
        <v>104</v>
      </c>
      <c r="B118" s="50">
        <f t="shared" si="5"/>
        <v>46408</v>
      </c>
      <c r="C118" s="116">
        <f t="shared" si="126"/>
        <v>0.0775</v>
      </c>
      <c r="D118" s="116">
        <f>((1+'AP04'!$C118)^(1/12))-1</f>
        <v>0.006239681461</v>
      </c>
      <c r="E118" s="51">
        <f t="shared" si="127"/>
        <v>2089.154398</v>
      </c>
      <c r="F118" s="51">
        <f>(Q117*'AP04'!$R118)*'AP04'!$D118</f>
        <v>1095.127454</v>
      </c>
      <c r="G118" s="51">
        <f>(Q117*'AP04'!$R118)/($I$5-A117)</f>
        <v>682.918887</v>
      </c>
      <c r="H118" s="52">
        <f t="shared" ref="H118:L118" si="167">H117</f>
        <v>0</v>
      </c>
      <c r="I118" s="52">
        <f t="shared" si="167"/>
        <v>0</v>
      </c>
      <c r="J118" s="51">
        <f t="shared" si="167"/>
        <v>25</v>
      </c>
      <c r="K118" s="52">
        <f t="shared" si="167"/>
        <v>0</v>
      </c>
      <c r="L118" s="52">
        <f t="shared" si="167"/>
        <v>0</v>
      </c>
      <c r="M118" s="52"/>
      <c r="N118" s="85">
        <f>SUM('AP04'!$F118:$L118)</f>
        <v>1803.046341</v>
      </c>
      <c r="O118" s="51"/>
      <c r="P118" s="51">
        <f>Q117*('AP04'!$R118-1)</f>
        <v>0</v>
      </c>
      <c r="Q118" s="51">
        <f>(Q117*'AP04'!$R118)-'AP04'!$G118</f>
        <v>174827.2351</v>
      </c>
      <c r="R118" s="53">
        <f t="shared" si="149"/>
        <v>1</v>
      </c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56">
        <f t="shared" si="2"/>
        <v>105</v>
      </c>
      <c r="B119" s="50">
        <f t="shared" si="5"/>
        <v>46439</v>
      </c>
      <c r="C119" s="116">
        <f t="shared" si="126"/>
        <v>0.0775</v>
      </c>
      <c r="D119" s="116">
        <f>((1+'AP04'!$C119)^(1/12))-1</f>
        <v>0.006239681461</v>
      </c>
      <c r="E119" s="51">
        <f t="shared" si="127"/>
        <v>2089.154398</v>
      </c>
      <c r="F119" s="51">
        <f>(Q118*'AP04'!$R119)*'AP04'!$D119</f>
        <v>1090.866258</v>
      </c>
      <c r="G119" s="51">
        <f>(Q118*'AP04'!$R119)/($I$5-A118)</f>
        <v>682.918887</v>
      </c>
      <c r="H119" s="52">
        <f t="shared" ref="H119:L119" si="168">H118</f>
        <v>0</v>
      </c>
      <c r="I119" s="52">
        <f t="shared" si="168"/>
        <v>0</v>
      </c>
      <c r="J119" s="51">
        <f t="shared" si="168"/>
        <v>25</v>
      </c>
      <c r="K119" s="52">
        <f t="shared" si="168"/>
        <v>0</v>
      </c>
      <c r="L119" s="52">
        <f t="shared" si="168"/>
        <v>0</v>
      </c>
      <c r="M119" s="52"/>
      <c r="N119" s="85">
        <f>SUM('AP04'!$F119:$L119)</f>
        <v>1798.785145</v>
      </c>
      <c r="O119" s="51"/>
      <c r="P119" s="51">
        <f>Q118*('AP04'!$R119-1)</f>
        <v>0</v>
      </c>
      <c r="Q119" s="51">
        <f>(Q118*'AP04'!$R119)-'AP04'!$G119</f>
        <v>174144.3162</v>
      </c>
      <c r="R119" s="53">
        <f t="shared" si="149"/>
        <v>1</v>
      </c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6">
        <f t="shared" si="2"/>
        <v>106</v>
      </c>
      <c r="B120" s="50">
        <f t="shared" si="5"/>
        <v>46467</v>
      </c>
      <c r="C120" s="116">
        <f t="shared" si="126"/>
        <v>0.0775</v>
      </c>
      <c r="D120" s="116">
        <f>((1+'AP04'!$C120)^(1/12))-1</f>
        <v>0.006239681461</v>
      </c>
      <c r="E120" s="51">
        <f t="shared" si="127"/>
        <v>2089.154398</v>
      </c>
      <c r="F120" s="51">
        <f>(Q119*'AP04'!$R120)*'AP04'!$D120</f>
        <v>1086.605061</v>
      </c>
      <c r="G120" s="51">
        <f>(Q119*'AP04'!$R120)/($I$5-A119)</f>
        <v>682.918887</v>
      </c>
      <c r="H120" s="52">
        <f t="shared" ref="H120:L120" si="169">H119</f>
        <v>0</v>
      </c>
      <c r="I120" s="52">
        <f t="shared" si="169"/>
        <v>0</v>
      </c>
      <c r="J120" s="51">
        <f t="shared" si="169"/>
        <v>25</v>
      </c>
      <c r="K120" s="52">
        <f t="shared" si="169"/>
        <v>0</v>
      </c>
      <c r="L120" s="52">
        <f t="shared" si="169"/>
        <v>0</v>
      </c>
      <c r="M120" s="52"/>
      <c r="N120" s="85">
        <f>SUM('AP04'!$F120:$L120)</f>
        <v>1794.523948</v>
      </c>
      <c r="O120" s="51"/>
      <c r="P120" s="51">
        <f>Q119*('AP04'!$R120-1)</f>
        <v>0</v>
      </c>
      <c r="Q120" s="51">
        <f>(Q119*'AP04'!$R120)-'AP04'!$G120</f>
        <v>173461.3973</v>
      </c>
      <c r="R120" s="53">
        <f t="shared" si="149"/>
        <v>1</v>
      </c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56">
        <f t="shared" si="2"/>
        <v>107</v>
      </c>
      <c r="B121" s="50">
        <f t="shared" si="5"/>
        <v>46498</v>
      </c>
      <c r="C121" s="116">
        <f t="shared" si="126"/>
        <v>0.0775</v>
      </c>
      <c r="D121" s="116">
        <f>((1+'AP04'!$C121)^(1/12))-1</f>
        <v>0.006239681461</v>
      </c>
      <c r="E121" s="51">
        <f t="shared" si="127"/>
        <v>2089.154398</v>
      </c>
      <c r="F121" s="51">
        <f>(Q120*'AP04'!$R121)*'AP04'!$D121</f>
        <v>1082.343865</v>
      </c>
      <c r="G121" s="51">
        <f>(Q120*'AP04'!$R121)/($I$5-A120)</f>
        <v>682.918887</v>
      </c>
      <c r="H121" s="52">
        <f t="shared" ref="H121:L121" si="170">H120</f>
        <v>0</v>
      </c>
      <c r="I121" s="52">
        <f t="shared" si="170"/>
        <v>0</v>
      </c>
      <c r="J121" s="51">
        <f t="shared" si="170"/>
        <v>25</v>
      </c>
      <c r="K121" s="52">
        <f t="shared" si="170"/>
        <v>0</v>
      </c>
      <c r="L121" s="52">
        <f t="shared" si="170"/>
        <v>0</v>
      </c>
      <c r="M121" s="52"/>
      <c r="N121" s="85">
        <f>SUM('AP04'!$F121:$L121)</f>
        <v>1790.262752</v>
      </c>
      <c r="O121" s="51"/>
      <c r="P121" s="51">
        <f>Q120*('AP04'!$R121-1)</f>
        <v>0</v>
      </c>
      <c r="Q121" s="51">
        <f>(Q120*'AP04'!$R121)-'AP04'!$G121</f>
        <v>172778.4784</v>
      </c>
      <c r="R121" s="53">
        <f t="shared" si="149"/>
        <v>1</v>
      </c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56">
        <f t="shared" si="2"/>
        <v>108</v>
      </c>
      <c r="B122" s="50">
        <f t="shared" si="5"/>
        <v>46528</v>
      </c>
      <c r="C122" s="116">
        <f t="shared" si="126"/>
        <v>0.0775</v>
      </c>
      <c r="D122" s="116">
        <f>((1+'AP04'!$C122)^(1/12))-1</f>
        <v>0.006239681461</v>
      </c>
      <c r="E122" s="51">
        <f t="shared" si="127"/>
        <v>2089.154398</v>
      </c>
      <c r="F122" s="51">
        <f>(Q121*'AP04'!$R122)*'AP04'!$D122</f>
        <v>1078.082669</v>
      </c>
      <c r="G122" s="51">
        <f>(Q121*'AP04'!$R122)/($I$5-A121)</f>
        <v>682.918887</v>
      </c>
      <c r="H122" s="52">
        <f t="shared" ref="H122:L122" si="171">H121</f>
        <v>0</v>
      </c>
      <c r="I122" s="52">
        <f t="shared" si="171"/>
        <v>0</v>
      </c>
      <c r="J122" s="51">
        <f t="shared" si="171"/>
        <v>25</v>
      </c>
      <c r="K122" s="52">
        <f t="shared" si="171"/>
        <v>0</v>
      </c>
      <c r="L122" s="52">
        <f t="shared" si="171"/>
        <v>0</v>
      </c>
      <c r="M122" s="52"/>
      <c r="N122" s="85">
        <f>SUM('AP04'!$F122:$L122)</f>
        <v>1786.001556</v>
      </c>
      <c r="O122" s="51"/>
      <c r="P122" s="51">
        <f>Q121*('AP04'!$R122-1)</f>
        <v>0</v>
      </c>
      <c r="Q122" s="51">
        <f>(Q121*'AP04'!$R122)-'AP04'!$G122</f>
        <v>172095.5595</v>
      </c>
      <c r="R122" s="53">
        <f t="shared" si="149"/>
        <v>1</v>
      </c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56">
        <f t="shared" si="2"/>
        <v>109</v>
      </c>
      <c r="B123" s="50">
        <f t="shared" si="5"/>
        <v>46559</v>
      </c>
      <c r="C123" s="116">
        <f t="shared" si="126"/>
        <v>0.0775</v>
      </c>
      <c r="D123" s="116">
        <f>((1+'AP04'!$C123)^(1/12))-1</f>
        <v>0.006239681461</v>
      </c>
      <c r="E123" s="51">
        <f t="shared" si="127"/>
        <v>2089.154398</v>
      </c>
      <c r="F123" s="51">
        <f>(Q122*'AP04'!$R123)*'AP04'!$D123</f>
        <v>1073.821472</v>
      </c>
      <c r="G123" s="51">
        <f>(Q122*'AP04'!$R123)/($I$5-A122)</f>
        <v>682.918887</v>
      </c>
      <c r="H123" s="52">
        <f t="shared" ref="H123:L123" si="172">H122</f>
        <v>0</v>
      </c>
      <c r="I123" s="52">
        <f t="shared" si="172"/>
        <v>0</v>
      </c>
      <c r="J123" s="51">
        <f t="shared" si="172"/>
        <v>25</v>
      </c>
      <c r="K123" s="52">
        <f t="shared" si="172"/>
        <v>0</v>
      </c>
      <c r="L123" s="52">
        <f t="shared" si="172"/>
        <v>0</v>
      </c>
      <c r="M123" s="52"/>
      <c r="N123" s="85">
        <f>SUM('AP04'!$F123:$L123)</f>
        <v>1781.740359</v>
      </c>
      <c r="O123" s="51"/>
      <c r="P123" s="51">
        <f>Q122*('AP04'!$R123-1)</f>
        <v>0</v>
      </c>
      <c r="Q123" s="51">
        <f>(Q122*'AP04'!$R123)-'AP04'!$G123</f>
        <v>171412.6406</v>
      </c>
      <c r="R123" s="53">
        <f t="shared" si="149"/>
        <v>1</v>
      </c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56">
        <f t="shared" si="2"/>
        <v>110</v>
      </c>
      <c r="B124" s="50">
        <f t="shared" si="5"/>
        <v>46589</v>
      </c>
      <c r="C124" s="116">
        <f t="shared" si="126"/>
        <v>0.0775</v>
      </c>
      <c r="D124" s="116">
        <f>((1+'AP04'!$C124)^(1/12))-1</f>
        <v>0.006239681461</v>
      </c>
      <c r="E124" s="51">
        <f t="shared" si="127"/>
        <v>2089.154398</v>
      </c>
      <c r="F124" s="51">
        <f>(Q123*'AP04'!$R124)*'AP04'!$D124</f>
        <v>1069.560276</v>
      </c>
      <c r="G124" s="51">
        <f>(Q123*'AP04'!$R124)/($I$5-A123)</f>
        <v>682.918887</v>
      </c>
      <c r="H124" s="52">
        <f t="shared" ref="H124:L124" si="173">H123</f>
        <v>0</v>
      </c>
      <c r="I124" s="52">
        <f t="shared" si="173"/>
        <v>0</v>
      </c>
      <c r="J124" s="51">
        <f t="shared" si="173"/>
        <v>25</v>
      </c>
      <c r="K124" s="52">
        <f t="shared" si="173"/>
        <v>0</v>
      </c>
      <c r="L124" s="52">
        <f t="shared" si="173"/>
        <v>0</v>
      </c>
      <c r="M124" s="52"/>
      <c r="N124" s="85">
        <f>SUM('AP04'!$F124:$L124)</f>
        <v>1777.479163</v>
      </c>
      <c r="O124" s="51"/>
      <c r="P124" s="51">
        <f>Q123*('AP04'!$R124-1)</f>
        <v>0</v>
      </c>
      <c r="Q124" s="51">
        <f>(Q123*'AP04'!$R124)-'AP04'!$G124</f>
        <v>170729.7218</v>
      </c>
      <c r="R124" s="53">
        <f t="shared" si="149"/>
        <v>1</v>
      </c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56">
        <f t="shared" si="2"/>
        <v>111</v>
      </c>
      <c r="B125" s="50">
        <f t="shared" si="5"/>
        <v>46620</v>
      </c>
      <c r="C125" s="116">
        <f t="shared" si="126"/>
        <v>0.0775</v>
      </c>
      <c r="D125" s="116">
        <f>((1+'AP04'!$C125)^(1/12))-1</f>
        <v>0.006239681461</v>
      </c>
      <c r="E125" s="51">
        <f t="shared" si="127"/>
        <v>2089.154398</v>
      </c>
      <c r="F125" s="51">
        <f>(Q124*'AP04'!$R125)*'AP04'!$D125</f>
        <v>1065.29908</v>
      </c>
      <c r="G125" s="51">
        <f>(Q124*'AP04'!$R125)/($I$5-A124)</f>
        <v>682.918887</v>
      </c>
      <c r="H125" s="52">
        <f t="shared" ref="H125:L125" si="174">H124</f>
        <v>0</v>
      </c>
      <c r="I125" s="52">
        <f t="shared" si="174"/>
        <v>0</v>
      </c>
      <c r="J125" s="51">
        <f t="shared" si="174"/>
        <v>25</v>
      </c>
      <c r="K125" s="52">
        <f t="shared" si="174"/>
        <v>0</v>
      </c>
      <c r="L125" s="52">
        <f t="shared" si="174"/>
        <v>0</v>
      </c>
      <c r="M125" s="52"/>
      <c r="N125" s="85">
        <f>SUM('AP04'!$F125:$L125)</f>
        <v>1773.217967</v>
      </c>
      <c r="O125" s="51"/>
      <c r="P125" s="51">
        <f>Q124*('AP04'!$R125-1)</f>
        <v>0</v>
      </c>
      <c r="Q125" s="51">
        <f>(Q124*'AP04'!$R125)-'AP04'!$G125</f>
        <v>170046.8029</v>
      </c>
      <c r="R125" s="53">
        <f t="shared" si="149"/>
        <v>1</v>
      </c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56">
        <f t="shared" si="2"/>
        <v>112</v>
      </c>
      <c r="B126" s="50">
        <f t="shared" si="5"/>
        <v>46651</v>
      </c>
      <c r="C126" s="116">
        <f t="shared" si="126"/>
        <v>0.0775</v>
      </c>
      <c r="D126" s="116">
        <f>((1+'AP04'!$C126)^(1/12))-1</f>
        <v>0.006239681461</v>
      </c>
      <c r="E126" s="51">
        <f t="shared" si="127"/>
        <v>2089.154398</v>
      </c>
      <c r="F126" s="51">
        <f>(Q125*'AP04'!$R126)*'AP04'!$D126</f>
        <v>1061.037883</v>
      </c>
      <c r="G126" s="51">
        <f>(Q125*'AP04'!$R126)/($I$5-A125)</f>
        <v>682.918887</v>
      </c>
      <c r="H126" s="52">
        <f t="shared" ref="H126:L126" si="175">H125</f>
        <v>0</v>
      </c>
      <c r="I126" s="52">
        <f t="shared" si="175"/>
        <v>0</v>
      </c>
      <c r="J126" s="51">
        <f t="shared" si="175"/>
        <v>25</v>
      </c>
      <c r="K126" s="52">
        <f t="shared" si="175"/>
        <v>0</v>
      </c>
      <c r="L126" s="52">
        <f t="shared" si="175"/>
        <v>0</v>
      </c>
      <c r="M126" s="52"/>
      <c r="N126" s="85">
        <f>SUM('AP04'!$F126:$L126)</f>
        <v>1768.95677</v>
      </c>
      <c r="O126" s="51"/>
      <c r="P126" s="51">
        <f>Q125*('AP04'!$R126-1)</f>
        <v>0</v>
      </c>
      <c r="Q126" s="51">
        <f>(Q125*'AP04'!$R126)-'AP04'!$G126</f>
        <v>169363.884</v>
      </c>
      <c r="R126" s="53">
        <f t="shared" si="149"/>
        <v>1</v>
      </c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56">
        <f t="shared" si="2"/>
        <v>113</v>
      </c>
      <c r="B127" s="50">
        <f t="shared" si="5"/>
        <v>46681</v>
      </c>
      <c r="C127" s="116">
        <f t="shared" si="126"/>
        <v>0.0775</v>
      </c>
      <c r="D127" s="116">
        <f>((1+'AP04'!$C127)^(1/12))-1</f>
        <v>0.006239681461</v>
      </c>
      <c r="E127" s="51">
        <f t="shared" si="127"/>
        <v>2089.154398</v>
      </c>
      <c r="F127" s="51">
        <f>(Q126*'AP04'!$R127)*'AP04'!$D127</f>
        <v>1056.776687</v>
      </c>
      <c r="G127" s="51">
        <f>(Q126*'AP04'!$R127)/($I$5-A126)</f>
        <v>682.918887</v>
      </c>
      <c r="H127" s="52">
        <f t="shared" ref="H127:L127" si="176">H126</f>
        <v>0</v>
      </c>
      <c r="I127" s="52">
        <f t="shared" si="176"/>
        <v>0</v>
      </c>
      <c r="J127" s="51">
        <f t="shared" si="176"/>
        <v>25</v>
      </c>
      <c r="K127" s="52">
        <f t="shared" si="176"/>
        <v>0</v>
      </c>
      <c r="L127" s="52">
        <f t="shared" si="176"/>
        <v>0</v>
      </c>
      <c r="M127" s="52"/>
      <c r="N127" s="85">
        <f>SUM('AP04'!$F127:$L127)</f>
        <v>1764.695574</v>
      </c>
      <c r="O127" s="51"/>
      <c r="P127" s="51">
        <f>Q126*('AP04'!$R127-1)</f>
        <v>0</v>
      </c>
      <c r="Q127" s="51">
        <f>(Q126*'AP04'!$R127)-'AP04'!$G127</f>
        <v>168680.9651</v>
      </c>
      <c r="R127" s="53">
        <f t="shared" si="149"/>
        <v>1</v>
      </c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56">
        <f t="shared" si="2"/>
        <v>114</v>
      </c>
      <c r="B128" s="50">
        <f t="shared" si="5"/>
        <v>46712</v>
      </c>
      <c r="C128" s="116">
        <f t="shared" si="126"/>
        <v>0.0775</v>
      </c>
      <c r="D128" s="116">
        <f>((1+'AP04'!$C128)^(1/12))-1</f>
        <v>0.006239681461</v>
      </c>
      <c r="E128" s="51">
        <f t="shared" si="127"/>
        <v>2089.154398</v>
      </c>
      <c r="F128" s="51">
        <f>(Q127*'AP04'!$R128)*'AP04'!$D128</f>
        <v>1052.515491</v>
      </c>
      <c r="G128" s="51">
        <f>(Q127*'AP04'!$R128)/($I$5-A127)</f>
        <v>682.918887</v>
      </c>
      <c r="H128" s="52">
        <f t="shared" ref="H128:L128" si="177">H127</f>
        <v>0</v>
      </c>
      <c r="I128" s="52">
        <f t="shared" si="177"/>
        <v>0</v>
      </c>
      <c r="J128" s="51">
        <f t="shared" si="177"/>
        <v>25</v>
      </c>
      <c r="K128" s="52">
        <f t="shared" si="177"/>
        <v>0</v>
      </c>
      <c r="L128" s="52">
        <f t="shared" si="177"/>
        <v>0</v>
      </c>
      <c r="M128" s="52"/>
      <c r="N128" s="85">
        <f>SUM('AP04'!$F128:$L128)</f>
        <v>1760.434378</v>
      </c>
      <c r="O128" s="51"/>
      <c r="P128" s="51">
        <f>Q127*('AP04'!$R128-1)</f>
        <v>0</v>
      </c>
      <c r="Q128" s="51">
        <f>(Q127*'AP04'!$R128)-'AP04'!$G128</f>
        <v>167998.0462</v>
      </c>
      <c r="R128" s="53">
        <f t="shared" si="149"/>
        <v>1</v>
      </c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56">
        <f t="shared" si="2"/>
        <v>115</v>
      </c>
      <c r="B129" s="50">
        <f t="shared" si="5"/>
        <v>46742</v>
      </c>
      <c r="C129" s="116">
        <f t="shared" si="126"/>
        <v>0.0775</v>
      </c>
      <c r="D129" s="116">
        <f>((1+'AP04'!$C129)^(1/12))-1</f>
        <v>0.006239681461</v>
      </c>
      <c r="E129" s="51">
        <f t="shared" si="127"/>
        <v>2089.154398</v>
      </c>
      <c r="F129" s="51">
        <f>(Q128*'AP04'!$R129)*'AP04'!$D129</f>
        <v>1048.254294</v>
      </c>
      <c r="G129" s="51">
        <f>(Q128*'AP04'!$R129)/($I$5-A128)</f>
        <v>682.918887</v>
      </c>
      <c r="H129" s="52">
        <f t="shared" ref="H129:L129" si="178">H128</f>
        <v>0</v>
      </c>
      <c r="I129" s="52">
        <f t="shared" si="178"/>
        <v>0</v>
      </c>
      <c r="J129" s="51">
        <f t="shared" si="178"/>
        <v>25</v>
      </c>
      <c r="K129" s="52">
        <f t="shared" si="178"/>
        <v>0</v>
      </c>
      <c r="L129" s="52">
        <f t="shared" si="178"/>
        <v>0</v>
      </c>
      <c r="M129" s="52"/>
      <c r="N129" s="85">
        <f>SUM('AP04'!$F129:$L129)</f>
        <v>1756.173182</v>
      </c>
      <c r="O129" s="51"/>
      <c r="P129" s="51">
        <f>Q128*('AP04'!$R129-1)</f>
        <v>0</v>
      </c>
      <c r="Q129" s="51">
        <f>(Q128*'AP04'!$R129)-'AP04'!$G129</f>
        <v>167315.1273</v>
      </c>
      <c r="R129" s="53">
        <f t="shared" si="149"/>
        <v>1</v>
      </c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56">
        <f t="shared" si="2"/>
        <v>116</v>
      </c>
      <c r="B130" s="50">
        <f t="shared" si="5"/>
        <v>46773</v>
      </c>
      <c r="C130" s="116">
        <f t="shared" si="126"/>
        <v>0.0775</v>
      </c>
      <c r="D130" s="116">
        <f>((1+'AP04'!$C130)^(1/12))-1</f>
        <v>0.006239681461</v>
      </c>
      <c r="E130" s="51">
        <f t="shared" si="127"/>
        <v>2089.154398</v>
      </c>
      <c r="F130" s="51">
        <f>(Q129*'AP04'!$R130)*'AP04'!$D130</f>
        <v>1043.993098</v>
      </c>
      <c r="G130" s="51">
        <f>(Q129*'AP04'!$R130)/($I$5-A129)</f>
        <v>682.918887</v>
      </c>
      <c r="H130" s="52">
        <f t="shared" ref="H130:L130" si="179">H129</f>
        <v>0</v>
      </c>
      <c r="I130" s="52">
        <f t="shared" si="179"/>
        <v>0</v>
      </c>
      <c r="J130" s="51">
        <f t="shared" si="179"/>
        <v>25</v>
      </c>
      <c r="K130" s="52">
        <f t="shared" si="179"/>
        <v>0</v>
      </c>
      <c r="L130" s="52">
        <f t="shared" si="179"/>
        <v>0</v>
      </c>
      <c r="M130" s="52"/>
      <c r="N130" s="85">
        <f>SUM('AP04'!$F130:$L130)</f>
        <v>1751.911985</v>
      </c>
      <c r="O130" s="51"/>
      <c r="P130" s="51">
        <f>Q129*('AP04'!$R130-1)</f>
        <v>0</v>
      </c>
      <c r="Q130" s="51">
        <f>(Q129*'AP04'!$R130)-'AP04'!$G130</f>
        <v>166632.2084</v>
      </c>
      <c r="R130" s="53">
        <f t="shared" si="149"/>
        <v>1</v>
      </c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56">
        <f t="shared" si="2"/>
        <v>117</v>
      </c>
      <c r="B131" s="50">
        <f t="shared" si="5"/>
        <v>46804</v>
      </c>
      <c r="C131" s="116">
        <f t="shared" si="126"/>
        <v>0.0775</v>
      </c>
      <c r="D131" s="116">
        <f>((1+'AP04'!$C131)^(1/12))-1</f>
        <v>0.006239681461</v>
      </c>
      <c r="E131" s="51">
        <f t="shared" si="127"/>
        <v>2089.154398</v>
      </c>
      <c r="F131" s="51">
        <f>(Q130*'AP04'!$R131)*'AP04'!$D131</f>
        <v>1039.731902</v>
      </c>
      <c r="G131" s="51">
        <f>(Q130*'AP04'!$R131)/($I$5-A130)</f>
        <v>682.918887</v>
      </c>
      <c r="H131" s="52">
        <f t="shared" ref="H131:L131" si="180">H130</f>
        <v>0</v>
      </c>
      <c r="I131" s="52">
        <f t="shared" si="180"/>
        <v>0</v>
      </c>
      <c r="J131" s="51">
        <f t="shared" si="180"/>
        <v>25</v>
      </c>
      <c r="K131" s="52">
        <f t="shared" si="180"/>
        <v>0</v>
      </c>
      <c r="L131" s="52">
        <f t="shared" si="180"/>
        <v>0</v>
      </c>
      <c r="M131" s="52"/>
      <c r="N131" s="85">
        <f>SUM('AP04'!$F131:$L131)</f>
        <v>1747.650789</v>
      </c>
      <c r="O131" s="51"/>
      <c r="P131" s="51">
        <f>Q130*('AP04'!$R131-1)</f>
        <v>0</v>
      </c>
      <c r="Q131" s="51">
        <f>(Q130*'AP04'!$R131)-'AP04'!$G131</f>
        <v>165949.2896</v>
      </c>
      <c r="R131" s="53">
        <f t="shared" si="149"/>
        <v>1</v>
      </c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56">
        <f t="shared" si="2"/>
        <v>118</v>
      </c>
      <c r="B132" s="50">
        <f t="shared" si="5"/>
        <v>46833</v>
      </c>
      <c r="C132" s="116">
        <f t="shared" si="126"/>
        <v>0.0775</v>
      </c>
      <c r="D132" s="116">
        <f>((1+'AP04'!$C132)^(1/12))-1</f>
        <v>0.006239681461</v>
      </c>
      <c r="E132" s="51">
        <f t="shared" si="127"/>
        <v>2089.154398</v>
      </c>
      <c r="F132" s="51">
        <f>(Q131*'AP04'!$R132)*'AP04'!$D132</f>
        <v>1035.470706</v>
      </c>
      <c r="G132" s="51">
        <f>(Q131*'AP04'!$R132)/($I$5-A131)</f>
        <v>682.918887</v>
      </c>
      <c r="H132" s="52">
        <f t="shared" ref="H132:L132" si="181">H131</f>
        <v>0</v>
      </c>
      <c r="I132" s="52">
        <f t="shared" si="181"/>
        <v>0</v>
      </c>
      <c r="J132" s="51">
        <f t="shared" si="181"/>
        <v>25</v>
      </c>
      <c r="K132" s="52">
        <f t="shared" si="181"/>
        <v>0</v>
      </c>
      <c r="L132" s="52">
        <f t="shared" si="181"/>
        <v>0</v>
      </c>
      <c r="M132" s="52"/>
      <c r="N132" s="85">
        <f>SUM('AP04'!$F132:$L132)</f>
        <v>1743.389593</v>
      </c>
      <c r="O132" s="51"/>
      <c r="P132" s="51">
        <f>Q131*('AP04'!$R132-1)</f>
        <v>0</v>
      </c>
      <c r="Q132" s="51">
        <f>(Q131*'AP04'!$R132)-'AP04'!$G132</f>
        <v>165266.3707</v>
      </c>
      <c r="R132" s="53">
        <f t="shared" si="149"/>
        <v>1</v>
      </c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56">
        <f t="shared" si="2"/>
        <v>119</v>
      </c>
      <c r="B133" s="50">
        <f t="shared" si="5"/>
        <v>46864</v>
      </c>
      <c r="C133" s="116">
        <f t="shared" si="126"/>
        <v>0.0775</v>
      </c>
      <c r="D133" s="116">
        <f>((1+'AP04'!$C133)^(1/12))-1</f>
        <v>0.006239681461</v>
      </c>
      <c r="E133" s="51">
        <f t="shared" si="127"/>
        <v>2089.154398</v>
      </c>
      <c r="F133" s="51">
        <f>(Q132*'AP04'!$R133)*'AP04'!$D133</f>
        <v>1031.209509</v>
      </c>
      <c r="G133" s="51">
        <f>(Q132*'AP04'!$R133)/($I$5-A132)</f>
        <v>682.918887</v>
      </c>
      <c r="H133" s="52">
        <f t="shared" ref="H133:L133" si="182">H132</f>
        <v>0</v>
      </c>
      <c r="I133" s="52">
        <f t="shared" si="182"/>
        <v>0</v>
      </c>
      <c r="J133" s="51">
        <f t="shared" si="182"/>
        <v>25</v>
      </c>
      <c r="K133" s="52">
        <f t="shared" si="182"/>
        <v>0</v>
      </c>
      <c r="L133" s="52">
        <f t="shared" si="182"/>
        <v>0</v>
      </c>
      <c r="M133" s="52"/>
      <c r="N133" s="85">
        <f>SUM('AP04'!$F133:$L133)</f>
        <v>1739.128396</v>
      </c>
      <c r="O133" s="51"/>
      <c r="P133" s="51">
        <f>Q132*('AP04'!$R133-1)</f>
        <v>0</v>
      </c>
      <c r="Q133" s="51">
        <f>(Q132*'AP04'!$R133)-'AP04'!$G133</f>
        <v>164583.4518</v>
      </c>
      <c r="R133" s="53">
        <f t="shared" si="149"/>
        <v>1</v>
      </c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56">
        <f t="shared" si="2"/>
        <v>120</v>
      </c>
      <c r="B134" s="50">
        <f t="shared" si="5"/>
        <v>46894</v>
      </c>
      <c r="C134" s="116">
        <f t="shared" si="126"/>
        <v>0.0775</v>
      </c>
      <c r="D134" s="116">
        <f>((1+'AP04'!$C134)^(1/12))-1</f>
        <v>0.006239681461</v>
      </c>
      <c r="E134" s="51">
        <f t="shared" si="127"/>
        <v>2089.154398</v>
      </c>
      <c r="F134" s="51">
        <f>(Q133*'AP04'!$R134)*'AP04'!$D134</f>
        <v>1026.948313</v>
      </c>
      <c r="G134" s="51">
        <f>(Q133*'AP04'!$R134)/($I$5-A133)</f>
        <v>682.918887</v>
      </c>
      <c r="H134" s="52">
        <f t="shared" ref="H134:L134" si="183">H133</f>
        <v>0</v>
      </c>
      <c r="I134" s="52">
        <f t="shared" si="183"/>
        <v>0</v>
      </c>
      <c r="J134" s="51">
        <f t="shared" si="183"/>
        <v>25</v>
      </c>
      <c r="K134" s="52">
        <f t="shared" si="183"/>
        <v>0</v>
      </c>
      <c r="L134" s="52">
        <f t="shared" si="183"/>
        <v>0</v>
      </c>
      <c r="M134" s="52"/>
      <c r="N134" s="85">
        <f>SUM('AP04'!$F134:$L134)</f>
        <v>1734.8672</v>
      </c>
      <c r="O134" s="51"/>
      <c r="P134" s="51">
        <f>Q133*('AP04'!$R134-1)</f>
        <v>0</v>
      </c>
      <c r="Q134" s="51">
        <f>(Q133*'AP04'!$R134)-'AP04'!$G134</f>
        <v>163900.5329</v>
      </c>
      <c r="R134" s="53">
        <f t="shared" si="149"/>
        <v>1</v>
      </c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56">
        <f t="shared" si="2"/>
        <v>121</v>
      </c>
      <c r="B135" s="50">
        <f t="shared" si="5"/>
        <v>46925</v>
      </c>
      <c r="C135" s="116">
        <f t="shared" si="126"/>
        <v>0.0775</v>
      </c>
      <c r="D135" s="116">
        <f>((1+'AP04'!$C135)^(1/12))-1</f>
        <v>0.006239681461</v>
      </c>
      <c r="E135" s="51">
        <f t="shared" si="127"/>
        <v>2089.154398</v>
      </c>
      <c r="F135" s="51">
        <f>(Q134*'AP04'!$R135)*'AP04'!$D135</f>
        <v>1022.687117</v>
      </c>
      <c r="G135" s="51">
        <f>(Q134*'AP04'!$R135)/($I$5-A134)</f>
        <v>682.918887</v>
      </c>
      <c r="H135" s="52">
        <f t="shared" ref="H135:L135" si="184">H134</f>
        <v>0</v>
      </c>
      <c r="I135" s="52">
        <f t="shared" si="184"/>
        <v>0</v>
      </c>
      <c r="J135" s="51">
        <f t="shared" si="184"/>
        <v>25</v>
      </c>
      <c r="K135" s="52">
        <f t="shared" si="184"/>
        <v>0</v>
      </c>
      <c r="L135" s="52">
        <f t="shared" si="184"/>
        <v>0</v>
      </c>
      <c r="M135" s="52"/>
      <c r="N135" s="85">
        <f>SUM('AP04'!$F135:$L135)</f>
        <v>1730.606004</v>
      </c>
      <c r="O135" s="51"/>
      <c r="P135" s="51">
        <f>Q134*('AP04'!$R135-1)</f>
        <v>0</v>
      </c>
      <c r="Q135" s="51">
        <f>(Q134*'AP04'!$R135)-'AP04'!$G135</f>
        <v>163217.614</v>
      </c>
      <c r="R135" s="53">
        <f t="shared" si="149"/>
        <v>1</v>
      </c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56">
        <f t="shared" si="2"/>
        <v>122</v>
      </c>
      <c r="B136" s="50">
        <f t="shared" si="5"/>
        <v>46955</v>
      </c>
      <c r="C136" s="116">
        <f t="shared" si="126"/>
        <v>0.0775</v>
      </c>
      <c r="D136" s="116">
        <f>((1+'AP04'!$C136)^(1/12))-1</f>
        <v>0.006239681461</v>
      </c>
      <c r="E136" s="51">
        <f t="shared" si="127"/>
        <v>2089.154398</v>
      </c>
      <c r="F136" s="51">
        <f>(Q135*'AP04'!$R136)*'AP04'!$D136</f>
        <v>1018.42592</v>
      </c>
      <c r="G136" s="51">
        <f>(Q135*'AP04'!$R136)/($I$5-A135)</f>
        <v>682.918887</v>
      </c>
      <c r="H136" s="52">
        <f t="shared" ref="H136:L136" si="185">H135</f>
        <v>0</v>
      </c>
      <c r="I136" s="52">
        <f t="shared" si="185"/>
        <v>0</v>
      </c>
      <c r="J136" s="51">
        <f t="shared" si="185"/>
        <v>25</v>
      </c>
      <c r="K136" s="52">
        <f t="shared" si="185"/>
        <v>0</v>
      </c>
      <c r="L136" s="52">
        <f t="shared" si="185"/>
        <v>0</v>
      </c>
      <c r="M136" s="52"/>
      <c r="N136" s="85">
        <f>SUM('AP04'!$F136:$L136)</f>
        <v>1726.344807</v>
      </c>
      <c r="O136" s="51"/>
      <c r="P136" s="51">
        <f>Q135*('AP04'!$R136-1)</f>
        <v>0</v>
      </c>
      <c r="Q136" s="51">
        <f>(Q135*'AP04'!$R136)-'AP04'!$G136</f>
        <v>162534.6951</v>
      </c>
      <c r="R136" s="53">
        <f t="shared" si="149"/>
        <v>1</v>
      </c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56">
        <f t="shared" si="2"/>
        <v>123</v>
      </c>
      <c r="B137" s="50">
        <f t="shared" si="5"/>
        <v>46986</v>
      </c>
      <c r="C137" s="116">
        <f t="shared" si="126"/>
        <v>0.0775</v>
      </c>
      <c r="D137" s="116">
        <f>((1+'AP04'!$C137)^(1/12))-1</f>
        <v>0.006239681461</v>
      </c>
      <c r="E137" s="51">
        <f t="shared" si="127"/>
        <v>2089.154398</v>
      </c>
      <c r="F137" s="51">
        <f>(Q136*'AP04'!$R137)*'AP04'!$D137</f>
        <v>1014.164724</v>
      </c>
      <c r="G137" s="51">
        <f>(Q136*'AP04'!$R137)/($I$5-A136)</f>
        <v>682.918887</v>
      </c>
      <c r="H137" s="52">
        <f t="shared" ref="H137:L137" si="186">H136</f>
        <v>0</v>
      </c>
      <c r="I137" s="52">
        <f t="shared" si="186"/>
        <v>0</v>
      </c>
      <c r="J137" s="51">
        <f t="shared" si="186"/>
        <v>25</v>
      </c>
      <c r="K137" s="52">
        <f t="shared" si="186"/>
        <v>0</v>
      </c>
      <c r="L137" s="52">
        <f t="shared" si="186"/>
        <v>0</v>
      </c>
      <c r="M137" s="52"/>
      <c r="N137" s="85">
        <f>SUM('AP04'!$F137:$L137)</f>
        <v>1722.083611</v>
      </c>
      <c r="O137" s="51"/>
      <c r="P137" s="51">
        <f>Q136*('AP04'!$R137-1)</f>
        <v>0</v>
      </c>
      <c r="Q137" s="51">
        <f>(Q136*'AP04'!$R137)-'AP04'!$G137</f>
        <v>161851.7762</v>
      </c>
      <c r="R137" s="53">
        <f t="shared" si="149"/>
        <v>1</v>
      </c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56">
        <f t="shared" si="2"/>
        <v>124</v>
      </c>
      <c r="B138" s="50">
        <f t="shared" si="5"/>
        <v>47017</v>
      </c>
      <c r="C138" s="116">
        <f t="shared" si="126"/>
        <v>0.0775</v>
      </c>
      <c r="D138" s="116">
        <f>((1+'AP04'!$C138)^(1/12))-1</f>
        <v>0.006239681461</v>
      </c>
      <c r="E138" s="51">
        <f t="shared" si="127"/>
        <v>2089.154398</v>
      </c>
      <c r="F138" s="51">
        <f>(Q137*'AP04'!$R138)*'AP04'!$D138</f>
        <v>1009.903528</v>
      </c>
      <c r="G138" s="51">
        <f>(Q137*'AP04'!$R138)/($I$5-A137)</f>
        <v>682.918887</v>
      </c>
      <c r="H138" s="52">
        <f t="shared" ref="H138:L138" si="187">H137</f>
        <v>0</v>
      </c>
      <c r="I138" s="52">
        <f t="shared" si="187"/>
        <v>0</v>
      </c>
      <c r="J138" s="51">
        <f t="shared" si="187"/>
        <v>25</v>
      </c>
      <c r="K138" s="52">
        <f t="shared" si="187"/>
        <v>0</v>
      </c>
      <c r="L138" s="52">
        <f t="shared" si="187"/>
        <v>0</v>
      </c>
      <c r="M138" s="52"/>
      <c r="N138" s="85">
        <f>SUM('AP04'!$F138:$L138)</f>
        <v>1717.822415</v>
      </c>
      <c r="O138" s="51"/>
      <c r="P138" s="51">
        <f>Q137*('AP04'!$R138-1)</f>
        <v>0</v>
      </c>
      <c r="Q138" s="51">
        <f>(Q137*'AP04'!$R138)-'AP04'!$G138</f>
        <v>161168.8573</v>
      </c>
      <c r="R138" s="53">
        <f t="shared" si="149"/>
        <v>1</v>
      </c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56">
        <f t="shared" si="2"/>
        <v>125</v>
      </c>
      <c r="B139" s="50">
        <f t="shared" si="5"/>
        <v>47047</v>
      </c>
      <c r="C139" s="116">
        <f t="shared" si="126"/>
        <v>0.0775</v>
      </c>
      <c r="D139" s="116">
        <f>((1+'AP04'!$C139)^(1/12))-1</f>
        <v>0.006239681461</v>
      </c>
      <c r="E139" s="51">
        <f t="shared" si="127"/>
        <v>2089.154398</v>
      </c>
      <c r="F139" s="51">
        <f>(Q138*'AP04'!$R139)*'AP04'!$D139</f>
        <v>1005.642331</v>
      </c>
      <c r="G139" s="51">
        <f>(Q138*'AP04'!$R139)/($I$5-A138)</f>
        <v>682.918887</v>
      </c>
      <c r="H139" s="52">
        <f t="shared" ref="H139:L139" si="188">H138</f>
        <v>0</v>
      </c>
      <c r="I139" s="52">
        <f t="shared" si="188"/>
        <v>0</v>
      </c>
      <c r="J139" s="51">
        <f t="shared" si="188"/>
        <v>25</v>
      </c>
      <c r="K139" s="52">
        <f t="shared" si="188"/>
        <v>0</v>
      </c>
      <c r="L139" s="52">
        <f t="shared" si="188"/>
        <v>0</v>
      </c>
      <c r="M139" s="52"/>
      <c r="N139" s="85">
        <f>SUM('AP04'!$F139:$L139)</f>
        <v>1713.561218</v>
      </c>
      <c r="O139" s="51"/>
      <c r="P139" s="51">
        <f>Q138*('AP04'!$R139-1)</f>
        <v>0</v>
      </c>
      <c r="Q139" s="51">
        <f>(Q138*'AP04'!$R139)-'AP04'!$G139</f>
        <v>160485.9385</v>
      </c>
      <c r="R139" s="53">
        <f t="shared" si="149"/>
        <v>1</v>
      </c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6">
        <f t="shared" si="2"/>
        <v>126</v>
      </c>
      <c r="B140" s="50">
        <f t="shared" si="5"/>
        <v>47078</v>
      </c>
      <c r="C140" s="116">
        <f t="shared" si="126"/>
        <v>0.0775</v>
      </c>
      <c r="D140" s="116">
        <f>((1+'AP04'!$C140)^(1/12))-1</f>
        <v>0.006239681461</v>
      </c>
      <c r="E140" s="51">
        <f t="shared" si="127"/>
        <v>2089.154398</v>
      </c>
      <c r="F140" s="51">
        <f>(Q139*'AP04'!$R140)*'AP04'!$D140</f>
        <v>1001.381135</v>
      </c>
      <c r="G140" s="51">
        <f>(Q139*'AP04'!$R140)/($I$5-A139)</f>
        <v>682.918887</v>
      </c>
      <c r="H140" s="52">
        <f t="shared" ref="H140:L140" si="189">H139</f>
        <v>0</v>
      </c>
      <c r="I140" s="52">
        <f t="shared" si="189"/>
        <v>0</v>
      </c>
      <c r="J140" s="51">
        <f t="shared" si="189"/>
        <v>25</v>
      </c>
      <c r="K140" s="52">
        <f t="shared" si="189"/>
        <v>0</v>
      </c>
      <c r="L140" s="52">
        <f t="shared" si="189"/>
        <v>0</v>
      </c>
      <c r="M140" s="52"/>
      <c r="N140" s="85">
        <f>SUM('AP04'!$F140:$L140)</f>
        <v>1709.300022</v>
      </c>
      <c r="O140" s="51"/>
      <c r="P140" s="51">
        <f>Q139*('AP04'!$R140-1)</f>
        <v>0</v>
      </c>
      <c r="Q140" s="51">
        <f>(Q139*'AP04'!$R140)-'AP04'!$G140</f>
        <v>159803.0196</v>
      </c>
      <c r="R140" s="53">
        <f t="shared" si="149"/>
        <v>1</v>
      </c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56">
        <f t="shared" si="2"/>
        <v>127</v>
      </c>
      <c r="B141" s="50">
        <f t="shared" si="5"/>
        <v>47108</v>
      </c>
      <c r="C141" s="116">
        <f t="shared" si="126"/>
        <v>0.0775</v>
      </c>
      <c r="D141" s="116">
        <f>((1+'AP04'!$C141)^(1/12))-1</f>
        <v>0.006239681461</v>
      </c>
      <c r="E141" s="51">
        <f t="shared" si="127"/>
        <v>2089.154398</v>
      </c>
      <c r="F141" s="51">
        <f>(Q140*'AP04'!$R141)*'AP04'!$D141</f>
        <v>997.1199387</v>
      </c>
      <c r="G141" s="51">
        <f>(Q140*'AP04'!$R141)/($I$5-A140)</f>
        <v>682.918887</v>
      </c>
      <c r="H141" s="52">
        <f t="shared" ref="H141:L141" si="190">H140</f>
        <v>0</v>
      </c>
      <c r="I141" s="52">
        <f t="shared" si="190"/>
        <v>0</v>
      </c>
      <c r="J141" s="51">
        <f t="shared" si="190"/>
        <v>25</v>
      </c>
      <c r="K141" s="52">
        <f t="shared" si="190"/>
        <v>0</v>
      </c>
      <c r="L141" s="52">
        <f t="shared" si="190"/>
        <v>0</v>
      </c>
      <c r="M141" s="52"/>
      <c r="N141" s="85">
        <f>SUM('AP04'!$F141:$L141)</f>
        <v>1705.038826</v>
      </c>
      <c r="O141" s="51"/>
      <c r="P141" s="51">
        <f>Q140*('AP04'!$R141-1)</f>
        <v>0</v>
      </c>
      <c r="Q141" s="51">
        <f>(Q140*'AP04'!$R141)-'AP04'!$G141</f>
        <v>159120.1007</v>
      </c>
      <c r="R141" s="53">
        <f t="shared" si="149"/>
        <v>1</v>
      </c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56">
        <f t="shared" si="2"/>
        <v>128</v>
      </c>
      <c r="B142" s="50">
        <f t="shared" si="5"/>
        <v>47139</v>
      </c>
      <c r="C142" s="116">
        <f t="shared" si="126"/>
        <v>0.0775</v>
      </c>
      <c r="D142" s="116">
        <f>((1+'AP04'!$C142)^(1/12))-1</f>
        <v>0.006239681461</v>
      </c>
      <c r="E142" s="51">
        <f t="shared" si="127"/>
        <v>2089.154398</v>
      </c>
      <c r="F142" s="51">
        <f>(Q141*'AP04'!$R142)*'AP04'!$D142</f>
        <v>992.8587423</v>
      </c>
      <c r="G142" s="51">
        <f>(Q141*'AP04'!$R142)/($I$5-A141)</f>
        <v>682.918887</v>
      </c>
      <c r="H142" s="52">
        <f t="shared" ref="H142:L142" si="191">H141</f>
        <v>0</v>
      </c>
      <c r="I142" s="52">
        <f t="shared" si="191"/>
        <v>0</v>
      </c>
      <c r="J142" s="51">
        <f t="shared" si="191"/>
        <v>25</v>
      </c>
      <c r="K142" s="52">
        <f t="shared" si="191"/>
        <v>0</v>
      </c>
      <c r="L142" s="52">
        <f t="shared" si="191"/>
        <v>0</v>
      </c>
      <c r="M142" s="52"/>
      <c r="N142" s="85">
        <f>SUM('AP04'!$F142:$L142)</f>
        <v>1700.777629</v>
      </c>
      <c r="O142" s="51"/>
      <c r="P142" s="51">
        <f>Q141*('AP04'!$R142-1)</f>
        <v>0</v>
      </c>
      <c r="Q142" s="51">
        <f>(Q141*'AP04'!$R142)-'AP04'!$G142</f>
        <v>158437.1818</v>
      </c>
      <c r="R142" s="53">
        <f t="shared" si="149"/>
        <v>1</v>
      </c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56">
        <f t="shared" si="2"/>
        <v>129</v>
      </c>
      <c r="B143" s="50">
        <f t="shared" si="5"/>
        <v>47170</v>
      </c>
      <c r="C143" s="116">
        <f t="shared" si="126"/>
        <v>0.0775</v>
      </c>
      <c r="D143" s="116">
        <f>((1+'AP04'!$C143)^(1/12))-1</f>
        <v>0.006239681461</v>
      </c>
      <c r="E143" s="51">
        <f t="shared" si="127"/>
        <v>2089.154398</v>
      </c>
      <c r="F143" s="51">
        <f>(Q142*'AP04'!$R143)*'AP04'!$D143</f>
        <v>988.597546</v>
      </c>
      <c r="G143" s="51">
        <f>(Q142*'AP04'!$R143)/($I$5-A142)</f>
        <v>682.918887</v>
      </c>
      <c r="H143" s="52">
        <f t="shared" ref="H143:L143" si="192">H142</f>
        <v>0</v>
      </c>
      <c r="I143" s="52">
        <f t="shared" si="192"/>
        <v>0</v>
      </c>
      <c r="J143" s="51">
        <f t="shared" si="192"/>
        <v>25</v>
      </c>
      <c r="K143" s="52">
        <f t="shared" si="192"/>
        <v>0</v>
      </c>
      <c r="L143" s="52">
        <f t="shared" si="192"/>
        <v>0</v>
      </c>
      <c r="M143" s="52"/>
      <c r="N143" s="85">
        <f>SUM('AP04'!$F143:$L143)</f>
        <v>1696.516433</v>
      </c>
      <c r="O143" s="51"/>
      <c r="P143" s="51">
        <f>Q142*('AP04'!$R143-1)</f>
        <v>0</v>
      </c>
      <c r="Q143" s="51">
        <f>(Q142*'AP04'!$R143)-'AP04'!$G143</f>
        <v>157754.2629</v>
      </c>
      <c r="R143" s="53">
        <f t="shared" si="149"/>
        <v>1</v>
      </c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56">
        <f t="shared" si="2"/>
        <v>130</v>
      </c>
      <c r="B144" s="50">
        <f t="shared" si="5"/>
        <v>47198</v>
      </c>
      <c r="C144" s="116">
        <f t="shared" si="126"/>
        <v>0.0775</v>
      </c>
      <c r="D144" s="116">
        <f>((1+'AP04'!$C144)^(1/12))-1</f>
        <v>0.006239681461</v>
      </c>
      <c r="E144" s="51">
        <f t="shared" si="127"/>
        <v>2089.154398</v>
      </c>
      <c r="F144" s="51">
        <f>(Q143*'AP04'!$R144)*'AP04'!$D144</f>
        <v>984.3363497</v>
      </c>
      <c r="G144" s="51">
        <f>(Q143*'AP04'!$R144)/($I$5-A143)</f>
        <v>682.918887</v>
      </c>
      <c r="H144" s="52">
        <f t="shared" ref="H144:L144" si="193">H143</f>
        <v>0</v>
      </c>
      <c r="I144" s="52">
        <f t="shared" si="193"/>
        <v>0</v>
      </c>
      <c r="J144" s="51">
        <f t="shared" si="193"/>
        <v>25</v>
      </c>
      <c r="K144" s="52">
        <f t="shared" si="193"/>
        <v>0</v>
      </c>
      <c r="L144" s="52">
        <f t="shared" si="193"/>
        <v>0</v>
      </c>
      <c r="M144" s="52"/>
      <c r="N144" s="85">
        <f>SUM('AP04'!$F144:$L144)</f>
        <v>1692.255237</v>
      </c>
      <c r="O144" s="51"/>
      <c r="P144" s="51">
        <f>Q143*('AP04'!$R144-1)</f>
        <v>0</v>
      </c>
      <c r="Q144" s="51">
        <f>(Q143*'AP04'!$R144)-'AP04'!$G144</f>
        <v>157071.344</v>
      </c>
      <c r="R144" s="53">
        <f t="shared" si="149"/>
        <v>1</v>
      </c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56">
        <f t="shared" si="2"/>
        <v>131</v>
      </c>
      <c r="B145" s="50">
        <f t="shared" si="5"/>
        <v>47229</v>
      </c>
      <c r="C145" s="116">
        <f t="shared" si="126"/>
        <v>0.0775</v>
      </c>
      <c r="D145" s="116">
        <f>((1+'AP04'!$C145)^(1/12))-1</f>
        <v>0.006239681461</v>
      </c>
      <c r="E145" s="51">
        <f t="shared" si="127"/>
        <v>2089.154398</v>
      </c>
      <c r="F145" s="51">
        <f>(Q144*'AP04'!$R145)*'AP04'!$D145</f>
        <v>980.0751534</v>
      </c>
      <c r="G145" s="51">
        <f>(Q144*'AP04'!$R145)/($I$5-A144)</f>
        <v>682.918887</v>
      </c>
      <c r="H145" s="52">
        <f t="shared" ref="H145:L145" si="194">H144</f>
        <v>0</v>
      </c>
      <c r="I145" s="52">
        <f t="shared" si="194"/>
        <v>0</v>
      </c>
      <c r="J145" s="51">
        <f t="shared" si="194"/>
        <v>25</v>
      </c>
      <c r="K145" s="52">
        <f t="shared" si="194"/>
        <v>0</v>
      </c>
      <c r="L145" s="52">
        <f t="shared" si="194"/>
        <v>0</v>
      </c>
      <c r="M145" s="52"/>
      <c r="N145" s="85">
        <f>SUM('AP04'!$F145:$L145)</f>
        <v>1687.99404</v>
      </c>
      <c r="O145" s="51"/>
      <c r="P145" s="51">
        <f>Q144*('AP04'!$R145-1)</f>
        <v>0</v>
      </c>
      <c r="Q145" s="51">
        <f>(Q144*'AP04'!$R145)-'AP04'!$G145</f>
        <v>156388.4251</v>
      </c>
      <c r="R145" s="53">
        <f t="shared" si="149"/>
        <v>1</v>
      </c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56">
        <f t="shared" si="2"/>
        <v>132</v>
      </c>
      <c r="B146" s="50">
        <f t="shared" si="5"/>
        <v>47259</v>
      </c>
      <c r="C146" s="116">
        <f t="shared" si="126"/>
        <v>0.0775</v>
      </c>
      <c r="D146" s="116">
        <f>((1+'AP04'!$C146)^(1/12))-1</f>
        <v>0.006239681461</v>
      </c>
      <c r="E146" s="51">
        <f t="shared" si="127"/>
        <v>2089.154398</v>
      </c>
      <c r="F146" s="51">
        <f>(Q145*'AP04'!$R146)*'AP04'!$D146</f>
        <v>975.8139571</v>
      </c>
      <c r="G146" s="51">
        <f>(Q145*'AP04'!$R146)/($I$5-A145)</f>
        <v>682.918887</v>
      </c>
      <c r="H146" s="52">
        <f t="shared" ref="H146:L146" si="195">H145</f>
        <v>0</v>
      </c>
      <c r="I146" s="52">
        <f t="shared" si="195"/>
        <v>0</v>
      </c>
      <c r="J146" s="51">
        <f t="shared" si="195"/>
        <v>25</v>
      </c>
      <c r="K146" s="52">
        <f t="shared" si="195"/>
        <v>0</v>
      </c>
      <c r="L146" s="52">
        <f t="shared" si="195"/>
        <v>0</v>
      </c>
      <c r="M146" s="52"/>
      <c r="N146" s="85">
        <f>SUM('AP04'!$F146:$L146)</f>
        <v>1683.732844</v>
      </c>
      <c r="O146" s="51"/>
      <c r="P146" s="51">
        <f>Q145*('AP04'!$R146-1)</f>
        <v>0</v>
      </c>
      <c r="Q146" s="51">
        <f>(Q145*'AP04'!$R146)-'AP04'!$G146</f>
        <v>155705.5062</v>
      </c>
      <c r="R146" s="53">
        <f t="shared" si="149"/>
        <v>1</v>
      </c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56">
        <f t="shared" si="2"/>
        <v>133</v>
      </c>
      <c r="B147" s="50">
        <f t="shared" si="5"/>
        <v>47290</v>
      </c>
      <c r="C147" s="116">
        <f t="shared" si="126"/>
        <v>0.0775</v>
      </c>
      <c r="D147" s="116">
        <f>((1+'AP04'!$C147)^(1/12))-1</f>
        <v>0.006239681461</v>
      </c>
      <c r="E147" s="51">
        <f t="shared" si="127"/>
        <v>2089.154398</v>
      </c>
      <c r="F147" s="51">
        <f>(Q146*'AP04'!$R147)*'AP04'!$D147</f>
        <v>971.5527607</v>
      </c>
      <c r="G147" s="51">
        <f>(Q146*'AP04'!$R147)/($I$5-A146)</f>
        <v>682.918887</v>
      </c>
      <c r="H147" s="52">
        <f t="shared" ref="H147:L147" si="196">H146</f>
        <v>0</v>
      </c>
      <c r="I147" s="52">
        <f t="shared" si="196"/>
        <v>0</v>
      </c>
      <c r="J147" s="51">
        <f t="shared" si="196"/>
        <v>25</v>
      </c>
      <c r="K147" s="52">
        <f t="shared" si="196"/>
        <v>0</v>
      </c>
      <c r="L147" s="52">
        <f t="shared" si="196"/>
        <v>0</v>
      </c>
      <c r="M147" s="52"/>
      <c r="N147" s="85">
        <f>SUM('AP04'!$F147:$L147)</f>
        <v>1679.471648</v>
      </c>
      <c r="O147" s="51"/>
      <c r="P147" s="51">
        <f>Q146*('AP04'!$R147-1)</f>
        <v>0</v>
      </c>
      <c r="Q147" s="51">
        <f>(Q146*'AP04'!$R147)-'AP04'!$G147</f>
        <v>155022.5874</v>
      </c>
      <c r="R147" s="53">
        <f t="shared" si="149"/>
        <v>1</v>
      </c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56">
        <f t="shared" si="2"/>
        <v>134</v>
      </c>
      <c r="B148" s="50">
        <f t="shared" si="5"/>
        <v>47320</v>
      </c>
      <c r="C148" s="116">
        <f t="shared" si="126"/>
        <v>0.0775</v>
      </c>
      <c r="D148" s="116">
        <f>((1+'AP04'!$C148)^(1/12))-1</f>
        <v>0.006239681461</v>
      </c>
      <c r="E148" s="51">
        <f t="shared" si="127"/>
        <v>2089.154398</v>
      </c>
      <c r="F148" s="51">
        <f>(Q147*'AP04'!$R148)*'AP04'!$D148</f>
        <v>967.2915644</v>
      </c>
      <c r="G148" s="51">
        <f>(Q147*'AP04'!$R148)/($I$5-A147)</f>
        <v>682.918887</v>
      </c>
      <c r="H148" s="52">
        <f t="shared" ref="H148:L148" si="197">H147</f>
        <v>0</v>
      </c>
      <c r="I148" s="52">
        <f t="shared" si="197"/>
        <v>0</v>
      </c>
      <c r="J148" s="51">
        <f t="shared" si="197"/>
        <v>25</v>
      </c>
      <c r="K148" s="52">
        <f t="shared" si="197"/>
        <v>0</v>
      </c>
      <c r="L148" s="52">
        <f t="shared" si="197"/>
        <v>0</v>
      </c>
      <c r="M148" s="52"/>
      <c r="N148" s="85">
        <f>SUM('AP04'!$F148:$L148)</f>
        <v>1675.210451</v>
      </c>
      <c r="O148" s="51"/>
      <c r="P148" s="51">
        <f>Q147*('AP04'!$R148-1)</f>
        <v>0</v>
      </c>
      <c r="Q148" s="51">
        <f>(Q147*'AP04'!$R148)-'AP04'!$G148</f>
        <v>154339.6685</v>
      </c>
      <c r="R148" s="53">
        <f t="shared" si="149"/>
        <v>1</v>
      </c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56">
        <f t="shared" si="2"/>
        <v>135</v>
      </c>
      <c r="B149" s="50">
        <f t="shared" si="5"/>
        <v>47351</v>
      </c>
      <c r="C149" s="116">
        <f t="shared" si="126"/>
        <v>0.0775</v>
      </c>
      <c r="D149" s="116">
        <f>((1+'AP04'!$C149)^(1/12))-1</f>
        <v>0.006239681461</v>
      </c>
      <c r="E149" s="51">
        <f t="shared" si="127"/>
        <v>2089.154398</v>
      </c>
      <c r="F149" s="51">
        <f>(Q148*'AP04'!$R149)*'AP04'!$D149</f>
        <v>963.0303681</v>
      </c>
      <c r="G149" s="51">
        <f>(Q148*'AP04'!$R149)/($I$5-A148)</f>
        <v>682.918887</v>
      </c>
      <c r="H149" s="52">
        <f t="shared" ref="H149:L149" si="198">H148</f>
        <v>0</v>
      </c>
      <c r="I149" s="52">
        <f t="shared" si="198"/>
        <v>0</v>
      </c>
      <c r="J149" s="51">
        <f t="shared" si="198"/>
        <v>25</v>
      </c>
      <c r="K149" s="52">
        <f t="shared" si="198"/>
        <v>0</v>
      </c>
      <c r="L149" s="52">
        <f t="shared" si="198"/>
        <v>0</v>
      </c>
      <c r="M149" s="52"/>
      <c r="N149" s="85">
        <f>SUM('AP04'!$F149:$L149)</f>
        <v>1670.949255</v>
      </c>
      <c r="O149" s="51"/>
      <c r="P149" s="51">
        <f>Q148*('AP04'!$R149-1)</f>
        <v>0</v>
      </c>
      <c r="Q149" s="51">
        <f>(Q148*'AP04'!$R149)-'AP04'!$G149</f>
        <v>153656.7496</v>
      </c>
      <c r="R149" s="53">
        <f t="shared" si="149"/>
        <v>1</v>
      </c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6">
        <f t="shared" si="2"/>
        <v>136</v>
      </c>
      <c r="B150" s="50">
        <f t="shared" si="5"/>
        <v>47382</v>
      </c>
      <c r="C150" s="116">
        <f t="shared" si="126"/>
        <v>0.0775</v>
      </c>
      <c r="D150" s="116">
        <f>((1+'AP04'!$C150)^(1/12))-1</f>
        <v>0.006239681461</v>
      </c>
      <c r="E150" s="51">
        <f t="shared" si="127"/>
        <v>2089.154398</v>
      </c>
      <c r="F150" s="51">
        <f>(Q149*'AP04'!$R150)*'AP04'!$D150</f>
        <v>958.7691718</v>
      </c>
      <c r="G150" s="51">
        <f>(Q149*'AP04'!$R150)/($I$5-A149)</f>
        <v>682.918887</v>
      </c>
      <c r="H150" s="52">
        <f t="shared" ref="H150:L150" si="199">H149</f>
        <v>0</v>
      </c>
      <c r="I150" s="52">
        <f t="shared" si="199"/>
        <v>0</v>
      </c>
      <c r="J150" s="51">
        <f t="shared" si="199"/>
        <v>25</v>
      </c>
      <c r="K150" s="52">
        <f t="shared" si="199"/>
        <v>0</v>
      </c>
      <c r="L150" s="52">
        <f t="shared" si="199"/>
        <v>0</v>
      </c>
      <c r="M150" s="52"/>
      <c r="N150" s="85">
        <f>SUM('AP04'!$F150:$L150)</f>
        <v>1666.688059</v>
      </c>
      <c r="O150" s="51"/>
      <c r="P150" s="51">
        <f>Q149*('AP04'!$R150-1)</f>
        <v>0</v>
      </c>
      <c r="Q150" s="51">
        <f>(Q149*'AP04'!$R150)-'AP04'!$G150</f>
        <v>152973.8307</v>
      </c>
      <c r="R150" s="53">
        <f t="shared" si="149"/>
        <v>1</v>
      </c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56">
        <f t="shared" si="2"/>
        <v>137</v>
      </c>
      <c r="B151" s="50">
        <f t="shared" si="5"/>
        <v>47412</v>
      </c>
      <c r="C151" s="116">
        <f t="shared" si="126"/>
        <v>0.0775</v>
      </c>
      <c r="D151" s="116">
        <f>((1+'AP04'!$C151)^(1/12))-1</f>
        <v>0.006239681461</v>
      </c>
      <c r="E151" s="51">
        <f t="shared" si="127"/>
        <v>2089.154398</v>
      </c>
      <c r="F151" s="51">
        <f>(Q150*'AP04'!$R151)*'AP04'!$D151</f>
        <v>954.5079755</v>
      </c>
      <c r="G151" s="51">
        <f>(Q150*'AP04'!$R151)/($I$5-A150)</f>
        <v>682.918887</v>
      </c>
      <c r="H151" s="52">
        <f t="shared" ref="H151:L151" si="200">H150</f>
        <v>0</v>
      </c>
      <c r="I151" s="52">
        <f t="shared" si="200"/>
        <v>0</v>
      </c>
      <c r="J151" s="51">
        <f t="shared" si="200"/>
        <v>25</v>
      </c>
      <c r="K151" s="52">
        <f t="shared" si="200"/>
        <v>0</v>
      </c>
      <c r="L151" s="52">
        <f t="shared" si="200"/>
        <v>0</v>
      </c>
      <c r="M151" s="52"/>
      <c r="N151" s="85">
        <f>SUM('AP04'!$F151:$L151)</f>
        <v>1662.426863</v>
      </c>
      <c r="O151" s="51"/>
      <c r="P151" s="51">
        <f>Q150*('AP04'!$R151-1)</f>
        <v>0</v>
      </c>
      <c r="Q151" s="51">
        <f>(Q150*'AP04'!$R151)-'AP04'!$G151</f>
        <v>152290.9118</v>
      </c>
      <c r="R151" s="53">
        <f t="shared" si="149"/>
        <v>1</v>
      </c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56">
        <f t="shared" si="2"/>
        <v>138</v>
      </c>
      <c r="B152" s="50">
        <f t="shared" si="5"/>
        <v>47443</v>
      </c>
      <c r="C152" s="116">
        <f t="shared" si="126"/>
        <v>0.0775</v>
      </c>
      <c r="D152" s="116">
        <f>((1+'AP04'!$C152)^(1/12))-1</f>
        <v>0.006239681461</v>
      </c>
      <c r="E152" s="51">
        <f t="shared" si="127"/>
        <v>2089.154398</v>
      </c>
      <c r="F152" s="51">
        <f>(Q151*'AP04'!$R152)*'AP04'!$D152</f>
        <v>950.2467791</v>
      </c>
      <c r="G152" s="51">
        <f>(Q151*'AP04'!$R152)/($I$5-A151)</f>
        <v>682.918887</v>
      </c>
      <c r="H152" s="52">
        <f t="shared" ref="H152:L152" si="201">H151</f>
        <v>0</v>
      </c>
      <c r="I152" s="52">
        <f t="shared" si="201"/>
        <v>0</v>
      </c>
      <c r="J152" s="51">
        <f t="shared" si="201"/>
        <v>25</v>
      </c>
      <c r="K152" s="52">
        <f t="shared" si="201"/>
        <v>0</v>
      </c>
      <c r="L152" s="52">
        <f t="shared" si="201"/>
        <v>0</v>
      </c>
      <c r="M152" s="52"/>
      <c r="N152" s="85">
        <f>SUM('AP04'!$F152:$L152)</f>
        <v>1658.165666</v>
      </c>
      <c r="O152" s="51"/>
      <c r="P152" s="51">
        <f>Q151*('AP04'!$R152-1)</f>
        <v>0</v>
      </c>
      <c r="Q152" s="51">
        <f>(Q151*'AP04'!$R152)-'AP04'!$G152</f>
        <v>151607.9929</v>
      </c>
      <c r="R152" s="53">
        <f t="shared" si="149"/>
        <v>1</v>
      </c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56">
        <f t="shared" si="2"/>
        <v>139</v>
      </c>
      <c r="B153" s="50">
        <f t="shared" si="5"/>
        <v>47473</v>
      </c>
      <c r="C153" s="116">
        <f t="shared" si="126"/>
        <v>0.0775</v>
      </c>
      <c r="D153" s="116">
        <f>((1+'AP04'!$C153)^(1/12))-1</f>
        <v>0.006239681461</v>
      </c>
      <c r="E153" s="51">
        <f t="shared" si="127"/>
        <v>2089.154398</v>
      </c>
      <c r="F153" s="51">
        <f>(Q152*'AP04'!$R153)*'AP04'!$D153</f>
        <v>945.9855828</v>
      </c>
      <c r="G153" s="51">
        <f>(Q152*'AP04'!$R153)/($I$5-A152)</f>
        <v>682.918887</v>
      </c>
      <c r="H153" s="52">
        <f t="shared" ref="H153:L153" si="202">H152</f>
        <v>0</v>
      </c>
      <c r="I153" s="52">
        <f t="shared" si="202"/>
        <v>0</v>
      </c>
      <c r="J153" s="51">
        <f t="shared" si="202"/>
        <v>25</v>
      </c>
      <c r="K153" s="52">
        <f t="shared" si="202"/>
        <v>0</v>
      </c>
      <c r="L153" s="52">
        <f t="shared" si="202"/>
        <v>0</v>
      </c>
      <c r="M153" s="52"/>
      <c r="N153" s="85">
        <f>SUM('AP04'!$F153:$L153)</f>
        <v>1653.90447</v>
      </c>
      <c r="O153" s="51"/>
      <c r="P153" s="51">
        <f>Q152*('AP04'!$R153-1)</f>
        <v>0</v>
      </c>
      <c r="Q153" s="51">
        <f>(Q152*'AP04'!$R153)-'AP04'!$G153</f>
        <v>150925.074</v>
      </c>
      <c r="R153" s="53">
        <f t="shared" si="149"/>
        <v>1</v>
      </c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56">
        <f t="shared" si="2"/>
        <v>140</v>
      </c>
      <c r="B154" s="50">
        <f t="shared" si="5"/>
        <v>47504</v>
      </c>
      <c r="C154" s="116">
        <f t="shared" si="126"/>
        <v>0.0775</v>
      </c>
      <c r="D154" s="116">
        <f>((1+'AP04'!$C154)^(1/12))-1</f>
        <v>0.006239681461</v>
      </c>
      <c r="E154" s="51">
        <f t="shared" si="127"/>
        <v>2089.154398</v>
      </c>
      <c r="F154" s="51">
        <f>(Q153*'AP04'!$R154)*'AP04'!$D154</f>
        <v>941.7243865</v>
      </c>
      <c r="G154" s="51">
        <f>(Q153*'AP04'!$R154)/($I$5-A153)</f>
        <v>682.918887</v>
      </c>
      <c r="H154" s="52">
        <f t="shared" ref="H154:L154" si="203">H153</f>
        <v>0</v>
      </c>
      <c r="I154" s="52">
        <f t="shared" si="203"/>
        <v>0</v>
      </c>
      <c r="J154" s="51">
        <f t="shared" si="203"/>
        <v>25</v>
      </c>
      <c r="K154" s="52">
        <f t="shared" si="203"/>
        <v>0</v>
      </c>
      <c r="L154" s="52">
        <f t="shared" si="203"/>
        <v>0</v>
      </c>
      <c r="M154" s="52"/>
      <c r="N154" s="85">
        <f>SUM('AP04'!$F154:$L154)</f>
        <v>1649.643274</v>
      </c>
      <c r="O154" s="51"/>
      <c r="P154" s="51">
        <f>Q153*('AP04'!$R154-1)</f>
        <v>0</v>
      </c>
      <c r="Q154" s="51">
        <f>(Q153*'AP04'!$R154)-'AP04'!$G154</f>
        <v>150242.1551</v>
      </c>
      <c r="R154" s="53">
        <f t="shared" si="149"/>
        <v>1</v>
      </c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56">
        <f t="shared" si="2"/>
        <v>141</v>
      </c>
      <c r="B155" s="50">
        <f t="shared" si="5"/>
        <v>47535</v>
      </c>
      <c r="C155" s="116">
        <f t="shared" si="126"/>
        <v>0.0775</v>
      </c>
      <c r="D155" s="116">
        <f>((1+'AP04'!$C155)^(1/12))-1</f>
        <v>0.006239681461</v>
      </c>
      <c r="E155" s="51">
        <f t="shared" si="127"/>
        <v>2089.154398</v>
      </c>
      <c r="F155" s="51">
        <f>(Q154*'AP04'!$R155)*'AP04'!$D155</f>
        <v>937.4631902</v>
      </c>
      <c r="G155" s="51">
        <f>(Q154*'AP04'!$R155)/($I$5-A154)</f>
        <v>682.918887</v>
      </c>
      <c r="H155" s="52">
        <f t="shared" ref="H155:L155" si="204">H154</f>
        <v>0</v>
      </c>
      <c r="I155" s="52">
        <f t="shared" si="204"/>
        <v>0</v>
      </c>
      <c r="J155" s="51">
        <f t="shared" si="204"/>
        <v>25</v>
      </c>
      <c r="K155" s="52">
        <f t="shared" si="204"/>
        <v>0</v>
      </c>
      <c r="L155" s="52">
        <f t="shared" si="204"/>
        <v>0</v>
      </c>
      <c r="M155" s="52"/>
      <c r="N155" s="85">
        <f>SUM('AP04'!$F155:$L155)</f>
        <v>1645.382077</v>
      </c>
      <c r="O155" s="51"/>
      <c r="P155" s="51">
        <f>Q154*('AP04'!$R155-1)</f>
        <v>0</v>
      </c>
      <c r="Q155" s="51">
        <f>(Q154*'AP04'!$R155)-'AP04'!$G155</f>
        <v>149559.2363</v>
      </c>
      <c r="R155" s="53">
        <f t="shared" si="149"/>
        <v>1</v>
      </c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56">
        <f t="shared" si="2"/>
        <v>142</v>
      </c>
      <c r="B156" s="50">
        <f t="shared" si="5"/>
        <v>47563</v>
      </c>
      <c r="C156" s="116">
        <f t="shared" si="126"/>
        <v>0.0775</v>
      </c>
      <c r="D156" s="116">
        <f>((1+'AP04'!$C156)^(1/12))-1</f>
        <v>0.006239681461</v>
      </c>
      <c r="E156" s="51">
        <f t="shared" si="127"/>
        <v>2089.154398</v>
      </c>
      <c r="F156" s="51">
        <f>(Q155*'AP04'!$R156)*'AP04'!$D156</f>
        <v>933.2019939</v>
      </c>
      <c r="G156" s="51">
        <f>(Q155*'AP04'!$R156)/($I$5-A155)</f>
        <v>682.918887</v>
      </c>
      <c r="H156" s="52">
        <f t="shared" ref="H156:L156" si="205">H155</f>
        <v>0</v>
      </c>
      <c r="I156" s="52">
        <f t="shared" si="205"/>
        <v>0</v>
      </c>
      <c r="J156" s="51">
        <f t="shared" si="205"/>
        <v>25</v>
      </c>
      <c r="K156" s="52">
        <f t="shared" si="205"/>
        <v>0</v>
      </c>
      <c r="L156" s="52">
        <f t="shared" si="205"/>
        <v>0</v>
      </c>
      <c r="M156" s="52"/>
      <c r="N156" s="85">
        <f>SUM('AP04'!$F156:$L156)</f>
        <v>1641.120881</v>
      </c>
      <c r="O156" s="51"/>
      <c r="P156" s="51">
        <f>Q155*('AP04'!$R156-1)</f>
        <v>0</v>
      </c>
      <c r="Q156" s="51">
        <f>(Q155*'AP04'!$R156)-'AP04'!$G156</f>
        <v>148876.3174</v>
      </c>
      <c r="R156" s="53">
        <f t="shared" si="149"/>
        <v>1</v>
      </c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56">
        <f t="shared" si="2"/>
        <v>143</v>
      </c>
      <c r="B157" s="50">
        <f t="shared" si="5"/>
        <v>47594</v>
      </c>
      <c r="C157" s="116">
        <f t="shared" si="126"/>
        <v>0.0775</v>
      </c>
      <c r="D157" s="116">
        <f>((1+'AP04'!$C157)^(1/12))-1</f>
        <v>0.006239681461</v>
      </c>
      <c r="E157" s="51">
        <f t="shared" si="127"/>
        <v>2089.154398</v>
      </c>
      <c r="F157" s="51">
        <f>(Q156*'AP04'!$R157)*'AP04'!$D157</f>
        <v>928.9407976</v>
      </c>
      <c r="G157" s="51">
        <f>(Q156*'AP04'!$R157)/($I$5-A156)</f>
        <v>682.918887</v>
      </c>
      <c r="H157" s="52">
        <f t="shared" ref="H157:L157" si="206">H156</f>
        <v>0</v>
      </c>
      <c r="I157" s="52">
        <f t="shared" si="206"/>
        <v>0</v>
      </c>
      <c r="J157" s="51">
        <f t="shared" si="206"/>
        <v>25</v>
      </c>
      <c r="K157" s="52">
        <f t="shared" si="206"/>
        <v>0</v>
      </c>
      <c r="L157" s="52">
        <f t="shared" si="206"/>
        <v>0</v>
      </c>
      <c r="M157" s="52"/>
      <c r="N157" s="85">
        <f>SUM('AP04'!$F157:$L157)</f>
        <v>1636.859685</v>
      </c>
      <c r="O157" s="51"/>
      <c r="P157" s="51">
        <f>Q156*('AP04'!$R157-1)</f>
        <v>0</v>
      </c>
      <c r="Q157" s="51">
        <f>(Q156*'AP04'!$R157)-'AP04'!$G157</f>
        <v>148193.3985</v>
      </c>
      <c r="R157" s="53">
        <f t="shared" si="149"/>
        <v>1</v>
      </c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56">
        <f t="shared" si="2"/>
        <v>144</v>
      </c>
      <c r="B158" s="50">
        <f t="shared" si="5"/>
        <v>47624</v>
      </c>
      <c r="C158" s="116">
        <f t="shared" si="126"/>
        <v>0.0775</v>
      </c>
      <c r="D158" s="116">
        <f>((1+'AP04'!$C158)^(1/12))-1</f>
        <v>0.006239681461</v>
      </c>
      <c r="E158" s="51">
        <f t="shared" si="127"/>
        <v>2089.154398</v>
      </c>
      <c r="F158" s="51">
        <f>(Q157*'AP04'!$R158)*'AP04'!$D158</f>
        <v>924.6796012</v>
      </c>
      <c r="G158" s="51">
        <f>(Q157*'AP04'!$R158)/($I$5-A157)</f>
        <v>682.918887</v>
      </c>
      <c r="H158" s="52">
        <f t="shared" ref="H158:L158" si="207">H157</f>
        <v>0</v>
      </c>
      <c r="I158" s="52">
        <f t="shared" si="207"/>
        <v>0</v>
      </c>
      <c r="J158" s="51">
        <f t="shared" si="207"/>
        <v>25</v>
      </c>
      <c r="K158" s="52">
        <f t="shared" si="207"/>
        <v>0</v>
      </c>
      <c r="L158" s="52">
        <f t="shared" si="207"/>
        <v>0</v>
      </c>
      <c r="M158" s="52"/>
      <c r="N158" s="85">
        <f>SUM('AP04'!$F158:$L158)</f>
        <v>1632.598488</v>
      </c>
      <c r="O158" s="51"/>
      <c r="P158" s="51">
        <f>Q157*('AP04'!$R158-1)</f>
        <v>0</v>
      </c>
      <c r="Q158" s="51">
        <f>(Q157*'AP04'!$R158)-'AP04'!$G158</f>
        <v>147510.4796</v>
      </c>
      <c r="R158" s="53">
        <f t="shared" si="149"/>
        <v>1</v>
      </c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56">
        <f t="shared" si="2"/>
        <v>145</v>
      </c>
      <c r="B159" s="50">
        <f t="shared" si="5"/>
        <v>47655</v>
      </c>
      <c r="C159" s="116">
        <f t="shared" si="126"/>
        <v>0.0775</v>
      </c>
      <c r="D159" s="116">
        <f>((1+'AP04'!$C159)^(1/12))-1</f>
        <v>0.006239681461</v>
      </c>
      <c r="E159" s="51">
        <f t="shared" si="127"/>
        <v>2089.154398</v>
      </c>
      <c r="F159" s="51">
        <f>(Q158*'AP04'!$R159)*'AP04'!$D159</f>
        <v>920.4184049</v>
      </c>
      <c r="G159" s="51">
        <f>(Q158*'AP04'!$R159)/($I$5-A158)</f>
        <v>682.918887</v>
      </c>
      <c r="H159" s="52">
        <f t="shared" ref="H159:L159" si="208">H158</f>
        <v>0</v>
      </c>
      <c r="I159" s="52">
        <f t="shared" si="208"/>
        <v>0</v>
      </c>
      <c r="J159" s="51">
        <f t="shared" si="208"/>
        <v>25</v>
      </c>
      <c r="K159" s="52">
        <f t="shared" si="208"/>
        <v>0</v>
      </c>
      <c r="L159" s="52">
        <f t="shared" si="208"/>
        <v>0</v>
      </c>
      <c r="M159" s="52"/>
      <c r="N159" s="85">
        <f>SUM('AP04'!$F159:$L159)</f>
        <v>1628.337292</v>
      </c>
      <c r="O159" s="51"/>
      <c r="P159" s="51">
        <f>Q158*('AP04'!$R159-1)</f>
        <v>0</v>
      </c>
      <c r="Q159" s="51">
        <f>(Q158*'AP04'!$R159)-'AP04'!$G159</f>
        <v>146827.5607</v>
      </c>
      <c r="R159" s="53">
        <f t="shared" si="149"/>
        <v>1</v>
      </c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56">
        <f t="shared" si="2"/>
        <v>146</v>
      </c>
      <c r="B160" s="50">
        <f t="shared" si="5"/>
        <v>47685</v>
      </c>
      <c r="C160" s="116">
        <f t="shared" si="126"/>
        <v>0.0775</v>
      </c>
      <c r="D160" s="116">
        <f>((1+'AP04'!$C160)^(1/12))-1</f>
        <v>0.006239681461</v>
      </c>
      <c r="E160" s="51">
        <f t="shared" si="127"/>
        <v>2089.154398</v>
      </c>
      <c r="F160" s="51">
        <f>(Q159*'AP04'!$R160)*'AP04'!$D160</f>
        <v>916.1572086</v>
      </c>
      <c r="G160" s="51">
        <f>(Q159*'AP04'!$R160)/($I$5-A159)</f>
        <v>682.918887</v>
      </c>
      <c r="H160" s="52">
        <f t="shared" ref="H160:L160" si="209">H159</f>
        <v>0</v>
      </c>
      <c r="I160" s="52">
        <f t="shared" si="209"/>
        <v>0</v>
      </c>
      <c r="J160" s="51">
        <f t="shared" si="209"/>
        <v>25</v>
      </c>
      <c r="K160" s="52">
        <f t="shared" si="209"/>
        <v>0</v>
      </c>
      <c r="L160" s="52">
        <f t="shared" si="209"/>
        <v>0</v>
      </c>
      <c r="M160" s="52"/>
      <c r="N160" s="85">
        <f>SUM('AP04'!$F160:$L160)</f>
        <v>1624.076096</v>
      </c>
      <c r="O160" s="51"/>
      <c r="P160" s="51">
        <f>Q159*('AP04'!$R160-1)</f>
        <v>0</v>
      </c>
      <c r="Q160" s="51">
        <f>(Q159*'AP04'!$R160)-'AP04'!$G160</f>
        <v>146144.6418</v>
      </c>
      <c r="R160" s="53">
        <f t="shared" si="149"/>
        <v>1</v>
      </c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56">
        <f t="shared" si="2"/>
        <v>147</v>
      </c>
      <c r="B161" s="50">
        <f t="shared" si="5"/>
        <v>47716</v>
      </c>
      <c r="C161" s="116">
        <f t="shared" si="126"/>
        <v>0.0775</v>
      </c>
      <c r="D161" s="116">
        <f>((1+'AP04'!$C161)^(1/12))-1</f>
        <v>0.006239681461</v>
      </c>
      <c r="E161" s="51">
        <f t="shared" si="127"/>
        <v>2089.154398</v>
      </c>
      <c r="F161" s="51">
        <f>(Q160*'AP04'!$R161)*'AP04'!$D161</f>
        <v>911.8960123</v>
      </c>
      <c r="G161" s="51">
        <f>(Q160*'AP04'!$R161)/($I$5-A160)</f>
        <v>682.918887</v>
      </c>
      <c r="H161" s="52">
        <f t="shared" ref="H161:L161" si="210">H160</f>
        <v>0</v>
      </c>
      <c r="I161" s="52">
        <f t="shared" si="210"/>
        <v>0</v>
      </c>
      <c r="J161" s="51">
        <f t="shared" si="210"/>
        <v>25</v>
      </c>
      <c r="K161" s="52">
        <f t="shared" si="210"/>
        <v>0</v>
      </c>
      <c r="L161" s="52">
        <f t="shared" si="210"/>
        <v>0</v>
      </c>
      <c r="M161" s="52"/>
      <c r="N161" s="85">
        <f>SUM('AP04'!$F161:$L161)</f>
        <v>1619.814899</v>
      </c>
      <c r="O161" s="51"/>
      <c r="P161" s="51">
        <f>Q160*('AP04'!$R161-1)</f>
        <v>0</v>
      </c>
      <c r="Q161" s="51">
        <f>(Q160*'AP04'!$R161)-'AP04'!$G161</f>
        <v>145461.7229</v>
      </c>
      <c r="R161" s="53">
        <f t="shared" si="149"/>
        <v>1</v>
      </c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56">
        <f t="shared" si="2"/>
        <v>148</v>
      </c>
      <c r="B162" s="50">
        <f t="shared" si="5"/>
        <v>47747</v>
      </c>
      <c r="C162" s="116">
        <f t="shared" si="126"/>
        <v>0.0775</v>
      </c>
      <c r="D162" s="116">
        <f>((1+'AP04'!$C162)^(1/12))-1</f>
        <v>0.006239681461</v>
      </c>
      <c r="E162" s="51">
        <f t="shared" si="127"/>
        <v>2089.154398</v>
      </c>
      <c r="F162" s="51">
        <f>(Q161*'AP04'!$R162)*'AP04'!$D162</f>
        <v>907.634816</v>
      </c>
      <c r="G162" s="51">
        <f>(Q161*'AP04'!$R162)/($I$5-A161)</f>
        <v>682.918887</v>
      </c>
      <c r="H162" s="52">
        <f t="shared" ref="H162:L162" si="211">H161</f>
        <v>0</v>
      </c>
      <c r="I162" s="52">
        <f t="shared" si="211"/>
        <v>0</v>
      </c>
      <c r="J162" s="51">
        <f t="shared" si="211"/>
        <v>25</v>
      </c>
      <c r="K162" s="52">
        <f t="shared" si="211"/>
        <v>0</v>
      </c>
      <c r="L162" s="52">
        <f t="shared" si="211"/>
        <v>0</v>
      </c>
      <c r="M162" s="52"/>
      <c r="N162" s="85">
        <f>SUM('AP04'!$F162:$L162)</f>
        <v>1615.553703</v>
      </c>
      <c r="O162" s="51"/>
      <c r="P162" s="51">
        <f>Q161*('AP04'!$R162-1)</f>
        <v>0</v>
      </c>
      <c r="Q162" s="51">
        <f>(Q161*'AP04'!$R162)-'AP04'!$G162</f>
        <v>144778.8041</v>
      </c>
      <c r="R162" s="53">
        <f t="shared" si="149"/>
        <v>1</v>
      </c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56">
        <f t="shared" si="2"/>
        <v>149</v>
      </c>
      <c r="B163" s="50">
        <f t="shared" si="5"/>
        <v>47777</v>
      </c>
      <c r="C163" s="116">
        <f t="shared" si="126"/>
        <v>0.0775</v>
      </c>
      <c r="D163" s="116">
        <f>((1+'AP04'!$C163)^(1/12))-1</f>
        <v>0.006239681461</v>
      </c>
      <c r="E163" s="51">
        <f t="shared" si="127"/>
        <v>2089.154398</v>
      </c>
      <c r="F163" s="51">
        <f>(Q162*'AP04'!$R163)*'AP04'!$D163</f>
        <v>903.3736196</v>
      </c>
      <c r="G163" s="51">
        <f>(Q162*'AP04'!$R163)/($I$5-A162)</f>
        <v>682.918887</v>
      </c>
      <c r="H163" s="52">
        <f t="shared" ref="H163:L163" si="212">H162</f>
        <v>0</v>
      </c>
      <c r="I163" s="52">
        <f t="shared" si="212"/>
        <v>0</v>
      </c>
      <c r="J163" s="51">
        <f t="shared" si="212"/>
        <v>25</v>
      </c>
      <c r="K163" s="52">
        <f t="shared" si="212"/>
        <v>0</v>
      </c>
      <c r="L163" s="52">
        <f t="shared" si="212"/>
        <v>0</v>
      </c>
      <c r="M163" s="52"/>
      <c r="N163" s="85">
        <f>SUM('AP04'!$F163:$L163)</f>
        <v>1611.292507</v>
      </c>
      <c r="O163" s="51"/>
      <c r="P163" s="51">
        <f>Q162*('AP04'!$R163-1)</f>
        <v>0</v>
      </c>
      <c r="Q163" s="51">
        <f>(Q162*'AP04'!$R163)-'AP04'!$G163</f>
        <v>144095.8852</v>
      </c>
      <c r="R163" s="53">
        <f t="shared" si="149"/>
        <v>1</v>
      </c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56">
        <f t="shared" si="2"/>
        <v>150</v>
      </c>
      <c r="B164" s="50">
        <f t="shared" si="5"/>
        <v>47808</v>
      </c>
      <c r="C164" s="116">
        <f t="shared" si="126"/>
        <v>0.0775</v>
      </c>
      <c r="D164" s="116">
        <f>((1+'AP04'!$C164)^(1/12))-1</f>
        <v>0.006239681461</v>
      </c>
      <c r="E164" s="51">
        <f t="shared" si="127"/>
        <v>2089.154398</v>
      </c>
      <c r="F164" s="51">
        <f>(Q163*'AP04'!$R164)*'AP04'!$D164</f>
        <v>899.1124233</v>
      </c>
      <c r="G164" s="51">
        <f>(Q163*'AP04'!$R164)/($I$5-A163)</f>
        <v>682.918887</v>
      </c>
      <c r="H164" s="52">
        <f t="shared" ref="H164:L164" si="213">H163</f>
        <v>0</v>
      </c>
      <c r="I164" s="52">
        <f t="shared" si="213"/>
        <v>0</v>
      </c>
      <c r="J164" s="51">
        <f t="shared" si="213"/>
        <v>25</v>
      </c>
      <c r="K164" s="52">
        <f t="shared" si="213"/>
        <v>0</v>
      </c>
      <c r="L164" s="52">
        <f t="shared" si="213"/>
        <v>0</v>
      </c>
      <c r="M164" s="52"/>
      <c r="N164" s="85">
        <f>SUM('AP04'!$F164:$L164)</f>
        <v>1607.03131</v>
      </c>
      <c r="O164" s="51"/>
      <c r="P164" s="51">
        <f>Q163*('AP04'!$R164-1)</f>
        <v>0</v>
      </c>
      <c r="Q164" s="51">
        <f>(Q163*'AP04'!$R164)-'AP04'!$G164</f>
        <v>143412.9663</v>
      </c>
      <c r="R164" s="53">
        <f t="shared" si="149"/>
        <v>1</v>
      </c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56">
        <f t="shared" si="2"/>
        <v>151</v>
      </c>
      <c r="B165" s="50">
        <f t="shared" si="5"/>
        <v>47838</v>
      </c>
      <c r="C165" s="116">
        <f t="shared" si="126"/>
        <v>0.0775</v>
      </c>
      <c r="D165" s="116">
        <f>((1+'AP04'!$C165)^(1/12))-1</f>
        <v>0.006239681461</v>
      </c>
      <c r="E165" s="51">
        <f t="shared" si="127"/>
        <v>2089.154398</v>
      </c>
      <c r="F165" s="51">
        <f>(Q164*'AP04'!$R165)*'AP04'!$D165</f>
        <v>894.851227</v>
      </c>
      <c r="G165" s="51">
        <f>(Q164*'AP04'!$R165)/($I$5-A164)</f>
        <v>682.918887</v>
      </c>
      <c r="H165" s="52">
        <f t="shared" ref="H165:L165" si="214">H164</f>
        <v>0</v>
      </c>
      <c r="I165" s="52">
        <f t="shared" si="214"/>
        <v>0</v>
      </c>
      <c r="J165" s="51">
        <f t="shared" si="214"/>
        <v>25</v>
      </c>
      <c r="K165" s="52">
        <f t="shared" si="214"/>
        <v>0</v>
      </c>
      <c r="L165" s="52">
        <f t="shared" si="214"/>
        <v>0</v>
      </c>
      <c r="M165" s="52"/>
      <c r="N165" s="85">
        <f>SUM('AP04'!$F165:$L165)</f>
        <v>1602.770114</v>
      </c>
      <c r="O165" s="51"/>
      <c r="P165" s="51">
        <f>Q164*('AP04'!$R165-1)</f>
        <v>0</v>
      </c>
      <c r="Q165" s="51">
        <f>(Q164*'AP04'!$R165)-'AP04'!$G165</f>
        <v>142730.0474</v>
      </c>
      <c r="R165" s="53">
        <f t="shared" si="149"/>
        <v>1</v>
      </c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56">
        <f t="shared" si="2"/>
        <v>152</v>
      </c>
      <c r="B166" s="50">
        <f t="shared" si="5"/>
        <v>47869</v>
      </c>
      <c r="C166" s="116">
        <f t="shared" si="126"/>
        <v>0.0775</v>
      </c>
      <c r="D166" s="116">
        <f>((1+'AP04'!$C166)^(1/12))-1</f>
        <v>0.006239681461</v>
      </c>
      <c r="E166" s="51">
        <f t="shared" si="127"/>
        <v>2089.154398</v>
      </c>
      <c r="F166" s="51">
        <f>(Q165*'AP04'!$R166)*'AP04'!$D166</f>
        <v>890.5900307</v>
      </c>
      <c r="G166" s="51">
        <f>(Q165*'AP04'!$R166)/($I$5-A165)</f>
        <v>682.918887</v>
      </c>
      <c r="H166" s="52">
        <f t="shared" ref="H166:L166" si="215">H165</f>
        <v>0</v>
      </c>
      <c r="I166" s="52">
        <f t="shared" si="215"/>
        <v>0</v>
      </c>
      <c r="J166" s="51">
        <f t="shared" si="215"/>
        <v>25</v>
      </c>
      <c r="K166" s="52">
        <f t="shared" si="215"/>
        <v>0</v>
      </c>
      <c r="L166" s="52">
        <f t="shared" si="215"/>
        <v>0</v>
      </c>
      <c r="M166" s="52"/>
      <c r="N166" s="85">
        <f>SUM('AP04'!$F166:$L166)</f>
        <v>1598.508918</v>
      </c>
      <c r="O166" s="51"/>
      <c r="P166" s="51">
        <f>Q165*('AP04'!$R166-1)</f>
        <v>0</v>
      </c>
      <c r="Q166" s="51">
        <f>(Q165*'AP04'!$R166)-'AP04'!$G166</f>
        <v>142047.1285</v>
      </c>
      <c r="R166" s="53">
        <f t="shared" si="149"/>
        <v>1</v>
      </c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56">
        <f t="shared" si="2"/>
        <v>153</v>
      </c>
      <c r="B167" s="50">
        <f t="shared" si="5"/>
        <v>47900</v>
      </c>
      <c r="C167" s="116">
        <f t="shared" si="126"/>
        <v>0.0775</v>
      </c>
      <c r="D167" s="116">
        <f>((1+'AP04'!$C167)^(1/12))-1</f>
        <v>0.006239681461</v>
      </c>
      <c r="E167" s="51">
        <f t="shared" si="127"/>
        <v>2089.154398</v>
      </c>
      <c r="F167" s="51">
        <f>(Q166*'AP04'!$R167)*'AP04'!$D167</f>
        <v>886.3288344</v>
      </c>
      <c r="G167" s="51">
        <f>(Q166*'AP04'!$R167)/($I$5-A166)</f>
        <v>682.918887</v>
      </c>
      <c r="H167" s="52">
        <f t="shared" ref="H167:L167" si="216">H166</f>
        <v>0</v>
      </c>
      <c r="I167" s="52">
        <f t="shared" si="216"/>
        <v>0</v>
      </c>
      <c r="J167" s="51">
        <f t="shared" si="216"/>
        <v>25</v>
      </c>
      <c r="K167" s="52">
        <f t="shared" si="216"/>
        <v>0</v>
      </c>
      <c r="L167" s="52">
        <f t="shared" si="216"/>
        <v>0</v>
      </c>
      <c r="M167" s="52"/>
      <c r="N167" s="85">
        <f>SUM('AP04'!$F167:$L167)</f>
        <v>1594.247721</v>
      </c>
      <c r="O167" s="51"/>
      <c r="P167" s="51">
        <f>Q166*('AP04'!$R167-1)</f>
        <v>0</v>
      </c>
      <c r="Q167" s="51">
        <f>(Q166*'AP04'!$R167)-'AP04'!$G167</f>
        <v>141364.2096</v>
      </c>
      <c r="R167" s="53">
        <f t="shared" si="149"/>
        <v>1</v>
      </c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56">
        <f t="shared" si="2"/>
        <v>154</v>
      </c>
      <c r="B168" s="50">
        <f t="shared" si="5"/>
        <v>47928</v>
      </c>
      <c r="C168" s="116">
        <f t="shared" si="126"/>
        <v>0.0775</v>
      </c>
      <c r="D168" s="116">
        <f>((1+'AP04'!$C168)^(1/12))-1</f>
        <v>0.006239681461</v>
      </c>
      <c r="E168" s="51">
        <f t="shared" si="127"/>
        <v>2089.154398</v>
      </c>
      <c r="F168" s="51">
        <f>(Q167*'AP04'!$R168)*'AP04'!$D168</f>
        <v>882.067638</v>
      </c>
      <c r="G168" s="51">
        <f>(Q167*'AP04'!$R168)/($I$5-A167)</f>
        <v>682.918887</v>
      </c>
      <c r="H168" s="52">
        <f t="shared" ref="H168:L168" si="217">H167</f>
        <v>0</v>
      </c>
      <c r="I168" s="52">
        <f t="shared" si="217"/>
        <v>0</v>
      </c>
      <c r="J168" s="51">
        <f t="shared" si="217"/>
        <v>25</v>
      </c>
      <c r="K168" s="52">
        <f t="shared" si="217"/>
        <v>0</v>
      </c>
      <c r="L168" s="52">
        <f t="shared" si="217"/>
        <v>0</v>
      </c>
      <c r="M168" s="52"/>
      <c r="N168" s="85">
        <f>SUM('AP04'!$F168:$L168)</f>
        <v>1589.986525</v>
      </c>
      <c r="O168" s="51"/>
      <c r="P168" s="51">
        <f>Q167*('AP04'!$R168-1)</f>
        <v>0</v>
      </c>
      <c r="Q168" s="51">
        <f>(Q167*'AP04'!$R168)-'AP04'!$G168</f>
        <v>140681.2907</v>
      </c>
      <c r="R168" s="53">
        <f t="shared" si="149"/>
        <v>1</v>
      </c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56">
        <f t="shared" si="2"/>
        <v>155</v>
      </c>
      <c r="B169" s="50">
        <f t="shared" si="5"/>
        <v>47959</v>
      </c>
      <c r="C169" s="116">
        <f t="shared" si="126"/>
        <v>0.0775</v>
      </c>
      <c r="D169" s="116">
        <f>((1+'AP04'!$C169)^(1/12))-1</f>
        <v>0.006239681461</v>
      </c>
      <c r="E169" s="51">
        <f t="shared" si="127"/>
        <v>2089.154398</v>
      </c>
      <c r="F169" s="51">
        <f>(Q168*'AP04'!$R169)*'AP04'!$D169</f>
        <v>877.8064417</v>
      </c>
      <c r="G169" s="51">
        <f>(Q168*'AP04'!$R169)/($I$5-A168)</f>
        <v>682.918887</v>
      </c>
      <c r="H169" s="52">
        <f t="shared" ref="H169:L169" si="218">H168</f>
        <v>0</v>
      </c>
      <c r="I169" s="52">
        <f t="shared" si="218"/>
        <v>0</v>
      </c>
      <c r="J169" s="51">
        <f t="shared" si="218"/>
        <v>25</v>
      </c>
      <c r="K169" s="52">
        <f t="shared" si="218"/>
        <v>0</v>
      </c>
      <c r="L169" s="52">
        <f t="shared" si="218"/>
        <v>0</v>
      </c>
      <c r="M169" s="52"/>
      <c r="N169" s="85">
        <f>SUM('AP04'!$F169:$L169)</f>
        <v>1585.725329</v>
      </c>
      <c r="O169" s="51"/>
      <c r="P169" s="51">
        <f>Q168*('AP04'!$R169-1)</f>
        <v>0</v>
      </c>
      <c r="Q169" s="51">
        <f>(Q168*'AP04'!$R169)-'AP04'!$G169</f>
        <v>139998.3718</v>
      </c>
      <c r="R169" s="53">
        <f t="shared" si="149"/>
        <v>1</v>
      </c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56">
        <f t="shared" si="2"/>
        <v>156</v>
      </c>
      <c r="B170" s="50">
        <f t="shared" si="5"/>
        <v>47989</v>
      </c>
      <c r="C170" s="116">
        <f t="shared" si="126"/>
        <v>0.0775</v>
      </c>
      <c r="D170" s="116">
        <f>((1+'AP04'!$C170)^(1/12))-1</f>
        <v>0.006239681461</v>
      </c>
      <c r="E170" s="51">
        <f t="shared" si="127"/>
        <v>2089.154398</v>
      </c>
      <c r="F170" s="51">
        <f>(Q169*'AP04'!$R170)*'AP04'!$D170</f>
        <v>873.5452454</v>
      </c>
      <c r="G170" s="51">
        <f>(Q169*'AP04'!$R170)/($I$5-A169)</f>
        <v>682.918887</v>
      </c>
      <c r="H170" s="52">
        <f t="shared" ref="H170:L170" si="219">H169</f>
        <v>0</v>
      </c>
      <c r="I170" s="52">
        <f t="shared" si="219"/>
        <v>0</v>
      </c>
      <c r="J170" s="51">
        <f t="shared" si="219"/>
        <v>25</v>
      </c>
      <c r="K170" s="52">
        <f t="shared" si="219"/>
        <v>0</v>
      </c>
      <c r="L170" s="52">
        <f t="shared" si="219"/>
        <v>0</v>
      </c>
      <c r="M170" s="52"/>
      <c r="N170" s="85">
        <f>SUM('AP04'!$F170:$L170)</f>
        <v>1581.464132</v>
      </c>
      <c r="O170" s="51"/>
      <c r="P170" s="51">
        <f>Q169*('AP04'!$R170-1)</f>
        <v>0</v>
      </c>
      <c r="Q170" s="51">
        <f>(Q169*'AP04'!$R170)-'AP04'!$G170</f>
        <v>139315.453</v>
      </c>
      <c r="R170" s="53">
        <f t="shared" si="149"/>
        <v>1</v>
      </c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56">
        <f t="shared" si="2"/>
        <v>157</v>
      </c>
      <c r="B171" s="50">
        <f t="shared" si="5"/>
        <v>48020</v>
      </c>
      <c r="C171" s="116">
        <f t="shared" si="126"/>
        <v>0.0775</v>
      </c>
      <c r="D171" s="116">
        <f>((1+'AP04'!$C171)^(1/12))-1</f>
        <v>0.006239681461</v>
      </c>
      <c r="E171" s="51">
        <f t="shared" si="127"/>
        <v>2089.154398</v>
      </c>
      <c r="F171" s="51">
        <f>(Q170*'AP04'!$R171)*'AP04'!$D171</f>
        <v>869.2840491</v>
      </c>
      <c r="G171" s="51">
        <f>(Q170*'AP04'!$R171)/($I$5-A170)</f>
        <v>682.918887</v>
      </c>
      <c r="H171" s="52">
        <f t="shared" ref="H171:L171" si="220">H170</f>
        <v>0</v>
      </c>
      <c r="I171" s="52">
        <f t="shared" si="220"/>
        <v>0</v>
      </c>
      <c r="J171" s="51">
        <f t="shared" si="220"/>
        <v>25</v>
      </c>
      <c r="K171" s="52">
        <f t="shared" si="220"/>
        <v>0</v>
      </c>
      <c r="L171" s="52">
        <f t="shared" si="220"/>
        <v>0</v>
      </c>
      <c r="M171" s="52"/>
      <c r="N171" s="85">
        <f>SUM('AP04'!$F171:$L171)</f>
        <v>1577.202936</v>
      </c>
      <c r="O171" s="51"/>
      <c r="P171" s="51">
        <f>Q170*('AP04'!$R171-1)</f>
        <v>0</v>
      </c>
      <c r="Q171" s="51">
        <f>(Q170*'AP04'!$R171)-'AP04'!$G171</f>
        <v>138632.5341</v>
      </c>
      <c r="R171" s="53">
        <f t="shared" si="149"/>
        <v>1</v>
      </c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56">
        <f t="shared" si="2"/>
        <v>158</v>
      </c>
      <c r="B172" s="50">
        <f t="shared" si="5"/>
        <v>48050</v>
      </c>
      <c r="C172" s="116">
        <f t="shared" si="126"/>
        <v>0.0775</v>
      </c>
      <c r="D172" s="116">
        <f>((1+'AP04'!$C172)^(1/12))-1</f>
        <v>0.006239681461</v>
      </c>
      <c r="E172" s="51">
        <f t="shared" si="127"/>
        <v>2089.154398</v>
      </c>
      <c r="F172" s="51">
        <f>(Q171*'AP04'!$R172)*'AP04'!$D172</f>
        <v>865.0228528</v>
      </c>
      <c r="G172" s="51">
        <f>(Q171*'AP04'!$R172)/($I$5-A171)</f>
        <v>682.918887</v>
      </c>
      <c r="H172" s="52">
        <f t="shared" ref="H172:L172" si="221">H171</f>
        <v>0</v>
      </c>
      <c r="I172" s="52">
        <f t="shared" si="221"/>
        <v>0</v>
      </c>
      <c r="J172" s="51">
        <f t="shared" si="221"/>
        <v>25</v>
      </c>
      <c r="K172" s="52">
        <f t="shared" si="221"/>
        <v>0</v>
      </c>
      <c r="L172" s="52">
        <f t="shared" si="221"/>
        <v>0</v>
      </c>
      <c r="M172" s="52"/>
      <c r="N172" s="85">
        <f>SUM('AP04'!$F172:$L172)</f>
        <v>1572.94174</v>
      </c>
      <c r="O172" s="51"/>
      <c r="P172" s="51">
        <f>Q171*('AP04'!$R172-1)</f>
        <v>0</v>
      </c>
      <c r="Q172" s="51">
        <f>(Q171*'AP04'!$R172)-'AP04'!$G172</f>
        <v>137949.6152</v>
      </c>
      <c r="R172" s="53">
        <f t="shared" si="149"/>
        <v>1</v>
      </c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56">
        <f t="shared" si="2"/>
        <v>159</v>
      </c>
      <c r="B173" s="50">
        <f t="shared" si="5"/>
        <v>48081</v>
      </c>
      <c r="C173" s="116">
        <f t="shared" si="126"/>
        <v>0.0775</v>
      </c>
      <c r="D173" s="116">
        <f>((1+'AP04'!$C173)^(1/12))-1</f>
        <v>0.006239681461</v>
      </c>
      <c r="E173" s="51">
        <f t="shared" si="127"/>
        <v>2089.154398</v>
      </c>
      <c r="F173" s="51">
        <f>(Q172*'AP04'!$R173)*'AP04'!$D173</f>
        <v>860.7616564</v>
      </c>
      <c r="G173" s="51">
        <f>(Q172*'AP04'!$R173)/($I$5-A172)</f>
        <v>682.918887</v>
      </c>
      <c r="H173" s="52">
        <f t="shared" ref="H173:L173" si="222">H172</f>
        <v>0</v>
      </c>
      <c r="I173" s="52">
        <f t="shared" si="222"/>
        <v>0</v>
      </c>
      <c r="J173" s="51">
        <f t="shared" si="222"/>
        <v>25</v>
      </c>
      <c r="K173" s="52">
        <f t="shared" si="222"/>
        <v>0</v>
      </c>
      <c r="L173" s="52">
        <f t="shared" si="222"/>
        <v>0</v>
      </c>
      <c r="M173" s="52"/>
      <c r="N173" s="85">
        <f>SUM('AP04'!$F173:$L173)</f>
        <v>1568.680543</v>
      </c>
      <c r="O173" s="51"/>
      <c r="P173" s="51">
        <f>Q172*('AP04'!$R173-1)</f>
        <v>0</v>
      </c>
      <c r="Q173" s="51">
        <f>(Q172*'AP04'!$R173)-'AP04'!$G173</f>
        <v>137266.6963</v>
      </c>
      <c r="R173" s="53">
        <f t="shared" si="149"/>
        <v>1</v>
      </c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56">
        <f t="shared" si="2"/>
        <v>160</v>
      </c>
      <c r="B174" s="50">
        <f t="shared" si="5"/>
        <v>48112</v>
      </c>
      <c r="C174" s="116">
        <f t="shared" si="126"/>
        <v>0.0775</v>
      </c>
      <c r="D174" s="116">
        <f>((1+'AP04'!$C174)^(1/12))-1</f>
        <v>0.006239681461</v>
      </c>
      <c r="E174" s="51">
        <f t="shared" si="127"/>
        <v>2089.154398</v>
      </c>
      <c r="F174" s="51">
        <f>(Q173*'AP04'!$R174)*'AP04'!$D174</f>
        <v>856.5004601</v>
      </c>
      <c r="G174" s="51">
        <f>(Q173*'AP04'!$R174)/($I$5-A173)</f>
        <v>682.918887</v>
      </c>
      <c r="H174" s="52">
        <f t="shared" ref="H174:L174" si="223">H173</f>
        <v>0</v>
      </c>
      <c r="I174" s="52">
        <f t="shared" si="223"/>
        <v>0</v>
      </c>
      <c r="J174" s="51">
        <f t="shared" si="223"/>
        <v>25</v>
      </c>
      <c r="K174" s="52">
        <f t="shared" si="223"/>
        <v>0</v>
      </c>
      <c r="L174" s="52">
        <f t="shared" si="223"/>
        <v>0</v>
      </c>
      <c r="M174" s="52"/>
      <c r="N174" s="85">
        <f>SUM('AP04'!$F174:$L174)</f>
        <v>1564.419347</v>
      </c>
      <c r="O174" s="51"/>
      <c r="P174" s="51">
        <f>Q173*('AP04'!$R174-1)</f>
        <v>0</v>
      </c>
      <c r="Q174" s="51">
        <f>(Q173*'AP04'!$R174)-'AP04'!$G174</f>
        <v>136583.7774</v>
      </c>
      <c r="R174" s="53">
        <f t="shared" si="149"/>
        <v>1</v>
      </c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56">
        <f t="shared" si="2"/>
        <v>161</v>
      </c>
      <c r="B175" s="50">
        <f t="shared" si="5"/>
        <v>48142</v>
      </c>
      <c r="C175" s="116">
        <f t="shared" si="126"/>
        <v>0.0775</v>
      </c>
      <c r="D175" s="116">
        <f>((1+'AP04'!$C175)^(1/12))-1</f>
        <v>0.006239681461</v>
      </c>
      <c r="E175" s="51">
        <f t="shared" si="127"/>
        <v>2089.154398</v>
      </c>
      <c r="F175" s="51">
        <f>(Q174*'AP04'!$R175)*'AP04'!$D175</f>
        <v>852.2392638</v>
      </c>
      <c r="G175" s="51">
        <f>(Q174*'AP04'!$R175)/($I$5-A174)</f>
        <v>682.918887</v>
      </c>
      <c r="H175" s="52">
        <f t="shared" ref="H175:L175" si="224">H174</f>
        <v>0</v>
      </c>
      <c r="I175" s="52">
        <f t="shared" si="224"/>
        <v>0</v>
      </c>
      <c r="J175" s="51">
        <f t="shared" si="224"/>
        <v>25</v>
      </c>
      <c r="K175" s="52">
        <f t="shared" si="224"/>
        <v>0</v>
      </c>
      <c r="L175" s="52">
        <f t="shared" si="224"/>
        <v>0</v>
      </c>
      <c r="M175" s="52"/>
      <c r="N175" s="85">
        <f>SUM('AP04'!$F175:$L175)</f>
        <v>1560.158151</v>
      </c>
      <c r="O175" s="51"/>
      <c r="P175" s="51">
        <f>Q174*('AP04'!$R175-1)</f>
        <v>0</v>
      </c>
      <c r="Q175" s="51">
        <f>(Q174*'AP04'!$R175)-'AP04'!$G175</f>
        <v>135900.8585</v>
      </c>
      <c r="R175" s="53">
        <f t="shared" si="149"/>
        <v>1</v>
      </c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56">
        <f t="shared" si="2"/>
        <v>162</v>
      </c>
      <c r="B176" s="50">
        <f t="shared" si="5"/>
        <v>48173</v>
      </c>
      <c r="C176" s="116">
        <f t="shared" si="126"/>
        <v>0.0775</v>
      </c>
      <c r="D176" s="116">
        <f>((1+'AP04'!$C176)^(1/12))-1</f>
        <v>0.006239681461</v>
      </c>
      <c r="E176" s="51">
        <f t="shared" si="127"/>
        <v>2089.154398</v>
      </c>
      <c r="F176" s="51">
        <f>(Q175*'AP04'!$R176)*'AP04'!$D176</f>
        <v>847.9780675</v>
      </c>
      <c r="G176" s="51">
        <f>(Q175*'AP04'!$R176)/($I$5-A175)</f>
        <v>682.918887</v>
      </c>
      <c r="H176" s="52">
        <f t="shared" ref="H176:L176" si="225">H175</f>
        <v>0</v>
      </c>
      <c r="I176" s="52">
        <f t="shared" si="225"/>
        <v>0</v>
      </c>
      <c r="J176" s="51">
        <f t="shared" si="225"/>
        <v>25</v>
      </c>
      <c r="K176" s="52">
        <f t="shared" si="225"/>
        <v>0</v>
      </c>
      <c r="L176" s="52">
        <f t="shared" si="225"/>
        <v>0</v>
      </c>
      <c r="M176" s="52"/>
      <c r="N176" s="85">
        <f>SUM('AP04'!$F176:$L176)</f>
        <v>1555.896955</v>
      </c>
      <c r="O176" s="51"/>
      <c r="P176" s="51">
        <f>Q175*('AP04'!$R176-1)</f>
        <v>0</v>
      </c>
      <c r="Q176" s="51">
        <f>(Q175*'AP04'!$R176)-'AP04'!$G176</f>
        <v>135217.9396</v>
      </c>
      <c r="R176" s="53">
        <f t="shared" si="149"/>
        <v>1</v>
      </c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56">
        <f t="shared" si="2"/>
        <v>163</v>
      </c>
      <c r="B177" s="50">
        <f t="shared" si="5"/>
        <v>48203</v>
      </c>
      <c r="C177" s="116">
        <f t="shared" si="126"/>
        <v>0.0775</v>
      </c>
      <c r="D177" s="116">
        <f>((1+'AP04'!$C177)^(1/12))-1</f>
        <v>0.006239681461</v>
      </c>
      <c r="E177" s="51">
        <f t="shared" si="127"/>
        <v>2089.154398</v>
      </c>
      <c r="F177" s="51">
        <f>(Q176*'AP04'!$R177)*'AP04'!$D177</f>
        <v>843.7168712</v>
      </c>
      <c r="G177" s="51">
        <f>(Q176*'AP04'!$R177)/($I$5-A176)</f>
        <v>682.918887</v>
      </c>
      <c r="H177" s="52">
        <f t="shared" ref="H177:L177" si="226">H176</f>
        <v>0</v>
      </c>
      <c r="I177" s="52">
        <f t="shared" si="226"/>
        <v>0</v>
      </c>
      <c r="J177" s="51">
        <f t="shared" si="226"/>
        <v>25</v>
      </c>
      <c r="K177" s="52">
        <f t="shared" si="226"/>
        <v>0</v>
      </c>
      <c r="L177" s="52">
        <f t="shared" si="226"/>
        <v>0</v>
      </c>
      <c r="M177" s="52"/>
      <c r="N177" s="85">
        <f>SUM('AP04'!$F177:$L177)</f>
        <v>1551.635758</v>
      </c>
      <c r="O177" s="51"/>
      <c r="P177" s="51">
        <f>Q176*('AP04'!$R177-1)</f>
        <v>0</v>
      </c>
      <c r="Q177" s="51">
        <f>(Q176*'AP04'!$R177)-'AP04'!$G177</f>
        <v>134535.0207</v>
      </c>
      <c r="R177" s="53">
        <f t="shared" si="149"/>
        <v>1</v>
      </c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56">
        <f t="shared" si="2"/>
        <v>164</v>
      </c>
      <c r="B178" s="50">
        <f t="shared" si="5"/>
        <v>48234</v>
      </c>
      <c r="C178" s="116">
        <f t="shared" si="126"/>
        <v>0.0775</v>
      </c>
      <c r="D178" s="116">
        <f>((1+'AP04'!$C178)^(1/12))-1</f>
        <v>0.006239681461</v>
      </c>
      <c r="E178" s="51">
        <f t="shared" si="127"/>
        <v>2089.154398</v>
      </c>
      <c r="F178" s="51">
        <f>(Q177*'AP04'!$R178)*'AP04'!$D178</f>
        <v>839.4556749</v>
      </c>
      <c r="G178" s="51">
        <f>(Q177*'AP04'!$R178)/($I$5-A177)</f>
        <v>682.918887</v>
      </c>
      <c r="H178" s="52">
        <f t="shared" ref="H178:L178" si="227">H177</f>
        <v>0</v>
      </c>
      <c r="I178" s="52">
        <f t="shared" si="227"/>
        <v>0</v>
      </c>
      <c r="J178" s="51">
        <f t="shared" si="227"/>
        <v>25</v>
      </c>
      <c r="K178" s="52">
        <f t="shared" si="227"/>
        <v>0</v>
      </c>
      <c r="L178" s="52">
        <f t="shared" si="227"/>
        <v>0</v>
      </c>
      <c r="M178" s="52"/>
      <c r="N178" s="85">
        <f>SUM('AP04'!$F178:$L178)</f>
        <v>1547.374562</v>
      </c>
      <c r="O178" s="51"/>
      <c r="P178" s="51">
        <f>Q177*('AP04'!$R178-1)</f>
        <v>0</v>
      </c>
      <c r="Q178" s="51">
        <f>(Q177*'AP04'!$R178)-'AP04'!$G178</f>
        <v>133852.1019</v>
      </c>
      <c r="R178" s="53">
        <f t="shared" si="149"/>
        <v>1</v>
      </c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56">
        <f t="shared" si="2"/>
        <v>165</v>
      </c>
      <c r="B179" s="50">
        <f t="shared" si="5"/>
        <v>48265</v>
      </c>
      <c r="C179" s="116">
        <f t="shared" si="126"/>
        <v>0.0775</v>
      </c>
      <c r="D179" s="116">
        <f>((1+'AP04'!$C179)^(1/12))-1</f>
        <v>0.006239681461</v>
      </c>
      <c r="E179" s="51">
        <f t="shared" si="127"/>
        <v>2089.154398</v>
      </c>
      <c r="F179" s="51">
        <f>(Q178*'AP04'!$R179)*'AP04'!$D179</f>
        <v>835.1944785</v>
      </c>
      <c r="G179" s="51">
        <f>(Q178*'AP04'!$R179)/($I$5-A178)</f>
        <v>682.918887</v>
      </c>
      <c r="H179" s="52">
        <f t="shared" ref="H179:L179" si="228">H178</f>
        <v>0</v>
      </c>
      <c r="I179" s="52">
        <f t="shared" si="228"/>
        <v>0</v>
      </c>
      <c r="J179" s="51">
        <f t="shared" si="228"/>
        <v>25</v>
      </c>
      <c r="K179" s="52">
        <f t="shared" si="228"/>
        <v>0</v>
      </c>
      <c r="L179" s="52">
        <f t="shared" si="228"/>
        <v>0</v>
      </c>
      <c r="M179" s="52"/>
      <c r="N179" s="85">
        <f>SUM('AP04'!$F179:$L179)</f>
        <v>1543.113366</v>
      </c>
      <c r="O179" s="51"/>
      <c r="P179" s="51">
        <f>Q178*('AP04'!$R179-1)</f>
        <v>0</v>
      </c>
      <c r="Q179" s="51">
        <f>(Q178*'AP04'!$R179)-'AP04'!$G179</f>
        <v>133169.183</v>
      </c>
      <c r="R179" s="53">
        <f t="shared" si="149"/>
        <v>1</v>
      </c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56">
        <f t="shared" si="2"/>
        <v>166</v>
      </c>
      <c r="B180" s="50">
        <f t="shared" si="5"/>
        <v>48294</v>
      </c>
      <c r="C180" s="116">
        <f t="shared" si="126"/>
        <v>0.0775</v>
      </c>
      <c r="D180" s="116">
        <f>((1+'AP04'!$C180)^(1/12))-1</f>
        <v>0.006239681461</v>
      </c>
      <c r="E180" s="51">
        <f t="shared" si="127"/>
        <v>2089.154398</v>
      </c>
      <c r="F180" s="51">
        <f>(Q179*'AP04'!$R180)*'AP04'!$D180</f>
        <v>830.9332822</v>
      </c>
      <c r="G180" s="51">
        <f>(Q179*'AP04'!$R180)/($I$5-A179)</f>
        <v>682.918887</v>
      </c>
      <c r="H180" s="52">
        <f t="shared" ref="H180:L180" si="229">H179</f>
        <v>0</v>
      </c>
      <c r="I180" s="52">
        <f t="shared" si="229"/>
        <v>0</v>
      </c>
      <c r="J180" s="51">
        <f t="shared" si="229"/>
        <v>25</v>
      </c>
      <c r="K180" s="52">
        <f t="shared" si="229"/>
        <v>0</v>
      </c>
      <c r="L180" s="52">
        <f t="shared" si="229"/>
        <v>0</v>
      </c>
      <c r="M180" s="52"/>
      <c r="N180" s="85">
        <f>SUM('AP04'!$F180:$L180)</f>
        <v>1538.852169</v>
      </c>
      <c r="O180" s="51"/>
      <c r="P180" s="51">
        <f>Q179*('AP04'!$R180-1)</f>
        <v>0</v>
      </c>
      <c r="Q180" s="51">
        <f>(Q179*'AP04'!$R180)-'AP04'!$G180</f>
        <v>132486.2641</v>
      </c>
      <c r="R180" s="53">
        <f t="shared" si="149"/>
        <v>1</v>
      </c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56">
        <f t="shared" si="2"/>
        <v>167</v>
      </c>
      <c r="B181" s="50">
        <f t="shared" si="5"/>
        <v>48325</v>
      </c>
      <c r="C181" s="116">
        <f t="shared" si="126"/>
        <v>0.0775</v>
      </c>
      <c r="D181" s="116">
        <f>((1+'AP04'!$C181)^(1/12))-1</f>
        <v>0.006239681461</v>
      </c>
      <c r="E181" s="51">
        <f t="shared" si="127"/>
        <v>2089.154398</v>
      </c>
      <c r="F181" s="51">
        <f>(Q180*'AP04'!$R181)*'AP04'!$D181</f>
        <v>826.6720859</v>
      </c>
      <c r="G181" s="51">
        <f>(Q180*'AP04'!$R181)/($I$5-A180)</f>
        <v>682.918887</v>
      </c>
      <c r="H181" s="52">
        <f t="shared" ref="H181:L181" si="230">H180</f>
        <v>0</v>
      </c>
      <c r="I181" s="52">
        <f t="shared" si="230"/>
        <v>0</v>
      </c>
      <c r="J181" s="51">
        <f t="shared" si="230"/>
        <v>25</v>
      </c>
      <c r="K181" s="52">
        <f t="shared" si="230"/>
        <v>0</v>
      </c>
      <c r="L181" s="52">
        <f t="shared" si="230"/>
        <v>0</v>
      </c>
      <c r="M181" s="52"/>
      <c r="N181" s="85">
        <f>SUM('AP04'!$F181:$L181)</f>
        <v>1534.590973</v>
      </c>
      <c r="O181" s="51"/>
      <c r="P181" s="51">
        <f>Q180*('AP04'!$R181-1)</f>
        <v>0</v>
      </c>
      <c r="Q181" s="51">
        <f>(Q180*'AP04'!$R181)-'AP04'!$G181</f>
        <v>131803.3452</v>
      </c>
      <c r="R181" s="53">
        <f t="shared" si="149"/>
        <v>1</v>
      </c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56">
        <f t="shared" si="2"/>
        <v>168</v>
      </c>
      <c r="B182" s="50">
        <f t="shared" si="5"/>
        <v>48355</v>
      </c>
      <c r="C182" s="116">
        <f t="shared" si="126"/>
        <v>0.0775</v>
      </c>
      <c r="D182" s="116">
        <f>((1+'AP04'!$C182)^(1/12))-1</f>
        <v>0.006239681461</v>
      </c>
      <c r="E182" s="51">
        <f t="shared" si="127"/>
        <v>2089.154398</v>
      </c>
      <c r="F182" s="51">
        <f>(Q181*'AP04'!$R182)*'AP04'!$D182</f>
        <v>822.4108896</v>
      </c>
      <c r="G182" s="51">
        <f>(Q181*'AP04'!$R182)/($I$5-A181)</f>
        <v>682.918887</v>
      </c>
      <c r="H182" s="52">
        <f t="shared" ref="H182:L182" si="231">H181</f>
        <v>0</v>
      </c>
      <c r="I182" s="52">
        <f t="shared" si="231"/>
        <v>0</v>
      </c>
      <c r="J182" s="51">
        <f t="shared" si="231"/>
        <v>25</v>
      </c>
      <c r="K182" s="52">
        <f t="shared" si="231"/>
        <v>0</v>
      </c>
      <c r="L182" s="52">
        <f t="shared" si="231"/>
        <v>0</v>
      </c>
      <c r="M182" s="52"/>
      <c r="N182" s="85">
        <f>SUM('AP04'!$F182:$L182)</f>
        <v>1530.329777</v>
      </c>
      <c r="O182" s="51"/>
      <c r="P182" s="51">
        <f>Q181*('AP04'!$R182-1)</f>
        <v>0</v>
      </c>
      <c r="Q182" s="51">
        <f>(Q181*'AP04'!$R182)-'AP04'!$G182</f>
        <v>131120.4263</v>
      </c>
      <c r="R182" s="53">
        <f t="shared" si="149"/>
        <v>1</v>
      </c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56">
        <f t="shared" si="2"/>
        <v>169</v>
      </c>
      <c r="B183" s="50">
        <f t="shared" si="5"/>
        <v>48386</v>
      </c>
      <c r="C183" s="116">
        <f t="shared" si="126"/>
        <v>0.0775</v>
      </c>
      <c r="D183" s="116">
        <f>((1+'AP04'!$C183)^(1/12))-1</f>
        <v>0.006239681461</v>
      </c>
      <c r="E183" s="51">
        <f t="shared" si="127"/>
        <v>2089.154398</v>
      </c>
      <c r="F183" s="51">
        <f>(Q182*'AP04'!$R183)*'AP04'!$D183</f>
        <v>818.1496933</v>
      </c>
      <c r="G183" s="51">
        <f>(Q182*'AP04'!$R183)/($I$5-A182)</f>
        <v>682.918887</v>
      </c>
      <c r="H183" s="52">
        <f t="shared" ref="H183:L183" si="232">H182</f>
        <v>0</v>
      </c>
      <c r="I183" s="52">
        <f t="shared" si="232"/>
        <v>0</v>
      </c>
      <c r="J183" s="51">
        <f t="shared" si="232"/>
        <v>25</v>
      </c>
      <c r="K183" s="52">
        <f t="shared" si="232"/>
        <v>0</v>
      </c>
      <c r="L183" s="52">
        <f t="shared" si="232"/>
        <v>0</v>
      </c>
      <c r="M183" s="52"/>
      <c r="N183" s="85">
        <f>SUM('AP04'!$F183:$L183)</f>
        <v>1526.06858</v>
      </c>
      <c r="O183" s="51"/>
      <c r="P183" s="51">
        <f>Q182*('AP04'!$R183-1)</f>
        <v>0</v>
      </c>
      <c r="Q183" s="51">
        <f>(Q182*'AP04'!$R183)-'AP04'!$G183</f>
        <v>130437.5074</v>
      </c>
      <c r="R183" s="53">
        <f t="shared" si="149"/>
        <v>1</v>
      </c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56">
        <f t="shared" si="2"/>
        <v>170</v>
      </c>
      <c r="B184" s="50">
        <f t="shared" si="5"/>
        <v>48416</v>
      </c>
      <c r="C184" s="116">
        <f t="shared" si="126"/>
        <v>0.0775</v>
      </c>
      <c r="D184" s="116">
        <f>((1+'AP04'!$C184)^(1/12))-1</f>
        <v>0.006239681461</v>
      </c>
      <c r="E184" s="51">
        <f t="shared" si="127"/>
        <v>2089.154398</v>
      </c>
      <c r="F184" s="51">
        <f>(Q183*'AP04'!$R184)*'AP04'!$D184</f>
        <v>813.8884969</v>
      </c>
      <c r="G184" s="51">
        <f>(Q183*'AP04'!$R184)/($I$5-A183)</f>
        <v>682.918887</v>
      </c>
      <c r="H184" s="52">
        <f t="shared" ref="H184:L184" si="233">H183</f>
        <v>0</v>
      </c>
      <c r="I184" s="52">
        <f t="shared" si="233"/>
        <v>0</v>
      </c>
      <c r="J184" s="51">
        <f t="shared" si="233"/>
        <v>25</v>
      </c>
      <c r="K184" s="52">
        <f t="shared" si="233"/>
        <v>0</v>
      </c>
      <c r="L184" s="52">
        <f t="shared" si="233"/>
        <v>0</v>
      </c>
      <c r="M184" s="52"/>
      <c r="N184" s="85">
        <f>SUM('AP04'!$F184:$L184)</f>
        <v>1521.807384</v>
      </c>
      <c r="O184" s="51"/>
      <c r="P184" s="51">
        <f>Q183*('AP04'!$R184-1)</f>
        <v>0</v>
      </c>
      <c r="Q184" s="51">
        <f>(Q183*'AP04'!$R184)-'AP04'!$G184</f>
        <v>129754.5885</v>
      </c>
      <c r="R184" s="53">
        <f t="shared" si="149"/>
        <v>1</v>
      </c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56">
        <f t="shared" si="2"/>
        <v>171</v>
      </c>
      <c r="B185" s="50">
        <f t="shared" si="5"/>
        <v>48447</v>
      </c>
      <c r="C185" s="116">
        <f t="shared" si="126"/>
        <v>0.0775</v>
      </c>
      <c r="D185" s="116">
        <f>((1+'AP04'!$C185)^(1/12))-1</f>
        <v>0.006239681461</v>
      </c>
      <c r="E185" s="51">
        <f t="shared" si="127"/>
        <v>2089.154398</v>
      </c>
      <c r="F185" s="51">
        <f>(Q184*'AP04'!$R185)*'AP04'!$D185</f>
        <v>809.6273006</v>
      </c>
      <c r="G185" s="51">
        <f>(Q184*'AP04'!$R185)/($I$5-A184)</f>
        <v>682.918887</v>
      </c>
      <c r="H185" s="52">
        <f t="shared" ref="H185:L185" si="234">H184</f>
        <v>0</v>
      </c>
      <c r="I185" s="52">
        <f t="shared" si="234"/>
        <v>0</v>
      </c>
      <c r="J185" s="51">
        <f t="shared" si="234"/>
        <v>25</v>
      </c>
      <c r="K185" s="52">
        <f t="shared" si="234"/>
        <v>0</v>
      </c>
      <c r="L185" s="52">
        <f t="shared" si="234"/>
        <v>0</v>
      </c>
      <c r="M185" s="52"/>
      <c r="N185" s="85">
        <f>SUM('AP04'!$F185:$L185)</f>
        <v>1517.546188</v>
      </c>
      <c r="O185" s="51"/>
      <c r="P185" s="51">
        <f>Q184*('AP04'!$R185-1)</f>
        <v>0</v>
      </c>
      <c r="Q185" s="51">
        <f>(Q184*'AP04'!$R185)-'AP04'!$G185</f>
        <v>129071.6697</v>
      </c>
      <c r="R185" s="53">
        <f t="shared" si="149"/>
        <v>1</v>
      </c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56">
        <f t="shared" si="2"/>
        <v>172</v>
      </c>
      <c r="B186" s="50">
        <f t="shared" si="5"/>
        <v>48478</v>
      </c>
      <c r="C186" s="116">
        <f t="shared" si="126"/>
        <v>0.0775</v>
      </c>
      <c r="D186" s="116">
        <f>((1+'AP04'!$C186)^(1/12))-1</f>
        <v>0.006239681461</v>
      </c>
      <c r="E186" s="51">
        <f t="shared" si="127"/>
        <v>2089.154398</v>
      </c>
      <c r="F186" s="51">
        <f>(Q185*'AP04'!$R186)*'AP04'!$D186</f>
        <v>805.3661043</v>
      </c>
      <c r="G186" s="51">
        <f>(Q185*'AP04'!$R186)/($I$5-A185)</f>
        <v>682.918887</v>
      </c>
      <c r="H186" s="52">
        <f t="shared" ref="H186:L186" si="235">H185</f>
        <v>0</v>
      </c>
      <c r="I186" s="52">
        <f t="shared" si="235"/>
        <v>0</v>
      </c>
      <c r="J186" s="51">
        <f t="shared" si="235"/>
        <v>25</v>
      </c>
      <c r="K186" s="52">
        <f t="shared" si="235"/>
        <v>0</v>
      </c>
      <c r="L186" s="52">
        <f t="shared" si="235"/>
        <v>0</v>
      </c>
      <c r="M186" s="52"/>
      <c r="N186" s="85">
        <f>SUM('AP04'!$F186:$L186)</f>
        <v>1513.284991</v>
      </c>
      <c r="O186" s="51"/>
      <c r="P186" s="51">
        <f>Q185*('AP04'!$R186-1)</f>
        <v>0</v>
      </c>
      <c r="Q186" s="51">
        <f>(Q185*'AP04'!$R186)-'AP04'!$G186</f>
        <v>128388.7508</v>
      </c>
      <c r="R186" s="53">
        <f t="shared" si="149"/>
        <v>1</v>
      </c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56">
        <f t="shared" si="2"/>
        <v>173</v>
      </c>
      <c r="B187" s="50">
        <f t="shared" si="5"/>
        <v>48508</v>
      </c>
      <c r="C187" s="116">
        <f t="shared" si="126"/>
        <v>0.0775</v>
      </c>
      <c r="D187" s="116">
        <f>((1+'AP04'!$C187)^(1/12))-1</f>
        <v>0.006239681461</v>
      </c>
      <c r="E187" s="51">
        <f t="shared" si="127"/>
        <v>2089.154398</v>
      </c>
      <c r="F187" s="51">
        <f>(Q186*'AP04'!$R187)*'AP04'!$D187</f>
        <v>801.104908</v>
      </c>
      <c r="G187" s="51">
        <f>(Q186*'AP04'!$R187)/($I$5-A186)</f>
        <v>682.918887</v>
      </c>
      <c r="H187" s="52">
        <f t="shared" ref="H187:L187" si="236">H186</f>
        <v>0</v>
      </c>
      <c r="I187" s="52">
        <f t="shared" si="236"/>
        <v>0</v>
      </c>
      <c r="J187" s="51">
        <f t="shared" si="236"/>
        <v>25</v>
      </c>
      <c r="K187" s="52">
        <f t="shared" si="236"/>
        <v>0</v>
      </c>
      <c r="L187" s="52">
        <f t="shared" si="236"/>
        <v>0</v>
      </c>
      <c r="M187" s="52"/>
      <c r="N187" s="85">
        <f>SUM('AP04'!$F187:$L187)</f>
        <v>1509.023795</v>
      </c>
      <c r="O187" s="51"/>
      <c r="P187" s="51">
        <f>Q186*('AP04'!$R187-1)</f>
        <v>0</v>
      </c>
      <c r="Q187" s="51">
        <f>(Q186*'AP04'!$R187)-'AP04'!$G187</f>
        <v>127705.8319</v>
      </c>
      <c r="R187" s="53">
        <f t="shared" si="149"/>
        <v>1</v>
      </c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56">
        <f t="shared" si="2"/>
        <v>174</v>
      </c>
      <c r="B188" s="50">
        <f t="shared" si="5"/>
        <v>48539</v>
      </c>
      <c r="C188" s="116">
        <f t="shared" si="126"/>
        <v>0.0775</v>
      </c>
      <c r="D188" s="116">
        <f>((1+'AP04'!$C188)^(1/12))-1</f>
        <v>0.006239681461</v>
      </c>
      <c r="E188" s="51">
        <f t="shared" si="127"/>
        <v>2089.154398</v>
      </c>
      <c r="F188" s="51">
        <f>(Q187*'AP04'!$R188)*'AP04'!$D188</f>
        <v>796.8437117</v>
      </c>
      <c r="G188" s="51">
        <f>(Q187*'AP04'!$R188)/($I$5-A187)</f>
        <v>682.918887</v>
      </c>
      <c r="H188" s="52">
        <f t="shared" ref="H188:L188" si="237">H187</f>
        <v>0</v>
      </c>
      <c r="I188" s="52">
        <f t="shared" si="237"/>
        <v>0</v>
      </c>
      <c r="J188" s="51">
        <f t="shared" si="237"/>
        <v>25</v>
      </c>
      <c r="K188" s="52">
        <f t="shared" si="237"/>
        <v>0</v>
      </c>
      <c r="L188" s="52">
        <f t="shared" si="237"/>
        <v>0</v>
      </c>
      <c r="M188" s="52"/>
      <c r="N188" s="85">
        <f>SUM('AP04'!$F188:$L188)</f>
        <v>1504.762599</v>
      </c>
      <c r="O188" s="51"/>
      <c r="P188" s="51">
        <f>Q187*('AP04'!$R188-1)</f>
        <v>0</v>
      </c>
      <c r="Q188" s="51">
        <f>(Q187*'AP04'!$R188)-'AP04'!$G188</f>
        <v>127022.913</v>
      </c>
      <c r="R188" s="53">
        <f t="shared" si="149"/>
        <v>1</v>
      </c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56">
        <f t="shared" si="2"/>
        <v>175</v>
      </c>
      <c r="B189" s="50">
        <f t="shared" si="5"/>
        <v>48569</v>
      </c>
      <c r="C189" s="116">
        <f t="shared" si="126"/>
        <v>0.0775</v>
      </c>
      <c r="D189" s="116">
        <f>((1+'AP04'!$C189)^(1/12))-1</f>
        <v>0.006239681461</v>
      </c>
      <c r="E189" s="51">
        <f t="shared" si="127"/>
        <v>2089.154398</v>
      </c>
      <c r="F189" s="51">
        <f>(Q188*'AP04'!$R189)*'AP04'!$D189</f>
        <v>792.5825153</v>
      </c>
      <c r="G189" s="51">
        <f>(Q188*'AP04'!$R189)/($I$5-A188)</f>
        <v>682.918887</v>
      </c>
      <c r="H189" s="52">
        <f t="shared" ref="H189:L189" si="238">H188</f>
        <v>0</v>
      </c>
      <c r="I189" s="52">
        <f t="shared" si="238"/>
        <v>0</v>
      </c>
      <c r="J189" s="51">
        <f t="shared" si="238"/>
        <v>25</v>
      </c>
      <c r="K189" s="52">
        <f t="shared" si="238"/>
        <v>0</v>
      </c>
      <c r="L189" s="52">
        <f t="shared" si="238"/>
        <v>0</v>
      </c>
      <c r="M189" s="52"/>
      <c r="N189" s="85">
        <f>SUM('AP04'!$F189:$L189)</f>
        <v>1500.501402</v>
      </c>
      <c r="O189" s="51"/>
      <c r="P189" s="51">
        <f>Q188*('AP04'!$R189-1)</f>
        <v>0</v>
      </c>
      <c r="Q189" s="51">
        <f>(Q188*'AP04'!$R189)-'AP04'!$G189</f>
        <v>126339.9941</v>
      </c>
      <c r="R189" s="53">
        <f t="shared" si="149"/>
        <v>1</v>
      </c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56">
        <f t="shared" si="2"/>
        <v>176</v>
      </c>
      <c r="B190" s="50">
        <f t="shared" si="5"/>
        <v>48600</v>
      </c>
      <c r="C190" s="116">
        <f t="shared" si="126"/>
        <v>0.0775</v>
      </c>
      <c r="D190" s="116">
        <f>((1+'AP04'!$C190)^(1/12))-1</f>
        <v>0.006239681461</v>
      </c>
      <c r="E190" s="51">
        <f t="shared" si="127"/>
        <v>2089.154398</v>
      </c>
      <c r="F190" s="51">
        <f>(Q189*'AP04'!$R190)*'AP04'!$D190</f>
        <v>788.321319</v>
      </c>
      <c r="G190" s="51">
        <f>(Q189*'AP04'!$R190)/($I$5-A189)</f>
        <v>682.918887</v>
      </c>
      <c r="H190" s="52">
        <f t="shared" ref="H190:L190" si="239">H189</f>
        <v>0</v>
      </c>
      <c r="I190" s="52">
        <f t="shared" si="239"/>
        <v>0</v>
      </c>
      <c r="J190" s="51">
        <f t="shared" si="239"/>
        <v>25</v>
      </c>
      <c r="K190" s="52">
        <f t="shared" si="239"/>
        <v>0</v>
      </c>
      <c r="L190" s="52">
        <f t="shared" si="239"/>
        <v>0</v>
      </c>
      <c r="M190" s="52"/>
      <c r="N190" s="85">
        <f>SUM('AP04'!$F190:$L190)</f>
        <v>1496.240206</v>
      </c>
      <c r="O190" s="51"/>
      <c r="P190" s="51">
        <f>Q189*('AP04'!$R190-1)</f>
        <v>0</v>
      </c>
      <c r="Q190" s="51">
        <f>(Q189*'AP04'!$R190)-'AP04'!$G190</f>
        <v>125657.0752</v>
      </c>
      <c r="R190" s="53">
        <f t="shared" si="149"/>
        <v>1</v>
      </c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56">
        <f t="shared" si="2"/>
        <v>177</v>
      </c>
      <c r="B191" s="50">
        <f t="shared" si="5"/>
        <v>48631</v>
      </c>
      <c r="C191" s="116">
        <f t="shared" si="126"/>
        <v>0.0775</v>
      </c>
      <c r="D191" s="116">
        <f>((1+'AP04'!$C191)^(1/12))-1</f>
        <v>0.006239681461</v>
      </c>
      <c r="E191" s="51">
        <f t="shared" si="127"/>
        <v>2089.154398</v>
      </c>
      <c r="F191" s="51">
        <f>(Q190*'AP04'!$R191)*'AP04'!$D191</f>
        <v>784.0601227</v>
      </c>
      <c r="G191" s="51">
        <f>(Q190*'AP04'!$R191)/($I$5-A190)</f>
        <v>682.918887</v>
      </c>
      <c r="H191" s="52">
        <f t="shared" ref="H191:L191" si="240">H190</f>
        <v>0</v>
      </c>
      <c r="I191" s="52">
        <f t="shared" si="240"/>
        <v>0</v>
      </c>
      <c r="J191" s="51">
        <f t="shared" si="240"/>
        <v>25</v>
      </c>
      <c r="K191" s="52">
        <f t="shared" si="240"/>
        <v>0</v>
      </c>
      <c r="L191" s="52">
        <f t="shared" si="240"/>
        <v>0</v>
      </c>
      <c r="M191" s="52"/>
      <c r="N191" s="85">
        <f>SUM('AP04'!$F191:$L191)</f>
        <v>1491.97901</v>
      </c>
      <c r="O191" s="51"/>
      <c r="P191" s="51">
        <f>Q190*('AP04'!$R191-1)</f>
        <v>0</v>
      </c>
      <c r="Q191" s="51">
        <f>(Q190*'AP04'!$R191)-'AP04'!$G191</f>
        <v>124974.1563</v>
      </c>
      <c r="R191" s="53">
        <f t="shared" si="149"/>
        <v>1</v>
      </c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56">
        <f t="shared" si="2"/>
        <v>178</v>
      </c>
      <c r="B192" s="50">
        <f t="shared" si="5"/>
        <v>48659</v>
      </c>
      <c r="C192" s="116">
        <f t="shared" si="126"/>
        <v>0.0775</v>
      </c>
      <c r="D192" s="116">
        <f>((1+'AP04'!$C192)^(1/12))-1</f>
        <v>0.006239681461</v>
      </c>
      <c r="E192" s="51">
        <f t="shared" si="127"/>
        <v>2089.154398</v>
      </c>
      <c r="F192" s="51">
        <f>(Q191*'AP04'!$R192)*'AP04'!$D192</f>
        <v>779.7989264</v>
      </c>
      <c r="G192" s="51">
        <f>(Q191*'AP04'!$R192)/($I$5-A191)</f>
        <v>682.918887</v>
      </c>
      <c r="H192" s="52">
        <f t="shared" ref="H192:L192" si="241">H191</f>
        <v>0</v>
      </c>
      <c r="I192" s="52">
        <f t="shared" si="241"/>
        <v>0</v>
      </c>
      <c r="J192" s="51">
        <f t="shared" si="241"/>
        <v>25</v>
      </c>
      <c r="K192" s="52">
        <f t="shared" si="241"/>
        <v>0</v>
      </c>
      <c r="L192" s="52">
        <f t="shared" si="241"/>
        <v>0</v>
      </c>
      <c r="M192" s="52"/>
      <c r="N192" s="85">
        <f>SUM('AP04'!$F192:$L192)</f>
        <v>1487.717813</v>
      </c>
      <c r="O192" s="51"/>
      <c r="P192" s="51">
        <f>Q191*('AP04'!$R192-1)</f>
        <v>0</v>
      </c>
      <c r="Q192" s="51">
        <f>(Q191*'AP04'!$R192)-'AP04'!$G192</f>
        <v>124291.2374</v>
      </c>
      <c r="R192" s="53">
        <f t="shared" si="149"/>
        <v>1</v>
      </c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56">
        <f t="shared" si="2"/>
        <v>179</v>
      </c>
      <c r="B193" s="50">
        <f t="shared" si="5"/>
        <v>48690</v>
      </c>
      <c r="C193" s="116">
        <f t="shared" si="126"/>
        <v>0.0775</v>
      </c>
      <c r="D193" s="116">
        <f>((1+'AP04'!$C193)^(1/12))-1</f>
        <v>0.006239681461</v>
      </c>
      <c r="E193" s="51">
        <f t="shared" si="127"/>
        <v>2089.154398</v>
      </c>
      <c r="F193" s="51">
        <f>(Q192*'AP04'!$R193)*'AP04'!$D193</f>
        <v>775.5377301</v>
      </c>
      <c r="G193" s="51">
        <f>(Q192*'AP04'!$R193)/($I$5-A192)</f>
        <v>682.918887</v>
      </c>
      <c r="H193" s="52">
        <f t="shared" ref="H193:L193" si="242">H192</f>
        <v>0</v>
      </c>
      <c r="I193" s="52">
        <f t="shared" si="242"/>
        <v>0</v>
      </c>
      <c r="J193" s="51">
        <f t="shared" si="242"/>
        <v>25</v>
      </c>
      <c r="K193" s="52">
        <f t="shared" si="242"/>
        <v>0</v>
      </c>
      <c r="L193" s="52">
        <f t="shared" si="242"/>
        <v>0</v>
      </c>
      <c r="M193" s="52"/>
      <c r="N193" s="85">
        <f>SUM('AP04'!$F193:$L193)</f>
        <v>1483.456617</v>
      </c>
      <c r="O193" s="51"/>
      <c r="P193" s="51">
        <f>Q192*('AP04'!$R193-1)</f>
        <v>0</v>
      </c>
      <c r="Q193" s="51">
        <f>(Q192*'AP04'!$R193)-'AP04'!$G193</f>
        <v>123608.3186</v>
      </c>
      <c r="R193" s="53">
        <f t="shared" si="149"/>
        <v>1</v>
      </c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56">
        <f t="shared" si="2"/>
        <v>180</v>
      </c>
      <c r="B194" s="50">
        <f t="shared" si="5"/>
        <v>48720</v>
      </c>
      <c r="C194" s="116">
        <f t="shared" si="126"/>
        <v>0.0775</v>
      </c>
      <c r="D194" s="116">
        <f>((1+'AP04'!$C194)^(1/12))-1</f>
        <v>0.006239681461</v>
      </c>
      <c r="E194" s="51">
        <f t="shared" si="127"/>
        <v>2089.154398</v>
      </c>
      <c r="F194" s="51">
        <f>(Q193*'AP04'!$R194)*'AP04'!$D194</f>
        <v>771.2765337</v>
      </c>
      <c r="G194" s="51">
        <f>(Q193*'AP04'!$R194)/($I$5-A193)</f>
        <v>682.918887</v>
      </c>
      <c r="H194" s="52">
        <f t="shared" ref="H194:L194" si="243">H193</f>
        <v>0</v>
      </c>
      <c r="I194" s="52">
        <f t="shared" si="243"/>
        <v>0</v>
      </c>
      <c r="J194" s="51">
        <f t="shared" si="243"/>
        <v>25</v>
      </c>
      <c r="K194" s="52">
        <f t="shared" si="243"/>
        <v>0</v>
      </c>
      <c r="L194" s="52">
        <f t="shared" si="243"/>
        <v>0</v>
      </c>
      <c r="M194" s="52"/>
      <c r="N194" s="85">
        <f>SUM('AP04'!$F194:$L194)</f>
        <v>1479.195421</v>
      </c>
      <c r="O194" s="51"/>
      <c r="P194" s="51">
        <f>Q193*('AP04'!$R194-1)</f>
        <v>0</v>
      </c>
      <c r="Q194" s="51">
        <f>(Q193*'AP04'!$R194)-'AP04'!$G194</f>
        <v>122925.3997</v>
      </c>
      <c r="R194" s="53">
        <f t="shared" si="149"/>
        <v>1</v>
      </c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56">
        <f t="shared" si="2"/>
        <v>181</v>
      </c>
      <c r="B195" s="50">
        <f t="shared" si="5"/>
        <v>48751</v>
      </c>
      <c r="C195" s="116">
        <f t="shared" si="126"/>
        <v>0.0775</v>
      </c>
      <c r="D195" s="116">
        <f>((1+'AP04'!$C195)^(1/12))-1</f>
        <v>0.006239681461</v>
      </c>
      <c r="E195" s="51">
        <f t="shared" si="127"/>
        <v>2089.154398</v>
      </c>
      <c r="F195" s="51">
        <f>(Q194*'AP04'!$R195)*'AP04'!$D195</f>
        <v>767.0153374</v>
      </c>
      <c r="G195" s="51">
        <f>(Q194*'AP04'!$R195)/($I$5-A194)</f>
        <v>682.918887</v>
      </c>
      <c r="H195" s="52">
        <f t="shared" ref="H195:L195" si="244">H194</f>
        <v>0</v>
      </c>
      <c r="I195" s="52">
        <f t="shared" si="244"/>
        <v>0</v>
      </c>
      <c r="J195" s="51">
        <f t="shared" si="244"/>
        <v>25</v>
      </c>
      <c r="K195" s="52">
        <f t="shared" si="244"/>
        <v>0</v>
      </c>
      <c r="L195" s="52">
        <f t="shared" si="244"/>
        <v>0</v>
      </c>
      <c r="M195" s="52"/>
      <c r="N195" s="85">
        <f>SUM('AP04'!$F195:$L195)</f>
        <v>1474.934224</v>
      </c>
      <c r="O195" s="51"/>
      <c r="P195" s="51">
        <f>Q194*('AP04'!$R195-1)</f>
        <v>0</v>
      </c>
      <c r="Q195" s="51">
        <f>(Q194*'AP04'!$R195)-'AP04'!$G195</f>
        <v>122242.4808</v>
      </c>
      <c r="R195" s="53">
        <f t="shared" si="149"/>
        <v>1</v>
      </c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56">
        <f t="shared" si="2"/>
        <v>182</v>
      </c>
      <c r="B196" s="50">
        <f t="shared" si="5"/>
        <v>48781</v>
      </c>
      <c r="C196" s="116">
        <f t="shared" si="126"/>
        <v>0.0775</v>
      </c>
      <c r="D196" s="116">
        <f>((1+'AP04'!$C196)^(1/12))-1</f>
        <v>0.006239681461</v>
      </c>
      <c r="E196" s="51">
        <f t="shared" si="127"/>
        <v>2089.154398</v>
      </c>
      <c r="F196" s="51">
        <f>(Q195*'AP04'!$R196)*'AP04'!$D196</f>
        <v>762.7541411</v>
      </c>
      <c r="G196" s="51">
        <f>(Q195*'AP04'!$R196)/($I$5-A195)</f>
        <v>682.918887</v>
      </c>
      <c r="H196" s="52">
        <f t="shared" ref="H196:L196" si="245">H195</f>
        <v>0</v>
      </c>
      <c r="I196" s="52">
        <f t="shared" si="245"/>
        <v>0</v>
      </c>
      <c r="J196" s="51">
        <f t="shared" si="245"/>
        <v>25</v>
      </c>
      <c r="K196" s="52">
        <f t="shared" si="245"/>
        <v>0</v>
      </c>
      <c r="L196" s="52">
        <f t="shared" si="245"/>
        <v>0</v>
      </c>
      <c r="M196" s="52"/>
      <c r="N196" s="85">
        <f>SUM('AP04'!$F196:$L196)</f>
        <v>1470.673028</v>
      </c>
      <c r="O196" s="51"/>
      <c r="P196" s="51">
        <f>Q195*('AP04'!$R196-1)</f>
        <v>0</v>
      </c>
      <c r="Q196" s="51">
        <f>(Q195*'AP04'!$R196)-'AP04'!$G196</f>
        <v>121559.5619</v>
      </c>
      <c r="R196" s="53">
        <f t="shared" si="149"/>
        <v>1</v>
      </c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56">
        <f t="shared" si="2"/>
        <v>183</v>
      </c>
      <c r="B197" s="50">
        <f t="shared" si="5"/>
        <v>48812</v>
      </c>
      <c r="C197" s="116">
        <f t="shared" si="126"/>
        <v>0.0775</v>
      </c>
      <c r="D197" s="116">
        <f>((1+'AP04'!$C197)^(1/12))-1</f>
        <v>0.006239681461</v>
      </c>
      <c r="E197" s="51">
        <f t="shared" si="127"/>
        <v>2089.154398</v>
      </c>
      <c r="F197" s="51">
        <f>(Q196*'AP04'!$R197)*'AP04'!$D197</f>
        <v>758.4929448</v>
      </c>
      <c r="G197" s="51">
        <f>(Q196*'AP04'!$R197)/($I$5-A196)</f>
        <v>682.918887</v>
      </c>
      <c r="H197" s="52">
        <f t="shared" ref="H197:L197" si="246">H196</f>
        <v>0</v>
      </c>
      <c r="I197" s="52">
        <f t="shared" si="246"/>
        <v>0</v>
      </c>
      <c r="J197" s="51">
        <f t="shared" si="246"/>
        <v>25</v>
      </c>
      <c r="K197" s="52">
        <f t="shared" si="246"/>
        <v>0</v>
      </c>
      <c r="L197" s="52">
        <f t="shared" si="246"/>
        <v>0</v>
      </c>
      <c r="M197" s="52"/>
      <c r="N197" s="85">
        <f>SUM('AP04'!$F197:$L197)</f>
        <v>1466.411832</v>
      </c>
      <c r="O197" s="51"/>
      <c r="P197" s="51">
        <f>Q196*('AP04'!$R197-1)</f>
        <v>0</v>
      </c>
      <c r="Q197" s="51">
        <f>(Q196*'AP04'!$R197)-'AP04'!$G197</f>
        <v>120876.643</v>
      </c>
      <c r="R197" s="53">
        <f t="shared" si="149"/>
        <v>1</v>
      </c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56">
        <f t="shared" si="2"/>
        <v>184</v>
      </c>
      <c r="B198" s="50">
        <f t="shared" si="5"/>
        <v>48843</v>
      </c>
      <c r="C198" s="116">
        <f t="shared" si="126"/>
        <v>0.0775</v>
      </c>
      <c r="D198" s="116">
        <f>((1+'AP04'!$C198)^(1/12))-1</f>
        <v>0.006239681461</v>
      </c>
      <c r="E198" s="51">
        <f t="shared" si="127"/>
        <v>2089.154398</v>
      </c>
      <c r="F198" s="51">
        <f>(Q197*'AP04'!$R198)*'AP04'!$D198</f>
        <v>754.2317485</v>
      </c>
      <c r="G198" s="51">
        <f>(Q197*'AP04'!$R198)/($I$5-A197)</f>
        <v>682.918887</v>
      </c>
      <c r="H198" s="52">
        <f t="shared" ref="H198:L198" si="247">H197</f>
        <v>0</v>
      </c>
      <c r="I198" s="52">
        <f t="shared" si="247"/>
        <v>0</v>
      </c>
      <c r="J198" s="51">
        <f t="shared" si="247"/>
        <v>25</v>
      </c>
      <c r="K198" s="52">
        <f t="shared" si="247"/>
        <v>0</v>
      </c>
      <c r="L198" s="52">
        <f t="shared" si="247"/>
        <v>0</v>
      </c>
      <c r="M198" s="52"/>
      <c r="N198" s="85">
        <f>SUM('AP04'!$F198:$L198)</f>
        <v>1462.150636</v>
      </c>
      <c r="O198" s="51"/>
      <c r="P198" s="51">
        <f>Q197*('AP04'!$R198-1)</f>
        <v>0</v>
      </c>
      <c r="Q198" s="51">
        <f>(Q197*'AP04'!$R198)-'AP04'!$G198</f>
        <v>120193.7241</v>
      </c>
      <c r="R198" s="53">
        <f t="shared" si="149"/>
        <v>1</v>
      </c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56">
        <f t="shared" si="2"/>
        <v>185</v>
      </c>
      <c r="B199" s="50">
        <f t="shared" si="5"/>
        <v>48873</v>
      </c>
      <c r="C199" s="116">
        <f t="shared" si="126"/>
        <v>0.0775</v>
      </c>
      <c r="D199" s="116">
        <f>((1+'AP04'!$C199)^(1/12))-1</f>
        <v>0.006239681461</v>
      </c>
      <c r="E199" s="51">
        <f t="shared" si="127"/>
        <v>2089.154398</v>
      </c>
      <c r="F199" s="51">
        <f>(Q198*'AP04'!$R199)*'AP04'!$D199</f>
        <v>749.9705522</v>
      </c>
      <c r="G199" s="51">
        <f>(Q198*'AP04'!$R199)/($I$5-A198)</f>
        <v>682.918887</v>
      </c>
      <c r="H199" s="52">
        <f t="shared" ref="H199:L199" si="248">H198</f>
        <v>0</v>
      </c>
      <c r="I199" s="52">
        <f t="shared" si="248"/>
        <v>0</v>
      </c>
      <c r="J199" s="51">
        <f t="shared" si="248"/>
        <v>25</v>
      </c>
      <c r="K199" s="52">
        <f t="shared" si="248"/>
        <v>0</v>
      </c>
      <c r="L199" s="52">
        <f t="shared" si="248"/>
        <v>0</v>
      </c>
      <c r="M199" s="52"/>
      <c r="N199" s="85">
        <f>SUM('AP04'!$F199:$L199)</f>
        <v>1457.889439</v>
      </c>
      <c r="O199" s="51"/>
      <c r="P199" s="51">
        <f>Q198*('AP04'!$R199-1)</f>
        <v>0</v>
      </c>
      <c r="Q199" s="51">
        <f>(Q198*'AP04'!$R199)-'AP04'!$G199</f>
        <v>119510.8052</v>
      </c>
      <c r="R199" s="53">
        <f t="shared" si="149"/>
        <v>1</v>
      </c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56">
        <f t="shared" si="2"/>
        <v>186</v>
      </c>
      <c r="B200" s="50">
        <f t="shared" si="5"/>
        <v>48904</v>
      </c>
      <c r="C200" s="116">
        <f t="shared" si="126"/>
        <v>0.0775</v>
      </c>
      <c r="D200" s="116">
        <f>((1+'AP04'!$C200)^(1/12))-1</f>
        <v>0.006239681461</v>
      </c>
      <c r="E200" s="51">
        <f t="shared" si="127"/>
        <v>2089.154398</v>
      </c>
      <c r="F200" s="51">
        <f>(Q199*'AP04'!$R200)*'AP04'!$D200</f>
        <v>745.7093558</v>
      </c>
      <c r="G200" s="51">
        <f>(Q199*'AP04'!$R200)/($I$5-A199)</f>
        <v>682.918887</v>
      </c>
      <c r="H200" s="52">
        <f t="shared" ref="H200:L200" si="249">H199</f>
        <v>0</v>
      </c>
      <c r="I200" s="52">
        <f t="shared" si="249"/>
        <v>0</v>
      </c>
      <c r="J200" s="51">
        <f t="shared" si="249"/>
        <v>25</v>
      </c>
      <c r="K200" s="52">
        <f t="shared" si="249"/>
        <v>0</v>
      </c>
      <c r="L200" s="52">
        <f t="shared" si="249"/>
        <v>0</v>
      </c>
      <c r="M200" s="52"/>
      <c r="N200" s="85">
        <f>SUM('AP04'!$F200:$L200)</f>
        <v>1453.628243</v>
      </c>
      <c r="O200" s="51"/>
      <c r="P200" s="51">
        <f>Q199*('AP04'!$R200-1)</f>
        <v>0</v>
      </c>
      <c r="Q200" s="51">
        <f>(Q199*'AP04'!$R200)-'AP04'!$G200</f>
        <v>118827.8863</v>
      </c>
      <c r="R200" s="53">
        <f t="shared" si="149"/>
        <v>1</v>
      </c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56">
        <f t="shared" si="2"/>
        <v>187</v>
      </c>
      <c r="B201" s="50">
        <f t="shared" si="5"/>
        <v>48934</v>
      </c>
      <c r="C201" s="116">
        <f t="shared" si="126"/>
        <v>0.0775</v>
      </c>
      <c r="D201" s="116">
        <f>((1+'AP04'!$C201)^(1/12))-1</f>
        <v>0.006239681461</v>
      </c>
      <c r="E201" s="51">
        <f t="shared" si="127"/>
        <v>2089.154398</v>
      </c>
      <c r="F201" s="51">
        <f>(Q200*'AP04'!$R201)*'AP04'!$D201</f>
        <v>741.4481595</v>
      </c>
      <c r="G201" s="51">
        <f>(Q200*'AP04'!$R201)/($I$5-A200)</f>
        <v>682.918887</v>
      </c>
      <c r="H201" s="52">
        <f t="shared" ref="H201:L201" si="250">H200</f>
        <v>0</v>
      </c>
      <c r="I201" s="52">
        <f t="shared" si="250"/>
        <v>0</v>
      </c>
      <c r="J201" s="51">
        <f t="shared" si="250"/>
        <v>25</v>
      </c>
      <c r="K201" s="52">
        <f t="shared" si="250"/>
        <v>0</v>
      </c>
      <c r="L201" s="52">
        <f t="shared" si="250"/>
        <v>0</v>
      </c>
      <c r="M201" s="52"/>
      <c r="N201" s="85">
        <f>SUM('AP04'!$F201:$L201)</f>
        <v>1449.367047</v>
      </c>
      <c r="O201" s="51"/>
      <c r="P201" s="51">
        <f>Q200*('AP04'!$R201-1)</f>
        <v>0</v>
      </c>
      <c r="Q201" s="51">
        <f>(Q200*'AP04'!$R201)-'AP04'!$G201</f>
        <v>118144.9675</v>
      </c>
      <c r="R201" s="53">
        <f t="shared" si="149"/>
        <v>1</v>
      </c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56">
        <f t="shared" si="2"/>
        <v>188</v>
      </c>
      <c r="B202" s="50">
        <f t="shared" si="5"/>
        <v>48965</v>
      </c>
      <c r="C202" s="116">
        <f t="shared" si="126"/>
        <v>0.0775</v>
      </c>
      <c r="D202" s="116">
        <f>((1+'AP04'!$C202)^(1/12))-1</f>
        <v>0.006239681461</v>
      </c>
      <c r="E202" s="51">
        <f t="shared" si="127"/>
        <v>2089.154398</v>
      </c>
      <c r="F202" s="51">
        <f>(Q201*'AP04'!$R202)*'AP04'!$D202</f>
        <v>737.1869632</v>
      </c>
      <c r="G202" s="51">
        <f>(Q201*'AP04'!$R202)/($I$5-A201)</f>
        <v>682.918887</v>
      </c>
      <c r="H202" s="52">
        <f t="shared" ref="H202:L202" si="251">H201</f>
        <v>0</v>
      </c>
      <c r="I202" s="52">
        <f t="shared" si="251"/>
        <v>0</v>
      </c>
      <c r="J202" s="51">
        <f t="shared" si="251"/>
        <v>25</v>
      </c>
      <c r="K202" s="52">
        <f t="shared" si="251"/>
        <v>0</v>
      </c>
      <c r="L202" s="52">
        <f t="shared" si="251"/>
        <v>0</v>
      </c>
      <c r="M202" s="52"/>
      <c r="N202" s="85">
        <f>SUM('AP04'!$F202:$L202)</f>
        <v>1445.10585</v>
      </c>
      <c r="O202" s="51"/>
      <c r="P202" s="51">
        <f>Q201*('AP04'!$R202-1)</f>
        <v>0</v>
      </c>
      <c r="Q202" s="51">
        <f>(Q201*'AP04'!$R202)-'AP04'!$G202</f>
        <v>117462.0486</v>
      </c>
      <c r="R202" s="53">
        <f t="shared" si="149"/>
        <v>1</v>
      </c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56">
        <f t="shared" si="2"/>
        <v>189</v>
      </c>
      <c r="B203" s="50">
        <f t="shared" si="5"/>
        <v>48996</v>
      </c>
      <c r="C203" s="116">
        <f t="shared" si="126"/>
        <v>0.0775</v>
      </c>
      <c r="D203" s="116">
        <f>((1+'AP04'!$C203)^(1/12))-1</f>
        <v>0.006239681461</v>
      </c>
      <c r="E203" s="51">
        <f t="shared" si="127"/>
        <v>2089.154398</v>
      </c>
      <c r="F203" s="51">
        <f>(Q202*'AP04'!$R203)*'AP04'!$D203</f>
        <v>732.9257669</v>
      </c>
      <c r="G203" s="51">
        <f>(Q202*'AP04'!$R203)/($I$5-A202)</f>
        <v>682.918887</v>
      </c>
      <c r="H203" s="52">
        <f t="shared" ref="H203:L203" si="252">H202</f>
        <v>0</v>
      </c>
      <c r="I203" s="52">
        <f t="shared" si="252"/>
        <v>0</v>
      </c>
      <c r="J203" s="51">
        <f t="shared" si="252"/>
        <v>25</v>
      </c>
      <c r="K203" s="52">
        <f t="shared" si="252"/>
        <v>0</v>
      </c>
      <c r="L203" s="52">
        <f t="shared" si="252"/>
        <v>0</v>
      </c>
      <c r="M203" s="52"/>
      <c r="N203" s="85">
        <f>SUM('AP04'!$F203:$L203)</f>
        <v>1440.844654</v>
      </c>
      <c r="O203" s="51"/>
      <c r="P203" s="51">
        <f>Q202*('AP04'!$R203-1)</f>
        <v>0</v>
      </c>
      <c r="Q203" s="51">
        <f>(Q202*'AP04'!$R203)-'AP04'!$G203</f>
        <v>116779.1297</v>
      </c>
      <c r="R203" s="53">
        <f t="shared" si="149"/>
        <v>1</v>
      </c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56">
        <f t="shared" si="2"/>
        <v>190</v>
      </c>
      <c r="B204" s="50">
        <f t="shared" si="5"/>
        <v>49024</v>
      </c>
      <c r="C204" s="116">
        <f t="shared" si="126"/>
        <v>0.0775</v>
      </c>
      <c r="D204" s="116">
        <f>((1+'AP04'!$C204)^(1/12))-1</f>
        <v>0.006239681461</v>
      </c>
      <c r="E204" s="51">
        <f t="shared" si="127"/>
        <v>2089.154398</v>
      </c>
      <c r="F204" s="51">
        <f>(Q203*'AP04'!$R204)*'AP04'!$D204</f>
        <v>728.6645706</v>
      </c>
      <c r="G204" s="51">
        <f>(Q203*'AP04'!$R204)/($I$5-A203)</f>
        <v>682.918887</v>
      </c>
      <c r="H204" s="52">
        <f t="shared" ref="H204:L204" si="253">H203</f>
        <v>0</v>
      </c>
      <c r="I204" s="52">
        <f t="shared" si="253"/>
        <v>0</v>
      </c>
      <c r="J204" s="51">
        <f t="shared" si="253"/>
        <v>25</v>
      </c>
      <c r="K204" s="52">
        <f t="shared" si="253"/>
        <v>0</v>
      </c>
      <c r="L204" s="52">
        <f t="shared" si="253"/>
        <v>0</v>
      </c>
      <c r="M204" s="52"/>
      <c r="N204" s="85">
        <f>SUM('AP04'!$F204:$L204)</f>
        <v>1436.583458</v>
      </c>
      <c r="O204" s="51"/>
      <c r="P204" s="51">
        <f>Q203*('AP04'!$R204-1)</f>
        <v>0</v>
      </c>
      <c r="Q204" s="51">
        <f>(Q203*'AP04'!$R204)-'AP04'!$G204</f>
        <v>116096.2108</v>
      </c>
      <c r="R204" s="53">
        <f t="shared" si="149"/>
        <v>1</v>
      </c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56">
        <f t="shared" si="2"/>
        <v>191</v>
      </c>
      <c r="B205" s="50">
        <f t="shared" si="5"/>
        <v>49055</v>
      </c>
      <c r="C205" s="116">
        <f t="shared" si="126"/>
        <v>0.0775</v>
      </c>
      <c r="D205" s="116">
        <f>((1+'AP04'!$C205)^(1/12))-1</f>
        <v>0.006239681461</v>
      </c>
      <c r="E205" s="51">
        <f t="shared" si="127"/>
        <v>2089.154398</v>
      </c>
      <c r="F205" s="51">
        <f>(Q204*'AP04'!$R205)*'AP04'!$D205</f>
        <v>724.4033742</v>
      </c>
      <c r="G205" s="51">
        <f>(Q204*'AP04'!$R205)/($I$5-A204)</f>
        <v>682.918887</v>
      </c>
      <c r="H205" s="52">
        <f t="shared" ref="H205:L205" si="254">H204</f>
        <v>0</v>
      </c>
      <c r="I205" s="52">
        <f t="shared" si="254"/>
        <v>0</v>
      </c>
      <c r="J205" s="51">
        <f t="shared" si="254"/>
        <v>25</v>
      </c>
      <c r="K205" s="52">
        <f t="shared" si="254"/>
        <v>0</v>
      </c>
      <c r="L205" s="52">
        <f t="shared" si="254"/>
        <v>0</v>
      </c>
      <c r="M205" s="52"/>
      <c r="N205" s="85">
        <f>SUM('AP04'!$F205:$L205)</f>
        <v>1432.322261</v>
      </c>
      <c r="O205" s="51"/>
      <c r="P205" s="51">
        <f>Q204*('AP04'!$R205-1)</f>
        <v>0</v>
      </c>
      <c r="Q205" s="51">
        <f>(Q204*'AP04'!$R205)-'AP04'!$G205</f>
        <v>115413.2919</v>
      </c>
      <c r="R205" s="53">
        <f t="shared" si="149"/>
        <v>1</v>
      </c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56">
        <f t="shared" si="2"/>
        <v>192</v>
      </c>
      <c r="B206" s="50">
        <f t="shared" si="5"/>
        <v>49085</v>
      </c>
      <c r="C206" s="116">
        <f t="shared" si="126"/>
        <v>0.0775</v>
      </c>
      <c r="D206" s="116">
        <f>((1+'AP04'!$C206)^(1/12))-1</f>
        <v>0.006239681461</v>
      </c>
      <c r="E206" s="51">
        <f t="shared" si="127"/>
        <v>2089.154398</v>
      </c>
      <c r="F206" s="51">
        <f>(Q205*'AP04'!$R206)*'AP04'!$D206</f>
        <v>720.1421779</v>
      </c>
      <c r="G206" s="51">
        <f>(Q205*'AP04'!$R206)/($I$5-A205)</f>
        <v>682.918887</v>
      </c>
      <c r="H206" s="52">
        <f t="shared" ref="H206:L206" si="255">H205</f>
        <v>0</v>
      </c>
      <c r="I206" s="52">
        <f t="shared" si="255"/>
        <v>0</v>
      </c>
      <c r="J206" s="51">
        <f t="shared" si="255"/>
        <v>25</v>
      </c>
      <c r="K206" s="52">
        <f t="shared" si="255"/>
        <v>0</v>
      </c>
      <c r="L206" s="52">
        <f t="shared" si="255"/>
        <v>0</v>
      </c>
      <c r="M206" s="52"/>
      <c r="N206" s="85">
        <f>SUM('AP04'!$F206:$L206)</f>
        <v>1428.061065</v>
      </c>
      <c r="O206" s="51"/>
      <c r="P206" s="51">
        <f>Q205*('AP04'!$R206-1)</f>
        <v>0</v>
      </c>
      <c r="Q206" s="51">
        <f>(Q205*'AP04'!$R206)-'AP04'!$G206</f>
        <v>114730.373</v>
      </c>
      <c r="R206" s="53">
        <f t="shared" si="149"/>
        <v>1</v>
      </c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56">
        <f t="shared" si="2"/>
        <v>193</v>
      </c>
      <c r="B207" s="50">
        <f t="shared" si="5"/>
        <v>49116</v>
      </c>
      <c r="C207" s="116">
        <f t="shared" si="126"/>
        <v>0.0775</v>
      </c>
      <c r="D207" s="116">
        <f>((1+'AP04'!$C207)^(1/12))-1</f>
        <v>0.006239681461</v>
      </c>
      <c r="E207" s="51">
        <f t="shared" si="127"/>
        <v>2089.154398</v>
      </c>
      <c r="F207" s="51">
        <f>(Q206*'AP04'!$R207)*'AP04'!$D207</f>
        <v>715.8809816</v>
      </c>
      <c r="G207" s="51">
        <f>(Q206*'AP04'!$R207)/($I$5-A206)</f>
        <v>682.918887</v>
      </c>
      <c r="H207" s="52">
        <f t="shared" ref="H207:L207" si="256">H206</f>
        <v>0</v>
      </c>
      <c r="I207" s="52">
        <f t="shared" si="256"/>
        <v>0</v>
      </c>
      <c r="J207" s="51">
        <f t="shared" si="256"/>
        <v>25</v>
      </c>
      <c r="K207" s="52">
        <f t="shared" si="256"/>
        <v>0</v>
      </c>
      <c r="L207" s="52">
        <f t="shared" si="256"/>
        <v>0</v>
      </c>
      <c r="M207" s="52"/>
      <c r="N207" s="85">
        <f>SUM('AP04'!$F207:$L207)</f>
        <v>1423.799869</v>
      </c>
      <c r="O207" s="51"/>
      <c r="P207" s="51">
        <f>Q206*('AP04'!$R207-1)</f>
        <v>0</v>
      </c>
      <c r="Q207" s="51">
        <f>(Q206*'AP04'!$R207)-'AP04'!$G207</f>
        <v>114047.4541</v>
      </c>
      <c r="R207" s="53">
        <f t="shared" si="149"/>
        <v>1</v>
      </c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56">
        <f t="shared" si="2"/>
        <v>194</v>
      </c>
      <c r="B208" s="50">
        <f t="shared" si="5"/>
        <v>49146</v>
      </c>
      <c r="C208" s="116">
        <f t="shared" si="126"/>
        <v>0.0775</v>
      </c>
      <c r="D208" s="116">
        <f>((1+'AP04'!$C208)^(1/12))-1</f>
        <v>0.006239681461</v>
      </c>
      <c r="E208" s="51">
        <f t="shared" si="127"/>
        <v>2089.154398</v>
      </c>
      <c r="F208" s="51">
        <f>(Q207*'AP04'!$R208)*'AP04'!$D208</f>
        <v>711.6197853</v>
      </c>
      <c r="G208" s="51">
        <f>(Q207*'AP04'!$R208)/($I$5-A207)</f>
        <v>682.918887</v>
      </c>
      <c r="H208" s="52">
        <f t="shared" ref="H208:L208" si="257">H207</f>
        <v>0</v>
      </c>
      <c r="I208" s="52">
        <f t="shared" si="257"/>
        <v>0</v>
      </c>
      <c r="J208" s="51">
        <f t="shared" si="257"/>
        <v>25</v>
      </c>
      <c r="K208" s="52">
        <f t="shared" si="257"/>
        <v>0</v>
      </c>
      <c r="L208" s="52">
        <f t="shared" si="257"/>
        <v>0</v>
      </c>
      <c r="M208" s="52"/>
      <c r="N208" s="85">
        <f>SUM('AP04'!$F208:$L208)</f>
        <v>1419.538672</v>
      </c>
      <c r="O208" s="51"/>
      <c r="P208" s="51">
        <f>Q207*('AP04'!$R208-1)</f>
        <v>0</v>
      </c>
      <c r="Q208" s="51">
        <f>(Q207*'AP04'!$R208)-'AP04'!$G208</f>
        <v>113364.5352</v>
      </c>
      <c r="R208" s="53">
        <f t="shared" si="149"/>
        <v>1</v>
      </c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56">
        <f t="shared" si="2"/>
        <v>195</v>
      </c>
      <c r="B209" s="50">
        <f t="shared" si="5"/>
        <v>49177</v>
      </c>
      <c r="C209" s="116">
        <f t="shared" si="126"/>
        <v>0.0775</v>
      </c>
      <c r="D209" s="116">
        <f>((1+'AP04'!$C209)^(1/12))-1</f>
        <v>0.006239681461</v>
      </c>
      <c r="E209" s="51">
        <f t="shared" si="127"/>
        <v>2089.154398</v>
      </c>
      <c r="F209" s="51">
        <f>(Q208*'AP04'!$R209)*'AP04'!$D209</f>
        <v>707.358589</v>
      </c>
      <c r="G209" s="51">
        <f>(Q208*'AP04'!$R209)/($I$5-A208)</f>
        <v>682.918887</v>
      </c>
      <c r="H209" s="52">
        <f t="shared" ref="H209:L209" si="258">H208</f>
        <v>0</v>
      </c>
      <c r="I209" s="52">
        <f t="shared" si="258"/>
        <v>0</v>
      </c>
      <c r="J209" s="51">
        <f t="shared" si="258"/>
        <v>25</v>
      </c>
      <c r="K209" s="52">
        <f t="shared" si="258"/>
        <v>0</v>
      </c>
      <c r="L209" s="52">
        <f t="shared" si="258"/>
        <v>0</v>
      </c>
      <c r="M209" s="52"/>
      <c r="N209" s="85">
        <f>SUM('AP04'!$F209:$L209)</f>
        <v>1415.277476</v>
      </c>
      <c r="O209" s="51"/>
      <c r="P209" s="51">
        <f>Q208*('AP04'!$R209-1)</f>
        <v>0</v>
      </c>
      <c r="Q209" s="51">
        <f>(Q208*'AP04'!$R209)-'AP04'!$G209</f>
        <v>112681.6164</v>
      </c>
      <c r="R209" s="53">
        <f t="shared" si="149"/>
        <v>1</v>
      </c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56">
        <f t="shared" si="2"/>
        <v>196</v>
      </c>
      <c r="B210" s="50">
        <f t="shared" si="5"/>
        <v>49208</v>
      </c>
      <c r="C210" s="116">
        <f t="shared" si="126"/>
        <v>0.0775</v>
      </c>
      <c r="D210" s="116">
        <f>((1+'AP04'!$C210)^(1/12))-1</f>
        <v>0.006239681461</v>
      </c>
      <c r="E210" s="51">
        <f t="shared" si="127"/>
        <v>2089.154398</v>
      </c>
      <c r="F210" s="51">
        <f>(Q209*'AP04'!$R210)*'AP04'!$D210</f>
        <v>703.0973926</v>
      </c>
      <c r="G210" s="51">
        <f>(Q209*'AP04'!$R210)/($I$5-A209)</f>
        <v>682.918887</v>
      </c>
      <c r="H210" s="52">
        <f t="shared" ref="H210:L210" si="259">H209</f>
        <v>0</v>
      </c>
      <c r="I210" s="52">
        <f t="shared" si="259"/>
        <v>0</v>
      </c>
      <c r="J210" s="51">
        <f t="shared" si="259"/>
        <v>25</v>
      </c>
      <c r="K210" s="52">
        <f t="shared" si="259"/>
        <v>0</v>
      </c>
      <c r="L210" s="52">
        <f t="shared" si="259"/>
        <v>0</v>
      </c>
      <c r="M210" s="52"/>
      <c r="N210" s="85">
        <f>SUM('AP04'!$F210:$L210)</f>
        <v>1411.01628</v>
      </c>
      <c r="O210" s="51"/>
      <c r="P210" s="51">
        <f>Q209*('AP04'!$R210-1)</f>
        <v>0</v>
      </c>
      <c r="Q210" s="51">
        <f>(Q209*'AP04'!$R210)-'AP04'!$G210</f>
        <v>111998.6975</v>
      </c>
      <c r="R210" s="53">
        <f t="shared" si="149"/>
        <v>1</v>
      </c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56">
        <f t="shared" si="2"/>
        <v>197</v>
      </c>
      <c r="B211" s="50">
        <f t="shared" si="5"/>
        <v>49238</v>
      </c>
      <c r="C211" s="116">
        <f t="shared" si="126"/>
        <v>0.0775</v>
      </c>
      <c r="D211" s="116">
        <f>((1+'AP04'!$C211)^(1/12))-1</f>
        <v>0.006239681461</v>
      </c>
      <c r="E211" s="51">
        <f t="shared" si="127"/>
        <v>2089.154398</v>
      </c>
      <c r="F211" s="51">
        <f>(Q210*'AP04'!$R211)*'AP04'!$D211</f>
        <v>698.8361963</v>
      </c>
      <c r="G211" s="51">
        <f>(Q210*'AP04'!$R211)/($I$5-A210)</f>
        <v>682.918887</v>
      </c>
      <c r="H211" s="52">
        <f t="shared" ref="H211:L211" si="260">H210</f>
        <v>0</v>
      </c>
      <c r="I211" s="52">
        <f t="shared" si="260"/>
        <v>0</v>
      </c>
      <c r="J211" s="51">
        <f t="shared" si="260"/>
        <v>25</v>
      </c>
      <c r="K211" s="52">
        <f t="shared" si="260"/>
        <v>0</v>
      </c>
      <c r="L211" s="52">
        <f t="shared" si="260"/>
        <v>0</v>
      </c>
      <c r="M211" s="52"/>
      <c r="N211" s="85">
        <f>SUM('AP04'!$F211:$L211)</f>
        <v>1406.755083</v>
      </c>
      <c r="O211" s="51"/>
      <c r="P211" s="51">
        <f>Q210*('AP04'!$R211-1)</f>
        <v>0</v>
      </c>
      <c r="Q211" s="51">
        <f>(Q210*'AP04'!$R211)-'AP04'!$G211</f>
        <v>111315.7786</v>
      </c>
      <c r="R211" s="53">
        <f t="shared" si="149"/>
        <v>1</v>
      </c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56">
        <f t="shared" si="2"/>
        <v>198</v>
      </c>
      <c r="B212" s="50">
        <f t="shared" si="5"/>
        <v>49269</v>
      </c>
      <c r="C212" s="116">
        <f t="shared" si="126"/>
        <v>0.0775</v>
      </c>
      <c r="D212" s="116">
        <f>((1+'AP04'!$C212)^(1/12))-1</f>
        <v>0.006239681461</v>
      </c>
      <c r="E212" s="51">
        <f t="shared" si="127"/>
        <v>2089.154398</v>
      </c>
      <c r="F212" s="51">
        <f>(Q211*'AP04'!$R212)*'AP04'!$D212</f>
        <v>694.575</v>
      </c>
      <c r="G212" s="51">
        <f>(Q211*'AP04'!$R212)/($I$5-A211)</f>
        <v>682.918887</v>
      </c>
      <c r="H212" s="52">
        <f t="shared" ref="H212:L212" si="261">H211</f>
        <v>0</v>
      </c>
      <c r="I212" s="52">
        <f t="shared" si="261"/>
        <v>0</v>
      </c>
      <c r="J212" s="51">
        <f t="shared" si="261"/>
        <v>25</v>
      </c>
      <c r="K212" s="52">
        <f t="shared" si="261"/>
        <v>0</v>
      </c>
      <c r="L212" s="52">
        <f t="shared" si="261"/>
        <v>0</v>
      </c>
      <c r="M212" s="52"/>
      <c r="N212" s="85">
        <f>SUM('AP04'!$F212:$L212)</f>
        <v>1402.493887</v>
      </c>
      <c r="O212" s="51"/>
      <c r="P212" s="51">
        <f>Q211*('AP04'!$R212-1)</f>
        <v>0</v>
      </c>
      <c r="Q212" s="51">
        <f>(Q211*'AP04'!$R212)-'AP04'!$G212</f>
        <v>110632.8597</v>
      </c>
      <c r="R212" s="53">
        <f t="shared" si="149"/>
        <v>1</v>
      </c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56">
        <f t="shared" si="2"/>
        <v>199</v>
      </c>
      <c r="B213" s="50">
        <f t="shared" si="5"/>
        <v>49299</v>
      </c>
      <c r="C213" s="116">
        <f t="shared" si="126"/>
        <v>0.0775</v>
      </c>
      <c r="D213" s="116">
        <f>((1+'AP04'!$C213)^(1/12))-1</f>
        <v>0.006239681461</v>
      </c>
      <c r="E213" s="51">
        <f t="shared" si="127"/>
        <v>2089.154398</v>
      </c>
      <c r="F213" s="51">
        <f>(Q212*'AP04'!$R213)*'AP04'!$D213</f>
        <v>690.3138037</v>
      </c>
      <c r="G213" s="51">
        <f>(Q212*'AP04'!$R213)/($I$5-A212)</f>
        <v>682.918887</v>
      </c>
      <c r="H213" s="52">
        <f t="shared" ref="H213:L213" si="262">H212</f>
        <v>0</v>
      </c>
      <c r="I213" s="52">
        <f t="shared" si="262"/>
        <v>0</v>
      </c>
      <c r="J213" s="51">
        <f t="shared" si="262"/>
        <v>25</v>
      </c>
      <c r="K213" s="52">
        <f t="shared" si="262"/>
        <v>0</v>
      </c>
      <c r="L213" s="52">
        <f t="shared" si="262"/>
        <v>0</v>
      </c>
      <c r="M213" s="52"/>
      <c r="N213" s="85">
        <f>SUM('AP04'!$F213:$L213)</f>
        <v>1398.232691</v>
      </c>
      <c r="O213" s="51"/>
      <c r="P213" s="51">
        <f>Q212*('AP04'!$R213-1)</f>
        <v>0</v>
      </c>
      <c r="Q213" s="51">
        <f>(Q212*'AP04'!$R213)-'AP04'!$G213</f>
        <v>109949.9408</v>
      </c>
      <c r="R213" s="53">
        <f t="shared" si="149"/>
        <v>1</v>
      </c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56">
        <f t="shared" si="2"/>
        <v>200</v>
      </c>
      <c r="B214" s="50">
        <f t="shared" si="5"/>
        <v>49330</v>
      </c>
      <c r="C214" s="116">
        <f t="shared" si="126"/>
        <v>0.0775</v>
      </c>
      <c r="D214" s="116">
        <f>((1+'AP04'!$C214)^(1/12))-1</f>
        <v>0.006239681461</v>
      </c>
      <c r="E214" s="51">
        <f t="shared" si="127"/>
        <v>2089.154398</v>
      </c>
      <c r="F214" s="51">
        <f>(Q213*'AP04'!$R214)*'AP04'!$D214</f>
        <v>686.0526074</v>
      </c>
      <c r="G214" s="51">
        <f>(Q213*'AP04'!$R214)/($I$5-A213)</f>
        <v>682.918887</v>
      </c>
      <c r="H214" s="52">
        <f t="shared" ref="H214:L214" si="263">H213</f>
        <v>0</v>
      </c>
      <c r="I214" s="52">
        <f t="shared" si="263"/>
        <v>0</v>
      </c>
      <c r="J214" s="51">
        <f t="shared" si="263"/>
        <v>25</v>
      </c>
      <c r="K214" s="52">
        <f t="shared" si="263"/>
        <v>0</v>
      </c>
      <c r="L214" s="52">
        <f t="shared" si="263"/>
        <v>0</v>
      </c>
      <c r="M214" s="52"/>
      <c r="N214" s="85">
        <f>SUM('AP04'!$F214:$L214)</f>
        <v>1393.971494</v>
      </c>
      <c r="O214" s="51"/>
      <c r="P214" s="51">
        <f>Q213*('AP04'!$R214-1)</f>
        <v>0</v>
      </c>
      <c r="Q214" s="51">
        <f>(Q213*'AP04'!$R214)-'AP04'!$G214</f>
        <v>109267.0219</v>
      </c>
      <c r="R214" s="53">
        <f t="shared" si="149"/>
        <v>1</v>
      </c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56">
        <f t="shared" si="2"/>
        <v>201</v>
      </c>
      <c r="B215" s="50">
        <f t="shared" si="5"/>
        <v>49361</v>
      </c>
      <c r="C215" s="116">
        <f t="shared" si="126"/>
        <v>0.0775</v>
      </c>
      <c r="D215" s="116">
        <f>((1+'AP04'!$C215)^(1/12))-1</f>
        <v>0.006239681461</v>
      </c>
      <c r="E215" s="51">
        <f t="shared" si="127"/>
        <v>2089.154398</v>
      </c>
      <c r="F215" s="51">
        <f>(Q214*'AP04'!$R215)*'AP04'!$D215</f>
        <v>681.791411</v>
      </c>
      <c r="G215" s="51">
        <f>(Q214*'AP04'!$R215)/($I$5-A214)</f>
        <v>682.918887</v>
      </c>
      <c r="H215" s="52">
        <f t="shared" ref="H215:L215" si="264">H214</f>
        <v>0</v>
      </c>
      <c r="I215" s="52">
        <f t="shared" si="264"/>
        <v>0</v>
      </c>
      <c r="J215" s="51">
        <f t="shared" si="264"/>
        <v>25</v>
      </c>
      <c r="K215" s="52">
        <f t="shared" si="264"/>
        <v>0</v>
      </c>
      <c r="L215" s="52">
        <f t="shared" si="264"/>
        <v>0</v>
      </c>
      <c r="M215" s="52"/>
      <c r="N215" s="85">
        <f>SUM('AP04'!$F215:$L215)</f>
        <v>1389.710298</v>
      </c>
      <c r="O215" s="51"/>
      <c r="P215" s="51">
        <f>Q214*('AP04'!$R215-1)</f>
        <v>0</v>
      </c>
      <c r="Q215" s="51">
        <f>(Q214*'AP04'!$R215)-'AP04'!$G215</f>
        <v>108584.103</v>
      </c>
      <c r="R215" s="53">
        <f t="shared" si="149"/>
        <v>1</v>
      </c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56">
        <f t="shared" si="2"/>
        <v>202</v>
      </c>
      <c r="B216" s="50">
        <f t="shared" si="5"/>
        <v>49389</v>
      </c>
      <c r="C216" s="116">
        <f t="shared" si="126"/>
        <v>0.0775</v>
      </c>
      <c r="D216" s="116">
        <f>((1+'AP04'!$C216)^(1/12))-1</f>
        <v>0.006239681461</v>
      </c>
      <c r="E216" s="51">
        <f t="shared" si="127"/>
        <v>2089.154398</v>
      </c>
      <c r="F216" s="51">
        <f>(Q215*'AP04'!$R216)*'AP04'!$D216</f>
        <v>677.5302147</v>
      </c>
      <c r="G216" s="51">
        <f>(Q215*'AP04'!$R216)/($I$5-A215)</f>
        <v>682.918887</v>
      </c>
      <c r="H216" s="52">
        <f t="shared" ref="H216:L216" si="265">H215</f>
        <v>0</v>
      </c>
      <c r="I216" s="52">
        <f t="shared" si="265"/>
        <v>0</v>
      </c>
      <c r="J216" s="51">
        <f t="shared" si="265"/>
        <v>25</v>
      </c>
      <c r="K216" s="52">
        <f t="shared" si="265"/>
        <v>0</v>
      </c>
      <c r="L216" s="52">
        <f t="shared" si="265"/>
        <v>0</v>
      </c>
      <c r="M216" s="52"/>
      <c r="N216" s="85">
        <f>SUM('AP04'!$F216:$L216)</f>
        <v>1385.449102</v>
      </c>
      <c r="O216" s="51"/>
      <c r="P216" s="51">
        <f>Q215*('AP04'!$R216-1)</f>
        <v>0</v>
      </c>
      <c r="Q216" s="51">
        <f>(Q215*'AP04'!$R216)-'AP04'!$G216</f>
        <v>107901.1842</v>
      </c>
      <c r="R216" s="53">
        <f t="shared" si="149"/>
        <v>1</v>
      </c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56">
        <f t="shared" si="2"/>
        <v>203</v>
      </c>
      <c r="B217" s="50">
        <f t="shared" si="5"/>
        <v>49420</v>
      </c>
      <c r="C217" s="116">
        <f t="shared" si="126"/>
        <v>0.0775</v>
      </c>
      <c r="D217" s="116">
        <f>((1+'AP04'!$C217)^(1/12))-1</f>
        <v>0.006239681461</v>
      </c>
      <c r="E217" s="51">
        <f t="shared" si="127"/>
        <v>2089.154398</v>
      </c>
      <c r="F217" s="51">
        <f>(Q216*'AP04'!$R217)*'AP04'!$D217</f>
        <v>673.2690184</v>
      </c>
      <c r="G217" s="51">
        <f>(Q216*'AP04'!$R217)/($I$5-A216)</f>
        <v>682.918887</v>
      </c>
      <c r="H217" s="52">
        <f t="shared" ref="H217:L217" si="266">H216</f>
        <v>0</v>
      </c>
      <c r="I217" s="52">
        <f t="shared" si="266"/>
        <v>0</v>
      </c>
      <c r="J217" s="51">
        <f t="shared" si="266"/>
        <v>25</v>
      </c>
      <c r="K217" s="52">
        <f t="shared" si="266"/>
        <v>0</v>
      </c>
      <c r="L217" s="52">
        <f t="shared" si="266"/>
        <v>0</v>
      </c>
      <c r="M217" s="52"/>
      <c r="N217" s="85">
        <f>SUM('AP04'!$F217:$L217)</f>
        <v>1381.187905</v>
      </c>
      <c r="O217" s="51"/>
      <c r="P217" s="51">
        <f>Q216*('AP04'!$R217-1)</f>
        <v>0</v>
      </c>
      <c r="Q217" s="51">
        <f>(Q216*'AP04'!$R217)-'AP04'!$G217</f>
        <v>107218.2653</v>
      </c>
      <c r="R217" s="53">
        <f t="shared" si="149"/>
        <v>1</v>
      </c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56">
        <f t="shared" si="2"/>
        <v>204</v>
      </c>
      <c r="B218" s="50">
        <f t="shared" si="5"/>
        <v>49450</v>
      </c>
      <c r="C218" s="116">
        <f t="shared" si="126"/>
        <v>0.0775</v>
      </c>
      <c r="D218" s="116">
        <f>((1+'AP04'!$C218)^(1/12))-1</f>
        <v>0.006239681461</v>
      </c>
      <c r="E218" s="51">
        <f t="shared" si="127"/>
        <v>2089.154398</v>
      </c>
      <c r="F218" s="51">
        <f>(Q217*'AP04'!$R218)*'AP04'!$D218</f>
        <v>669.0078221</v>
      </c>
      <c r="G218" s="51">
        <f>(Q217*'AP04'!$R218)/($I$5-A217)</f>
        <v>682.918887</v>
      </c>
      <c r="H218" s="52">
        <f t="shared" ref="H218:L218" si="267">H217</f>
        <v>0</v>
      </c>
      <c r="I218" s="52">
        <f t="shared" si="267"/>
        <v>0</v>
      </c>
      <c r="J218" s="51">
        <f t="shared" si="267"/>
        <v>25</v>
      </c>
      <c r="K218" s="52">
        <f t="shared" si="267"/>
        <v>0</v>
      </c>
      <c r="L218" s="52">
        <f t="shared" si="267"/>
        <v>0</v>
      </c>
      <c r="M218" s="52"/>
      <c r="N218" s="85">
        <f>SUM('AP04'!$F218:$L218)</f>
        <v>1376.926709</v>
      </c>
      <c r="O218" s="51"/>
      <c r="P218" s="51">
        <f>Q217*('AP04'!$R218-1)</f>
        <v>0</v>
      </c>
      <c r="Q218" s="51">
        <f>(Q217*'AP04'!$R218)-'AP04'!$G218</f>
        <v>106535.3464</v>
      </c>
      <c r="R218" s="53">
        <f t="shared" si="149"/>
        <v>1</v>
      </c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56">
        <f t="shared" si="2"/>
        <v>205</v>
      </c>
      <c r="B219" s="50">
        <f t="shared" si="5"/>
        <v>49481</v>
      </c>
      <c r="C219" s="116">
        <f t="shared" si="126"/>
        <v>0.0775</v>
      </c>
      <c r="D219" s="116">
        <f>((1+'AP04'!$C219)^(1/12))-1</f>
        <v>0.006239681461</v>
      </c>
      <c r="E219" s="51">
        <f t="shared" si="127"/>
        <v>2089.154398</v>
      </c>
      <c r="F219" s="51">
        <f>(Q218*'AP04'!$R219)*'AP04'!$D219</f>
        <v>664.7466258</v>
      </c>
      <c r="G219" s="51">
        <f>(Q218*'AP04'!$R219)/($I$5-A218)</f>
        <v>682.918887</v>
      </c>
      <c r="H219" s="52">
        <f t="shared" ref="H219:L219" si="268">H218</f>
        <v>0</v>
      </c>
      <c r="I219" s="52">
        <f t="shared" si="268"/>
        <v>0</v>
      </c>
      <c r="J219" s="51">
        <f t="shared" si="268"/>
        <v>25</v>
      </c>
      <c r="K219" s="52">
        <f t="shared" si="268"/>
        <v>0</v>
      </c>
      <c r="L219" s="52">
        <f t="shared" si="268"/>
        <v>0</v>
      </c>
      <c r="M219" s="52"/>
      <c r="N219" s="85">
        <f>SUM('AP04'!$F219:$L219)</f>
        <v>1372.665513</v>
      </c>
      <c r="O219" s="51"/>
      <c r="P219" s="51">
        <f>Q218*('AP04'!$R219-1)</f>
        <v>0</v>
      </c>
      <c r="Q219" s="51">
        <f>(Q218*'AP04'!$R219)-'AP04'!$G219</f>
        <v>105852.4275</v>
      </c>
      <c r="R219" s="53">
        <f t="shared" si="149"/>
        <v>1</v>
      </c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56">
        <f t="shared" si="2"/>
        <v>206</v>
      </c>
      <c r="B220" s="50">
        <f t="shared" si="5"/>
        <v>49511</v>
      </c>
      <c r="C220" s="116">
        <f t="shared" si="126"/>
        <v>0.0775</v>
      </c>
      <c r="D220" s="116">
        <f>((1+'AP04'!$C220)^(1/12))-1</f>
        <v>0.006239681461</v>
      </c>
      <c r="E220" s="51">
        <f t="shared" si="127"/>
        <v>2089.154398</v>
      </c>
      <c r="F220" s="51">
        <f>(Q219*'AP04'!$R220)*'AP04'!$D220</f>
        <v>660.4854295</v>
      </c>
      <c r="G220" s="51">
        <f>(Q219*'AP04'!$R220)/($I$5-A219)</f>
        <v>682.918887</v>
      </c>
      <c r="H220" s="52">
        <f t="shared" ref="H220:L220" si="269">H219</f>
        <v>0</v>
      </c>
      <c r="I220" s="52">
        <f t="shared" si="269"/>
        <v>0</v>
      </c>
      <c r="J220" s="51">
        <f t="shared" si="269"/>
        <v>25</v>
      </c>
      <c r="K220" s="52">
        <f t="shared" si="269"/>
        <v>0</v>
      </c>
      <c r="L220" s="52">
        <f t="shared" si="269"/>
        <v>0</v>
      </c>
      <c r="M220" s="52"/>
      <c r="N220" s="85">
        <f>SUM('AP04'!$F220:$L220)</f>
        <v>1368.404316</v>
      </c>
      <c r="O220" s="51"/>
      <c r="P220" s="51">
        <f>Q219*('AP04'!$R220-1)</f>
        <v>0</v>
      </c>
      <c r="Q220" s="51">
        <f>(Q219*'AP04'!$R220)-'AP04'!$G220</f>
        <v>105169.5086</v>
      </c>
      <c r="R220" s="53">
        <f t="shared" si="149"/>
        <v>1</v>
      </c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56">
        <f t="shared" si="2"/>
        <v>207</v>
      </c>
      <c r="B221" s="50">
        <f t="shared" si="5"/>
        <v>49542</v>
      </c>
      <c r="C221" s="116">
        <f t="shared" si="126"/>
        <v>0.0775</v>
      </c>
      <c r="D221" s="116">
        <f>((1+'AP04'!$C221)^(1/12))-1</f>
        <v>0.006239681461</v>
      </c>
      <c r="E221" s="51">
        <f t="shared" si="127"/>
        <v>2089.154398</v>
      </c>
      <c r="F221" s="51">
        <f>(Q220*'AP04'!$R221)*'AP04'!$D221</f>
        <v>656.2242331</v>
      </c>
      <c r="G221" s="51">
        <f>(Q220*'AP04'!$R221)/($I$5-A220)</f>
        <v>682.918887</v>
      </c>
      <c r="H221" s="52">
        <f t="shared" ref="H221:L221" si="270">H220</f>
        <v>0</v>
      </c>
      <c r="I221" s="52">
        <f t="shared" si="270"/>
        <v>0</v>
      </c>
      <c r="J221" s="51">
        <f t="shared" si="270"/>
        <v>25</v>
      </c>
      <c r="K221" s="52">
        <f t="shared" si="270"/>
        <v>0</v>
      </c>
      <c r="L221" s="52">
        <f t="shared" si="270"/>
        <v>0</v>
      </c>
      <c r="M221" s="52"/>
      <c r="N221" s="85">
        <f>SUM('AP04'!$F221:$L221)</f>
        <v>1364.14312</v>
      </c>
      <c r="O221" s="51"/>
      <c r="P221" s="51">
        <f>Q220*('AP04'!$R221-1)</f>
        <v>0</v>
      </c>
      <c r="Q221" s="51">
        <f>(Q220*'AP04'!$R221)-'AP04'!$G221</f>
        <v>104486.5897</v>
      </c>
      <c r="R221" s="53">
        <f t="shared" si="149"/>
        <v>1</v>
      </c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56">
        <f t="shared" si="2"/>
        <v>208</v>
      </c>
      <c r="B222" s="50">
        <f t="shared" si="5"/>
        <v>49573</v>
      </c>
      <c r="C222" s="116">
        <f t="shared" si="126"/>
        <v>0.0775</v>
      </c>
      <c r="D222" s="116">
        <f>((1+'AP04'!$C222)^(1/12))-1</f>
        <v>0.006239681461</v>
      </c>
      <c r="E222" s="51">
        <f t="shared" si="127"/>
        <v>2089.154398</v>
      </c>
      <c r="F222" s="51">
        <f>(Q221*'AP04'!$R222)*'AP04'!$D222</f>
        <v>651.9630368</v>
      </c>
      <c r="G222" s="51">
        <f>(Q221*'AP04'!$R222)/($I$5-A221)</f>
        <v>682.918887</v>
      </c>
      <c r="H222" s="52">
        <f t="shared" ref="H222:L222" si="271">H221</f>
        <v>0</v>
      </c>
      <c r="I222" s="52">
        <f t="shared" si="271"/>
        <v>0</v>
      </c>
      <c r="J222" s="51">
        <f t="shared" si="271"/>
        <v>25</v>
      </c>
      <c r="K222" s="52">
        <f t="shared" si="271"/>
        <v>0</v>
      </c>
      <c r="L222" s="52">
        <f t="shared" si="271"/>
        <v>0</v>
      </c>
      <c r="M222" s="52"/>
      <c r="N222" s="85">
        <f>SUM('AP04'!$F222:$L222)</f>
        <v>1359.881924</v>
      </c>
      <c r="O222" s="51"/>
      <c r="P222" s="51">
        <f>Q221*('AP04'!$R222-1)</f>
        <v>0</v>
      </c>
      <c r="Q222" s="51">
        <f>(Q221*'AP04'!$R222)-'AP04'!$G222</f>
        <v>103803.6708</v>
      </c>
      <c r="R222" s="53">
        <f t="shared" si="149"/>
        <v>1</v>
      </c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56">
        <f t="shared" si="2"/>
        <v>209</v>
      </c>
      <c r="B223" s="50">
        <f t="shared" si="5"/>
        <v>49603</v>
      </c>
      <c r="C223" s="116">
        <f t="shared" si="126"/>
        <v>0.0775</v>
      </c>
      <c r="D223" s="116">
        <f>((1+'AP04'!$C223)^(1/12))-1</f>
        <v>0.006239681461</v>
      </c>
      <c r="E223" s="51">
        <f t="shared" si="127"/>
        <v>2089.154398</v>
      </c>
      <c r="F223" s="51">
        <f>(Q222*'AP04'!$R223)*'AP04'!$D223</f>
        <v>647.7018405</v>
      </c>
      <c r="G223" s="51">
        <f>(Q222*'AP04'!$R223)/($I$5-A222)</f>
        <v>682.918887</v>
      </c>
      <c r="H223" s="52">
        <f t="shared" ref="H223:L223" si="272">H222</f>
        <v>0</v>
      </c>
      <c r="I223" s="52">
        <f t="shared" si="272"/>
        <v>0</v>
      </c>
      <c r="J223" s="51">
        <f t="shared" si="272"/>
        <v>25</v>
      </c>
      <c r="K223" s="52">
        <f t="shared" si="272"/>
        <v>0</v>
      </c>
      <c r="L223" s="52">
        <f t="shared" si="272"/>
        <v>0</v>
      </c>
      <c r="M223" s="52"/>
      <c r="N223" s="85">
        <f>SUM('AP04'!$F223:$L223)</f>
        <v>1355.620728</v>
      </c>
      <c r="O223" s="51"/>
      <c r="P223" s="51">
        <f>Q222*('AP04'!$R223-1)</f>
        <v>0</v>
      </c>
      <c r="Q223" s="51">
        <f>(Q222*'AP04'!$R223)-'AP04'!$G223</f>
        <v>103120.7519</v>
      </c>
      <c r="R223" s="53">
        <f t="shared" si="149"/>
        <v>1</v>
      </c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56">
        <f t="shared" si="2"/>
        <v>210</v>
      </c>
      <c r="B224" s="50">
        <f t="shared" si="5"/>
        <v>49634</v>
      </c>
      <c r="C224" s="116">
        <f t="shared" si="126"/>
        <v>0.0775</v>
      </c>
      <c r="D224" s="116">
        <f>((1+'AP04'!$C224)^(1/12))-1</f>
        <v>0.006239681461</v>
      </c>
      <c r="E224" s="51">
        <f t="shared" si="127"/>
        <v>2089.154398</v>
      </c>
      <c r="F224" s="51">
        <f>(Q223*'AP04'!$R224)*'AP04'!$D224</f>
        <v>643.4406442</v>
      </c>
      <c r="G224" s="51">
        <f>(Q223*'AP04'!$R224)/($I$5-A223)</f>
        <v>682.918887</v>
      </c>
      <c r="H224" s="52">
        <f t="shared" ref="H224:L224" si="273">H223</f>
        <v>0</v>
      </c>
      <c r="I224" s="52">
        <f t="shared" si="273"/>
        <v>0</v>
      </c>
      <c r="J224" s="51">
        <f t="shared" si="273"/>
        <v>25</v>
      </c>
      <c r="K224" s="52">
        <f t="shared" si="273"/>
        <v>0</v>
      </c>
      <c r="L224" s="52">
        <f t="shared" si="273"/>
        <v>0</v>
      </c>
      <c r="M224" s="52"/>
      <c r="N224" s="85">
        <f>SUM('AP04'!$F224:$L224)</f>
        <v>1351.359531</v>
      </c>
      <c r="O224" s="51"/>
      <c r="P224" s="51">
        <f>Q223*('AP04'!$R224-1)</f>
        <v>0</v>
      </c>
      <c r="Q224" s="51">
        <f>(Q223*'AP04'!$R224)-'AP04'!$G224</f>
        <v>102437.8331</v>
      </c>
      <c r="R224" s="53">
        <f t="shared" si="149"/>
        <v>1</v>
      </c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56">
        <f t="shared" si="2"/>
        <v>211</v>
      </c>
      <c r="B225" s="50">
        <f t="shared" si="5"/>
        <v>49664</v>
      </c>
      <c r="C225" s="116">
        <f t="shared" si="126"/>
        <v>0.0775</v>
      </c>
      <c r="D225" s="116">
        <f>((1+'AP04'!$C225)^(1/12))-1</f>
        <v>0.006239681461</v>
      </c>
      <c r="E225" s="51">
        <f t="shared" si="127"/>
        <v>2089.154398</v>
      </c>
      <c r="F225" s="51">
        <f>(Q224*'AP04'!$R225)*'AP04'!$D225</f>
        <v>639.1794479</v>
      </c>
      <c r="G225" s="51">
        <f>(Q224*'AP04'!$R225)/($I$5-A224)</f>
        <v>682.918887</v>
      </c>
      <c r="H225" s="52">
        <f t="shared" ref="H225:L225" si="274">H224</f>
        <v>0</v>
      </c>
      <c r="I225" s="52">
        <f t="shared" si="274"/>
        <v>0</v>
      </c>
      <c r="J225" s="51">
        <f t="shared" si="274"/>
        <v>25</v>
      </c>
      <c r="K225" s="52">
        <f t="shared" si="274"/>
        <v>0</v>
      </c>
      <c r="L225" s="52">
        <f t="shared" si="274"/>
        <v>0</v>
      </c>
      <c r="M225" s="52"/>
      <c r="N225" s="85">
        <f>SUM('AP04'!$F225:$L225)</f>
        <v>1347.098335</v>
      </c>
      <c r="O225" s="51"/>
      <c r="P225" s="51">
        <f>Q224*('AP04'!$R225-1)</f>
        <v>0</v>
      </c>
      <c r="Q225" s="51">
        <f>(Q224*'AP04'!$R225)-'AP04'!$G225</f>
        <v>101754.9142</v>
      </c>
      <c r="R225" s="53">
        <f t="shared" si="149"/>
        <v>1</v>
      </c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56">
        <f t="shared" si="2"/>
        <v>212</v>
      </c>
      <c r="B226" s="50">
        <f t="shared" si="5"/>
        <v>49695</v>
      </c>
      <c r="C226" s="116">
        <f t="shared" si="126"/>
        <v>0.0775</v>
      </c>
      <c r="D226" s="116">
        <f>((1+'AP04'!$C226)^(1/12))-1</f>
        <v>0.006239681461</v>
      </c>
      <c r="E226" s="51">
        <f t="shared" si="127"/>
        <v>2089.154398</v>
      </c>
      <c r="F226" s="51">
        <f>(Q225*'AP04'!$R226)*'AP04'!$D226</f>
        <v>634.9182515</v>
      </c>
      <c r="G226" s="51">
        <f>(Q225*'AP04'!$R226)/($I$5-A225)</f>
        <v>682.918887</v>
      </c>
      <c r="H226" s="52">
        <f t="shared" ref="H226:L226" si="275">H225</f>
        <v>0</v>
      </c>
      <c r="I226" s="52">
        <f t="shared" si="275"/>
        <v>0</v>
      </c>
      <c r="J226" s="51">
        <f t="shared" si="275"/>
        <v>25</v>
      </c>
      <c r="K226" s="52">
        <f t="shared" si="275"/>
        <v>0</v>
      </c>
      <c r="L226" s="52">
        <f t="shared" si="275"/>
        <v>0</v>
      </c>
      <c r="M226" s="52"/>
      <c r="N226" s="85">
        <f>SUM('AP04'!$F226:$L226)</f>
        <v>1342.837139</v>
      </c>
      <c r="O226" s="51"/>
      <c r="P226" s="51">
        <f>Q225*('AP04'!$R226-1)</f>
        <v>0</v>
      </c>
      <c r="Q226" s="51">
        <f>(Q225*'AP04'!$R226)-'AP04'!$G226</f>
        <v>101071.9953</v>
      </c>
      <c r="R226" s="53">
        <f t="shared" si="149"/>
        <v>1</v>
      </c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56">
        <f t="shared" si="2"/>
        <v>213</v>
      </c>
      <c r="B227" s="50">
        <f t="shared" si="5"/>
        <v>49726</v>
      </c>
      <c r="C227" s="116">
        <f t="shared" si="126"/>
        <v>0.0775</v>
      </c>
      <c r="D227" s="116">
        <f>((1+'AP04'!$C227)^(1/12))-1</f>
        <v>0.006239681461</v>
      </c>
      <c r="E227" s="51">
        <f t="shared" si="127"/>
        <v>2089.154398</v>
      </c>
      <c r="F227" s="51">
        <f>(Q226*'AP04'!$R227)*'AP04'!$D227</f>
        <v>630.6570552</v>
      </c>
      <c r="G227" s="51">
        <f>(Q226*'AP04'!$R227)/($I$5-A226)</f>
        <v>682.918887</v>
      </c>
      <c r="H227" s="52">
        <f t="shared" ref="H227:L227" si="276">H226</f>
        <v>0</v>
      </c>
      <c r="I227" s="52">
        <f t="shared" si="276"/>
        <v>0</v>
      </c>
      <c r="J227" s="51">
        <f t="shared" si="276"/>
        <v>25</v>
      </c>
      <c r="K227" s="52">
        <f t="shared" si="276"/>
        <v>0</v>
      </c>
      <c r="L227" s="52">
        <f t="shared" si="276"/>
        <v>0</v>
      </c>
      <c r="M227" s="52"/>
      <c r="N227" s="85">
        <f>SUM('AP04'!$F227:$L227)</f>
        <v>1338.575942</v>
      </c>
      <c r="O227" s="51"/>
      <c r="P227" s="51">
        <f>Q226*('AP04'!$R227-1)</f>
        <v>0</v>
      </c>
      <c r="Q227" s="51">
        <f>(Q226*'AP04'!$R227)-'AP04'!$G227</f>
        <v>100389.0764</v>
      </c>
      <c r="R227" s="53">
        <f t="shared" si="149"/>
        <v>1</v>
      </c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56">
        <f t="shared" si="2"/>
        <v>214</v>
      </c>
      <c r="B228" s="50">
        <f t="shared" si="5"/>
        <v>49755</v>
      </c>
      <c r="C228" s="116">
        <f t="shared" si="126"/>
        <v>0.0775</v>
      </c>
      <c r="D228" s="116">
        <f>((1+'AP04'!$C228)^(1/12))-1</f>
        <v>0.006239681461</v>
      </c>
      <c r="E228" s="51">
        <f t="shared" si="127"/>
        <v>2089.154398</v>
      </c>
      <c r="F228" s="51">
        <f>(Q227*'AP04'!$R228)*'AP04'!$D228</f>
        <v>626.3958589</v>
      </c>
      <c r="G228" s="51">
        <f>(Q227*'AP04'!$R228)/($I$5-A227)</f>
        <v>682.918887</v>
      </c>
      <c r="H228" s="52">
        <f t="shared" ref="H228:L228" si="277">H227</f>
        <v>0</v>
      </c>
      <c r="I228" s="52">
        <f t="shared" si="277"/>
        <v>0</v>
      </c>
      <c r="J228" s="51">
        <f t="shared" si="277"/>
        <v>25</v>
      </c>
      <c r="K228" s="52">
        <f t="shared" si="277"/>
        <v>0</v>
      </c>
      <c r="L228" s="52">
        <f t="shared" si="277"/>
        <v>0</v>
      </c>
      <c r="M228" s="52"/>
      <c r="N228" s="85">
        <f>SUM('AP04'!$F228:$L228)</f>
        <v>1334.314746</v>
      </c>
      <c r="O228" s="51"/>
      <c r="P228" s="51">
        <f>Q227*('AP04'!$R228-1)</f>
        <v>0</v>
      </c>
      <c r="Q228" s="51">
        <f>(Q227*'AP04'!$R228)-'AP04'!$G228</f>
        <v>99706.15751</v>
      </c>
      <c r="R228" s="53">
        <f t="shared" si="149"/>
        <v>1</v>
      </c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56">
        <f t="shared" si="2"/>
        <v>215</v>
      </c>
      <c r="B229" s="50">
        <f t="shared" si="5"/>
        <v>49786</v>
      </c>
      <c r="C229" s="116">
        <f t="shared" si="126"/>
        <v>0.0775</v>
      </c>
      <c r="D229" s="116">
        <f>((1+'AP04'!$C229)^(1/12))-1</f>
        <v>0.006239681461</v>
      </c>
      <c r="E229" s="51">
        <f t="shared" si="127"/>
        <v>2089.154398</v>
      </c>
      <c r="F229" s="51">
        <f>(Q228*'AP04'!$R229)*'AP04'!$D229</f>
        <v>622.1346626</v>
      </c>
      <c r="G229" s="51">
        <f>(Q228*'AP04'!$R229)/($I$5-A228)</f>
        <v>682.918887</v>
      </c>
      <c r="H229" s="52">
        <f t="shared" ref="H229:L229" si="278">H228</f>
        <v>0</v>
      </c>
      <c r="I229" s="52">
        <f t="shared" si="278"/>
        <v>0</v>
      </c>
      <c r="J229" s="51">
        <f t="shared" si="278"/>
        <v>25</v>
      </c>
      <c r="K229" s="52">
        <f t="shared" si="278"/>
        <v>0</v>
      </c>
      <c r="L229" s="52">
        <f t="shared" si="278"/>
        <v>0</v>
      </c>
      <c r="M229" s="52"/>
      <c r="N229" s="85">
        <f>SUM('AP04'!$F229:$L229)</f>
        <v>1330.05355</v>
      </c>
      <c r="O229" s="51"/>
      <c r="P229" s="51">
        <f>Q228*('AP04'!$R229-1)</f>
        <v>0</v>
      </c>
      <c r="Q229" s="51">
        <f>(Q228*'AP04'!$R229)-'AP04'!$G229</f>
        <v>99023.23862</v>
      </c>
      <c r="R229" s="53">
        <f t="shared" si="149"/>
        <v>1</v>
      </c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56">
        <f t="shared" si="2"/>
        <v>216</v>
      </c>
      <c r="B230" s="50">
        <f t="shared" si="5"/>
        <v>49816</v>
      </c>
      <c r="C230" s="116">
        <f t="shared" si="126"/>
        <v>0.0775</v>
      </c>
      <c r="D230" s="116">
        <f>((1+'AP04'!$C230)^(1/12))-1</f>
        <v>0.006239681461</v>
      </c>
      <c r="E230" s="51">
        <f t="shared" si="127"/>
        <v>2089.154398</v>
      </c>
      <c r="F230" s="51">
        <f>(Q229*'AP04'!$R230)*'AP04'!$D230</f>
        <v>617.8734663</v>
      </c>
      <c r="G230" s="51">
        <f>(Q229*'AP04'!$R230)/($I$5-A229)</f>
        <v>682.918887</v>
      </c>
      <c r="H230" s="52">
        <f t="shared" ref="H230:L230" si="279">H229</f>
        <v>0</v>
      </c>
      <c r="I230" s="52">
        <f t="shared" si="279"/>
        <v>0</v>
      </c>
      <c r="J230" s="51">
        <f t="shared" si="279"/>
        <v>25</v>
      </c>
      <c r="K230" s="52">
        <f t="shared" si="279"/>
        <v>0</v>
      </c>
      <c r="L230" s="52">
        <f t="shared" si="279"/>
        <v>0</v>
      </c>
      <c r="M230" s="52"/>
      <c r="N230" s="85">
        <f>SUM('AP04'!$F230:$L230)</f>
        <v>1325.792353</v>
      </c>
      <c r="O230" s="51"/>
      <c r="P230" s="51">
        <f>Q229*('AP04'!$R230-1)</f>
        <v>0</v>
      </c>
      <c r="Q230" s="51">
        <f>(Q229*'AP04'!$R230)-'AP04'!$G230</f>
        <v>98340.31973</v>
      </c>
      <c r="R230" s="53">
        <f t="shared" si="149"/>
        <v>1</v>
      </c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56">
        <f t="shared" si="2"/>
        <v>217</v>
      </c>
      <c r="B231" s="50">
        <f t="shared" si="5"/>
        <v>49847</v>
      </c>
      <c r="C231" s="116">
        <f t="shared" si="126"/>
        <v>0.0775</v>
      </c>
      <c r="D231" s="116">
        <f>((1+'AP04'!$C231)^(1/12))-1</f>
        <v>0.006239681461</v>
      </c>
      <c r="E231" s="51">
        <f t="shared" si="127"/>
        <v>2089.154398</v>
      </c>
      <c r="F231" s="51">
        <f>(Q230*'AP04'!$R231)*'AP04'!$D231</f>
        <v>613.6122699</v>
      </c>
      <c r="G231" s="51">
        <f>(Q230*'AP04'!$R231)/($I$5-A230)</f>
        <v>682.918887</v>
      </c>
      <c r="H231" s="52">
        <f t="shared" ref="H231:L231" si="280">H230</f>
        <v>0</v>
      </c>
      <c r="I231" s="52">
        <f t="shared" si="280"/>
        <v>0</v>
      </c>
      <c r="J231" s="51">
        <f t="shared" si="280"/>
        <v>25</v>
      </c>
      <c r="K231" s="52">
        <f t="shared" si="280"/>
        <v>0</v>
      </c>
      <c r="L231" s="52">
        <f t="shared" si="280"/>
        <v>0</v>
      </c>
      <c r="M231" s="52"/>
      <c r="N231" s="85">
        <f>SUM('AP04'!$F231:$L231)</f>
        <v>1321.531157</v>
      </c>
      <c r="O231" s="51"/>
      <c r="P231" s="51">
        <f>Q230*('AP04'!$R231-1)</f>
        <v>0</v>
      </c>
      <c r="Q231" s="51">
        <f>(Q230*'AP04'!$R231)-'AP04'!$G231</f>
        <v>97657.40085</v>
      </c>
      <c r="R231" s="53">
        <f t="shared" si="149"/>
        <v>1</v>
      </c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56">
        <f t="shared" si="2"/>
        <v>218</v>
      </c>
      <c r="B232" s="50">
        <f t="shared" si="5"/>
        <v>49877</v>
      </c>
      <c r="C232" s="116">
        <f t="shared" si="126"/>
        <v>0.0775</v>
      </c>
      <c r="D232" s="116">
        <f>((1+'AP04'!$C232)^(1/12))-1</f>
        <v>0.006239681461</v>
      </c>
      <c r="E232" s="51">
        <f t="shared" si="127"/>
        <v>2089.154398</v>
      </c>
      <c r="F232" s="51">
        <f>(Q231*'AP04'!$R232)*'AP04'!$D232</f>
        <v>609.3510736</v>
      </c>
      <c r="G232" s="51">
        <f>(Q231*'AP04'!$R232)/($I$5-A231)</f>
        <v>682.918887</v>
      </c>
      <c r="H232" s="52">
        <f t="shared" ref="H232:L232" si="281">H231</f>
        <v>0</v>
      </c>
      <c r="I232" s="52">
        <f t="shared" si="281"/>
        <v>0</v>
      </c>
      <c r="J232" s="51">
        <f t="shared" si="281"/>
        <v>25</v>
      </c>
      <c r="K232" s="52">
        <f t="shared" si="281"/>
        <v>0</v>
      </c>
      <c r="L232" s="52">
        <f t="shared" si="281"/>
        <v>0</v>
      </c>
      <c r="M232" s="52"/>
      <c r="N232" s="85">
        <f>SUM('AP04'!$F232:$L232)</f>
        <v>1317.269961</v>
      </c>
      <c r="O232" s="51"/>
      <c r="P232" s="51">
        <f>Q231*('AP04'!$R232-1)</f>
        <v>0</v>
      </c>
      <c r="Q232" s="51">
        <f>(Q231*'AP04'!$R232)-'AP04'!$G232</f>
        <v>96974.48196</v>
      </c>
      <c r="R232" s="53">
        <f t="shared" si="149"/>
        <v>1</v>
      </c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56">
        <f t="shared" si="2"/>
        <v>219</v>
      </c>
      <c r="B233" s="50">
        <f t="shared" si="5"/>
        <v>49908</v>
      </c>
      <c r="C233" s="116">
        <f t="shared" si="126"/>
        <v>0.0775</v>
      </c>
      <c r="D233" s="116">
        <f>((1+'AP04'!$C233)^(1/12))-1</f>
        <v>0.006239681461</v>
      </c>
      <c r="E233" s="51">
        <f t="shared" si="127"/>
        <v>2089.154398</v>
      </c>
      <c r="F233" s="51">
        <f>(Q232*'AP04'!$R233)*'AP04'!$D233</f>
        <v>605.0898773</v>
      </c>
      <c r="G233" s="51">
        <f>(Q232*'AP04'!$R233)/($I$5-A232)</f>
        <v>682.918887</v>
      </c>
      <c r="H233" s="52">
        <f t="shared" ref="H233:L233" si="282">H232</f>
        <v>0</v>
      </c>
      <c r="I233" s="52">
        <f t="shared" si="282"/>
        <v>0</v>
      </c>
      <c r="J233" s="51">
        <f t="shared" si="282"/>
        <v>25</v>
      </c>
      <c r="K233" s="52">
        <f t="shared" si="282"/>
        <v>0</v>
      </c>
      <c r="L233" s="52">
        <f t="shared" si="282"/>
        <v>0</v>
      </c>
      <c r="M233" s="52"/>
      <c r="N233" s="85">
        <f>SUM('AP04'!$F233:$L233)</f>
        <v>1313.008764</v>
      </c>
      <c r="O233" s="51"/>
      <c r="P233" s="51">
        <f>Q232*('AP04'!$R233-1)</f>
        <v>0</v>
      </c>
      <c r="Q233" s="51">
        <f>(Q232*'AP04'!$R233)-'AP04'!$G233</f>
        <v>96291.56307</v>
      </c>
      <c r="R233" s="53">
        <f t="shared" si="149"/>
        <v>1</v>
      </c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56">
        <f t="shared" si="2"/>
        <v>220</v>
      </c>
      <c r="B234" s="50">
        <f t="shared" si="5"/>
        <v>49939</v>
      </c>
      <c r="C234" s="116">
        <f t="shared" si="126"/>
        <v>0.0775</v>
      </c>
      <c r="D234" s="116">
        <f>((1+'AP04'!$C234)^(1/12))-1</f>
        <v>0.006239681461</v>
      </c>
      <c r="E234" s="51">
        <f t="shared" si="127"/>
        <v>2089.154398</v>
      </c>
      <c r="F234" s="51">
        <f>(Q233*'AP04'!$R234)*'AP04'!$D234</f>
        <v>600.828681</v>
      </c>
      <c r="G234" s="51">
        <f>(Q233*'AP04'!$R234)/($I$5-A233)</f>
        <v>682.918887</v>
      </c>
      <c r="H234" s="52">
        <f t="shared" ref="H234:L234" si="283">H233</f>
        <v>0</v>
      </c>
      <c r="I234" s="52">
        <f t="shared" si="283"/>
        <v>0</v>
      </c>
      <c r="J234" s="51">
        <f t="shared" si="283"/>
        <v>25</v>
      </c>
      <c r="K234" s="52">
        <f t="shared" si="283"/>
        <v>0</v>
      </c>
      <c r="L234" s="52">
        <f t="shared" si="283"/>
        <v>0</v>
      </c>
      <c r="M234" s="52"/>
      <c r="N234" s="85">
        <f>SUM('AP04'!$F234:$L234)</f>
        <v>1308.747568</v>
      </c>
      <c r="O234" s="51"/>
      <c r="P234" s="51">
        <f>Q233*('AP04'!$R234-1)</f>
        <v>0</v>
      </c>
      <c r="Q234" s="51">
        <f>(Q233*'AP04'!$R234)-'AP04'!$G234</f>
        <v>95608.64419</v>
      </c>
      <c r="R234" s="53">
        <f t="shared" si="149"/>
        <v>1</v>
      </c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56">
        <f t="shared" si="2"/>
        <v>221</v>
      </c>
      <c r="B235" s="50">
        <f t="shared" si="5"/>
        <v>49969</v>
      </c>
      <c r="C235" s="116">
        <f t="shared" si="126"/>
        <v>0.0775</v>
      </c>
      <c r="D235" s="116">
        <f>((1+'AP04'!$C235)^(1/12))-1</f>
        <v>0.006239681461</v>
      </c>
      <c r="E235" s="51">
        <f t="shared" si="127"/>
        <v>2089.154398</v>
      </c>
      <c r="F235" s="51">
        <f>(Q234*'AP04'!$R235)*'AP04'!$D235</f>
        <v>596.5674847</v>
      </c>
      <c r="G235" s="51">
        <f>(Q234*'AP04'!$R235)/($I$5-A234)</f>
        <v>682.918887</v>
      </c>
      <c r="H235" s="52">
        <f t="shared" ref="H235:L235" si="284">H234</f>
        <v>0</v>
      </c>
      <c r="I235" s="52">
        <f t="shared" si="284"/>
        <v>0</v>
      </c>
      <c r="J235" s="51">
        <f t="shared" si="284"/>
        <v>25</v>
      </c>
      <c r="K235" s="52">
        <f t="shared" si="284"/>
        <v>0</v>
      </c>
      <c r="L235" s="52">
        <f t="shared" si="284"/>
        <v>0</v>
      </c>
      <c r="M235" s="52"/>
      <c r="N235" s="85">
        <f>SUM('AP04'!$F235:$L235)</f>
        <v>1304.486372</v>
      </c>
      <c r="O235" s="51"/>
      <c r="P235" s="51">
        <f>Q234*('AP04'!$R235-1)</f>
        <v>0</v>
      </c>
      <c r="Q235" s="51">
        <f>(Q234*'AP04'!$R235)-'AP04'!$G235</f>
        <v>94925.7253</v>
      </c>
      <c r="R235" s="53">
        <f t="shared" si="149"/>
        <v>1</v>
      </c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56">
        <f t="shared" si="2"/>
        <v>222</v>
      </c>
      <c r="B236" s="50">
        <f t="shared" si="5"/>
        <v>50000</v>
      </c>
      <c r="C236" s="116">
        <f t="shared" si="126"/>
        <v>0.0775</v>
      </c>
      <c r="D236" s="116">
        <f>((1+'AP04'!$C236)^(1/12))-1</f>
        <v>0.006239681461</v>
      </c>
      <c r="E236" s="51">
        <f t="shared" si="127"/>
        <v>2089.154398</v>
      </c>
      <c r="F236" s="51">
        <f>(Q235*'AP04'!$R236)*'AP04'!$D236</f>
        <v>592.3062883</v>
      </c>
      <c r="G236" s="51">
        <f>(Q235*'AP04'!$R236)/($I$5-A235)</f>
        <v>682.918887</v>
      </c>
      <c r="H236" s="52">
        <f t="shared" ref="H236:L236" si="285">H235</f>
        <v>0</v>
      </c>
      <c r="I236" s="52">
        <f t="shared" si="285"/>
        <v>0</v>
      </c>
      <c r="J236" s="51">
        <f t="shared" si="285"/>
        <v>25</v>
      </c>
      <c r="K236" s="52">
        <f t="shared" si="285"/>
        <v>0</v>
      </c>
      <c r="L236" s="52">
        <f t="shared" si="285"/>
        <v>0</v>
      </c>
      <c r="M236" s="52"/>
      <c r="N236" s="85">
        <f>SUM('AP04'!$F236:$L236)</f>
        <v>1300.225175</v>
      </c>
      <c r="O236" s="51"/>
      <c r="P236" s="51">
        <f>Q235*('AP04'!$R236-1)</f>
        <v>0</v>
      </c>
      <c r="Q236" s="51">
        <f>(Q235*'AP04'!$R236)-'AP04'!$G236</f>
        <v>94242.80641</v>
      </c>
      <c r="R236" s="53">
        <f t="shared" si="149"/>
        <v>1</v>
      </c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56">
        <f t="shared" si="2"/>
        <v>223</v>
      </c>
      <c r="B237" s="50">
        <f t="shared" si="5"/>
        <v>50030</v>
      </c>
      <c r="C237" s="116">
        <f t="shared" si="126"/>
        <v>0.0775</v>
      </c>
      <c r="D237" s="116">
        <f>((1+'AP04'!$C237)^(1/12))-1</f>
        <v>0.006239681461</v>
      </c>
      <c r="E237" s="51">
        <f t="shared" si="127"/>
        <v>2089.154398</v>
      </c>
      <c r="F237" s="51">
        <f>(Q236*'AP04'!$R237)*'AP04'!$D237</f>
        <v>588.045092</v>
      </c>
      <c r="G237" s="51">
        <f>(Q236*'AP04'!$R237)/($I$5-A236)</f>
        <v>682.918887</v>
      </c>
      <c r="H237" s="52">
        <f t="shared" ref="H237:L237" si="286">H236</f>
        <v>0</v>
      </c>
      <c r="I237" s="52">
        <f t="shared" si="286"/>
        <v>0</v>
      </c>
      <c r="J237" s="51">
        <f t="shared" si="286"/>
        <v>25</v>
      </c>
      <c r="K237" s="52">
        <f t="shared" si="286"/>
        <v>0</v>
      </c>
      <c r="L237" s="52">
        <f t="shared" si="286"/>
        <v>0</v>
      </c>
      <c r="M237" s="52"/>
      <c r="N237" s="85">
        <f>SUM('AP04'!$F237:$L237)</f>
        <v>1295.963979</v>
      </c>
      <c r="O237" s="51"/>
      <c r="P237" s="51">
        <f>Q236*('AP04'!$R237-1)</f>
        <v>0</v>
      </c>
      <c r="Q237" s="51">
        <f>(Q236*'AP04'!$R237)-'AP04'!$G237</f>
        <v>93559.88753</v>
      </c>
      <c r="R237" s="53">
        <f t="shared" si="149"/>
        <v>1</v>
      </c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56">
        <f t="shared" si="2"/>
        <v>224</v>
      </c>
      <c r="B238" s="50">
        <f t="shared" si="5"/>
        <v>50061</v>
      </c>
      <c r="C238" s="116">
        <f t="shared" si="126"/>
        <v>0.0775</v>
      </c>
      <c r="D238" s="116">
        <f>((1+'AP04'!$C238)^(1/12))-1</f>
        <v>0.006239681461</v>
      </c>
      <c r="E238" s="51">
        <f t="shared" si="127"/>
        <v>2089.154398</v>
      </c>
      <c r="F238" s="51">
        <f>(Q237*'AP04'!$R238)*'AP04'!$D238</f>
        <v>583.7838957</v>
      </c>
      <c r="G238" s="51">
        <f>(Q237*'AP04'!$R238)/($I$5-A237)</f>
        <v>682.918887</v>
      </c>
      <c r="H238" s="52">
        <f t="shared" ref="H238:L238" si="287">H237</f>
        <v>0</v>
      </c>
      <c r="I238" s="52">
        <f t="shared" si="287"/>
        <v>0</v>
      </c>
      <c r="J238" s="51">
        <f t="shared" si="287"/>
        <v>25</v>
      </c>
      <c r="K238" s="52">
        <f t="shared" si="287"/>
        <v>0</v>
      </c>
      <c r="L238" s="52">
        <f t="shared" si="287"/>
        <v>0</v>
      </c>
      <c r="M238" s="52"/>
      <c r="N238" s="85">
        <f>SUM('AP04'!$F238:$L238)</f>
        <v>1291.702783</v>
      </c>
      <c r="O238" s="51"/>
      <c r="P238" s="51">
        <f>Q237*('AP04'!$R238-1)</f>
        <v>0</v>
      </c>
      <c r="Q238" s="51">
        <f>(Q237*'AP04'!$R238)-'AP04'!$G238</f>
        <v>92876.96864</v>
      </c>
      <c r="R238" s="53">
        <f t="shared" si="149"/>
        <v>1</v>
      </c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56">
        <f t="shared" si="2"/>
        <v>225</v>
      </c>
      <c r="B239" s="50">
        <f t="shared" si="5"/>
        <v>50092</v>
      </c>
      <c r="C239" s="116">
        <f t="shared" si="126"/>
        <v>0.0775</v>
      </c>
      <c r="D239" s="116">
        <f>((1+'AP04'!$C239)^(1/12))-1</f>
        <v>0.006239681461</v>
      </c>
      <c r="E239" s="51">
        <f t="shared" si="127"/>
        <v>2089.154398</v>
      </c>
      <c r="F239" s="51">
        <f>(Q238*'AP04'!$R239)*'AP04'!$D239</f>
        <v>579.5226994</v>
      </c>
      <c r="G239" s="51">
        <f>(Q238*'AP04'!$R239)/($I$5-A238)</f>
        <v>682.918887</v>
      </c>
      <c r="H239" s="52">
        <f t="shared" ref="H239:L239" si="288">H238</f>
        <v>0</v>
      </c>
      <c r="I239" s="52">
        <f t="shared" si="288"/>
        <v>0</v>
      </c>
      <c r="J239" s="51">
        <f t="shared" si="288"/>
        <v>25</v>
      </c>
      <c r="K239" s="52">
        <f t="shared" si="288"/>
        <v>0</v>
      </c>
      <c r="L239" s="52">
        <f t="shared" si="288"/>
        <v>0</v>
      </c>
      <c r="M239" s="52"/>
      <c r="N239" s="85">
        <f>SUM('AP04'!$F239:$L239)</f>
        <v>1287.441586</v>
      </c>
      <c r="O239" s="51"/>
      <c r="P239" s="51">
        <f>Q238*('AP04'!$R239-1)</f>
        <v>0</v>
      </c>
      <c r="Q239" s="51">
        <f>(Q238*'AP04'!$R239)-'AP04'!$G239</f>
        <v>92194.04975</v>
      </c>
      <c r="R239" s="53">
        <f t="shared" si="149"/>
        <v>1</v>
      </c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56">
        <f t="shared" si="2"/>
        <v>226</v>
      </c>
      <c r="B240" s="50">
        <f t="shared" si="5"/>
        <v>50120</v>
      </c>
      <c r="C240" s="116">
        <f t="shared" si="126"/>
        <v>0.0775</v>
      </c>
      <c r="D240" s="116">
        <f>((1+'AP04'!$C240)^(1/12))-1</f>
        <v>0.006239681461</v>
      </c>
      <c r="E240" s="51">
        <f t="shared" si="127"/>
        <v>2089.154398</v>
      </c>
      <c r="F240" s="51">
        <f>(Q239*'AP04'!$R240)*'AP04'!$D240</f>
        <v>575.2615031</v>
      </c>
      <c r="G240" s="51">
        <f>(Q239*'AP04'!$R240)/($I$5-A239)</f>
        <v>682.918887</v>
      </c>
      <c r="H240" s="52">
        <f t="shared" ref="H240:L240" si="289">H239</f>
        <v>0</v>
      </c>
      <c r="I240" s="52">
        <f t="shared" si="289"/>
        <v>0</v>
      </c>
      <c r="J240" s="51">
        <f t="shared" si="289"/>
        <v>25</v>
      </c>
      <c r="K240" s="52">
        <f t="shared" si="289"/>
        <v>0</v>
      </c>
      <c r="L240" s="52">
        <f t="shared" si="289"/>
        <v>0</v>
      </c>
      <c r="M240" s="52"/>
      <c r="N240" s="85">
        <f>SUM('AP04'!$F240:$L240)</f>
        <v>1283.18039</v>
      </c>
      <c r="O240" s="51"/>
      <c r="P240" s="51">
        <f>Q239*('AP04'!$R240-1)</f>
        <v>0</v>
      </c>
      <c r="Q240" s="51">
        <f>(Q239*'AP04'!$R240)-'AP04'!$G240</f>
        <v>91511.13086</v>
      </c>
      <c r="R240" s="53">
        <f t="shared" si="149"/>
        <v>1</v>
      </c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56">
        <f t="shared" si="2"/>
        <v>227</v>
      </c>
      <c r="B241" s="50">
        <f t="shared" si="5"/>
        <v>50151</v>
      </c>
      <c r="C241" s="116">
        <f t="shared" si="126"/>
        <v>0.0775</v>
      </c>
      <c r="D241" s="116">
        <f>((1+'AP04'!$C241)^(1/12))-1</f>
        <v>0.006239681461</v>
      </c>
      <c r="E241" s="51">
        <f t="shared" si="127"/>
        <v>2089.154398</v>
      </c>
      <c r="F241" s="51">
        <f>(Q240*'AP04'!$R241)*'AP04'!$D241</f>
        <v>571.0003068</v>
      </c>
      <c r="G241" s="51">
        <f>(Q240*'AP04'!$R241)/($I$5-A240)</f>
        <v>682.918887</v>
      </c>
      <c r="H241" s="52">
        <f t="shared" ref="H241:L241" si="290">H240</f>
        <v>0</v>
      </c>
      <c r="I241" s="52">
        <f t="shared" si="290"/>
        <v>0</v>
      </c>
      <c r="J241" s="51">
        <f t="shared" si="290"/>
        <v>25</v>
      </c>
      <c r="K241" s="52">
        <f t="shared" si="290"/>
        <v>0</v>
      </c>
      <c r="L241" s="52">
        <f t="shared" si="290"/>
        <v>0</v>
      </c>
      <c r="M241" s="52"/>
      <c r="N241" s="85">
        <f>SUM('AP04'!$F241:$L241)</f>
        <v>1278.919194</v>
      </c>
      <c r="O241" s="51"/>
      <c r="P241" s="51">
        <f>Q240*('AP04'!$R241-1)</f>
        <v>0</v>
      </c>
      <c r="Q241" s="51">
        <f>(Q240*'AP04'!$R241)-'AP04'!$G241</f>
        <v>90828.21198</v>
      </c>
      <c r="R241" s="53">
        <f t="shared" si="149"/>
        <v>1</v>
      </c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56">
        <f t="shared" si="2"/>
        <v>228</v>
      </c>
      <c r="B242" s="50">
        <f t="shared" si="5"/>
        <v>50181</v>
      </c>
      <c r="C242" s="116">
        <f t="shared" si="126"/>
        <v>0.0775</v>
      </c>
      <c r="D242" s="116">
        <f>((1+'AP04'!$C242)^(1/12))-1</f>
        <v>0.006239681461</v>
      </c>
      <c r="E242" s="51">
        <f t="shared" si="127"/>
        <v>2089.154398</v>
      </c>
      <c r="F242" s="51">
        <f>(Q241*'AP04'!$R242)*'AP04'!$D242</f>
        <v>566.7391104</v>
      </c>
      <c r="G242" s="51">
        <f>(Q241*'AP04'!$R242)/($I$5-A241)</f>
        <v>682.918887</v>
      </c>
      <c r="H242" s="52">
        <f t="shared" ref="H242:L242" si="291">H241</f>
        <v>0</v>
      </c>
      <c r="I242" s="52">
        <f t="shared" si="291"/>
        <v>0</v>
      </c>
      <c r="J242" s="51">
        <f t="shared" si="291"/>
        <v>25</v>
      </c>
      <c r="K242" s="52">
        <f t="shared" si="291"/>
        <v>0</v>
      </c>
      <c r="L242" s="52">
        <f t="shared" si="291"/>
        <v>0</v>
      </c>
      <c r="M242" s="52"/>
      <c r="N242" s="85">
        <f>SUM('AP04'!$F242:$L242)</f>
        <v>1274.657997</v>
      </c>
      <c r="O242" s="51"/>
      <c r="P242" s="51">
        <f>Q241*('AP04'!$R242-1)</f>
        <v>0</v>
      </c>
      <c r="Q242" s="51">
        <f>(Q241*'AP04'!$R242)-'AP04'!$G242</f>
        <v>90145.29309</v>
      </c>
      <c r="R242" s="53">
        <f t="shared" si="149"/>
        <v>1</v>
      </c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56">
        <f t="shared" si="2"/>
        <v>229</v>
      </c>
      <c r="B243" s="50">
        <f t="shared" si="5"/>
        <v>50212</v>
      </c>
      <c r="C243" s="116">
        <f t="shared" si="126"/>
        <v>0.0775</v>
      </c>
      <c r="D243" s="116">
        <f>((1+'AP04'!$C243)^(1/12))-1</f>
        <v>0.006239681461</v>
      </c>
      <c r="E243" s="51">
        <f t="shared" si="127"/>
        <v>2089.154398</v>
      </c>
      <c r="F243" s="51">
        <f>(Q242*'AP04'!$R243)*'AP04'!$D243</f>
        <v>562.4779141</v>
      </c>
      <c r="G243" s="51">
        <f>(Q242*'AP04'!$R243)/($I$5-A242)</f>
        <v>682.918887</v>
      </c>
      <c r="H243" s="52">
        <f t="shared" ref="H243:L243" si="292">H242</f>
        <v>0</v>
      </c>
      <c r="I243" s="52">
        <f t="shared" si="292"/>
        <v>0</v>
      </c>
      <c r="J243" s="51">
        <f t="shared" si="292"/>
        <v>25</v>
      </c>
      <c r="K243" s="52">
        <f t="shared" si="292"/>
        <v>0</v>
      </c>
      <c r="L243" s="52">
        <f t="shared" si="292"/>
        <v>0</v>
      </c>
      <c r="M243" s="52"/>
      <c r="N243" s="85">
        <f>SUM('AP04'!$F243:$L243)</f>
        <v>1270.396801</v>
      </c>
      <c r="O243" s="51"/>
      <c r="P243" s="51">
        <f>Q242*('AP04'!$R243-1)</f>
        <v>0</v>
      </c>
      <c r="Q243" s="51">
        <f>(Q242*'AP04'!$R243)-'AP04'!$G243</f>
        <v>89462.3742</v>
      </c>
      <c r="R243" s="53">
        <f t="shared" si="149"/>
        <v>1</v>
      </c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56">
        <f t="shared" si="2"/>
        <v>230</v>
      </c>
      <c r="B244" s="50">
        <f t="shared" si="5"/>
        <v>50242</v>
      </c>
      <c r="C244" s="116">
        <f t="shared" si="126"/>
        <v>0.0775</v>
      </c>
      <c r="D244" s="116">
        <f>((1+'AP04'!$C244)^(1/12))-1</f>
        <v>0.006239681461</v>
      </c>
      <c r="E244" s="51">
        <f t="shared" si="127"/>
        <v>2089.154398</v>
      </c>
      <c r="F244" s="51">
        <f>(Q243*'AP04'!$R244)*'AP04'!$D244</f>
        <v>558.2167178</v>
      </c>
      <c r="G244" s="51">
        <f>(Q243*'AP04'!$R244)/($I$5-A243)</f>
        <v>682.918887</v>
      </c>
      <c r="H244" s="52">
        <f t="shared" ref="H244:L244" si="293">H243</f>
        <v>0</v>
      </c>
      <c r="I244" s="52">
        <f t="shared" si="293"/>
        <v>0</v>
      </c>
      <c r="J244" s="51">
        <f t="shared" si="293"/>
        <v>25</v>
      </c>
      <c r="K244" s="52">
        <f t="shared" si="293"/>
        <v>0</v>
      </c>
      <c r="L244" s="52">
        <f t="shared" si="293"/>
        <v>0</v>
      </c>
      <c r="M244" s="52"/>
      <c r="N244" s="85">
        <f>SUM('AP04'!$F244:$L244)</f>
        <v>1266.135605</v>
      </c>
      <c r="O244" s="51"/>
      <c r="P244" s="51">
        <f>Q243*('AP04'!$R244-1)</f>
        <v>0</v>
      </c>
      <c r="Q244" s="51">
        <f>(Q243*'AP04'!$R244)-'AP04'!$G244</f>
        <v>88779.45532</v>
      </c>
      <c r="R244" s="53">
        <f t="shared" si="149"/>
        <v>1</v>
      </c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56">
        <f t="shared" si="2"/>
        <v>231</v>
      </c>
      <c r="B245" s="50">
        <f t="shared" si="5"/>
        <v>50273</v>
      </c>
      <c r="C245" s="116">
        <f t="shared" si="126"/>
        <v>0.0775</v>
      </c>
      <c r="D245" s="116">
        <f>((1+'AP04'!$C245)^(1/12))-1</f>
        <v>0.006239681461</v>
      </c>
      <c r="E245" s="51">
        <f t="shared" si="127"/>
        <v>2089.154398</v>
      </c>
      <c r="F245" s="51">
        <f>(Q244*'AP04'!$R245)*'AP04'!$D245</f>
        <v>553.9555215</v>
      </c>
      <c r="G245" s="51">
        <f>(Q244*'AP04'!$R245)/($I$5-A244)</f>
        <v>682.918887</v>
      </c>
      <c r="H245" s="52">
        <f t="shared" ref="H245:L245" si="294">H244</f>
        <v>0</v>
      </c>
      <c r="I245" s="52">
        <f t="shared" si="294"/>
        <v>0</v>
      </c>
      <c r="J245" s="51">
        <f t="shared" si="294"/>
        <v>25</v>
      </c>
      <c r="K245" s="52">
        <f t="shared" si="294"/>
        <v>0</v>
      </c>
      <c r="L245" s="52">
        <f t="shared" si="294"/>
        <v>0</v>
      </c>
      <c r="M245" s="52"/>
      <c r="N245" s="85">
        <f>SUM('AP04'!$F245:$L245)</f>
        <v>1261.874409</v>
      </c>
      <c r="O245" s="51"/>
      <c r="P245" s="51">
        <f>Q244*('AP04'!$R245-1)</f>
        <v>0</v>
      </c>
      <c r="Q245" s="51">
        <f>(Q244*'AP04'!$R245)-'AP04'!$G245</f>
        <v>88096.53643</v>
      </c>
      <c r="R245" s="53">
        <f t="shared" si="149"/>
        <v>1</v>
      </c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56">
        <f t="shared" si="2"/>
        <v>232</v>
      </c>
      <c r="B246" s="50">
        <f t="shared" si="5"/>
        <v>50304</v>
      </c>
      <c r="C246" s="116">
        <f t="shared" si="126"/>
        <v>0.0775</v>
      </c>
      <c r="D246" s="116">
        <f>((1+'AP04'!$C246)^(1/12))-1</f>
        <v>0.006239681461</v>
      </c>
      <c r="E246" s="51">
        <f t="shared" si="127"/>
        <v>2089.154398</v>
      </c>
      <c r="F246" s="51">
        <f>(Q245*'AP04'!$R246)*'AP04'!$D246</f>
        <v>549.6943252</v>
      </c>
      <c r="G246" s="51">
        <f>(Q245*'AP04'!$R246)/($I$5-A245)</f>
        <v>682.918887</v>
      </c>
      <c r="H246" s="52">
        <f t="shared" ref="H246:L246" si="295">H245</f>
        <v>0</v>
      </c>
      <c r="I246" s="52">
        <f t="shared" si="295"/>
        <v>0</v>
      </c>
      <c r="J246" s="51">
        <f t="shared" si="295"/>
        <v>25</v>
      </c>
      <c r="K246" s="52">
        <f t="shared" si="295"/>
        <v>0</v>
      </c>
      <c r="L246" s="52">
        <f t="shared" si="295"/>
        <v>0</v>
      </c>
      <c r="M246" s="52"/>
      <c r="N246" s="85">
        <f>SUM('AP04'!$F246:$L246)</f>
        <v>1257.613212</v>
      </c>
      <c r="O246" s="51"/>
      <c r="P246" s="51">
        <f>Q245*('AP04'!$R246-1)</f>
        <v>0</v>
      </c>
      <c r="Q246" s="51">
        <f>(Q245*'AP04'!$R246)-'AP04'!$G246</f>
        <v>87413.61754</v>
      </c>
      <c r="R246" s="53">
        <f t="shared" si="149"/>
        <v>1</v>
      </c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56">
        <f t="shared" si="2"/>
        <v>233</v>
      </c>
      <c r="B247" s="50">
        <f t="shared" si="5"/>
        <v>50334</v>
      </c>
      <c r="C247" s="116">
        <f t="shared" si="126"/>
        <v>0.0775</v>
      </c>
      <c r="D247" s="116">
        <f>((1+'AP04'!$C247)^(1/12))-1</f>
        <v>0.006239681461</v>
      </c>
      <c r="E247" s="51">
        <f t="shared" si="127"/>
        <v>2089.154398</v>
      </c>
      <c r="F247" s="51">
        <f>(Q246*'AP04'!$R247)*'AP04'!$D247</f>
        <v>545.4331288</v>
      </c>
      <c r="G247" s="51">
        <f>(Q246*'AP04'!$R247)/($I$5-A246)</f>
        <v>682.918887</v>
      </c>
      <c r="H247" s="52">
        <f t="shared" ref="H247:L247" si="296">H246</f>
        <v>0</v>
      </c>
      <c r="I247" s="52">
        <f t="shared" si="296"/>
        <v>0</v>
      </c>
      <c r="J247" s="51">
        <f t="shared" si="296"/>
        <v>25</v>
      </c>
      <c r="K247" s="52">
        <f t="shared" si="296"/>
        <v>0</v>
      </c>
      <c r="L247" s="52">
        <f t="shared" si="296"/>
        <v>0</v>
      </c>
      <c r="M247" s="52"/>
      <c r="N247" s="85">
        <f>SUM('AP04'!$F247:$L247)</f>
        <v>1253.352016</v>
      </c>
      <c r="O247" s="51"/>
      <c r="P247" s="51">
        <f>Q246*('AP04'!$R247-1)</f>
        <v>0</v>
      </c>
      <c r="Q247" s="51">
        <f>(Q246*'AP04'!$R247)-'AP04'!$G247</f>
        <v>86730.69865</v>
      </c>
      <c r="R247" s="53">
        <f t="shared" si="149"/>
        <v>1</v>
      </c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56">
        <f t="shared" si="2"/>
        <v>234</v>
      </c>
      <c r="B248" s="50">
        <f t="shared" si="5"/>
        <v>50365</v>
      </c>
      <c r="C248" s="116">
        <f t="shared" si="126"/>
        <v>0.0775</v>
      </c>
      <c r="D248" s="116">
        <f>((1+'AP04'!$C248)^(1/12))-1</f>
        <v>0.006239681461</v>
      </c>
      <c r="E248" s="51">
        <f t="shared" si="127"/>
        <v>2089.154398</v>
      </c>
      <c r="F248" s="51">
        <f>(Q247*'AP04'!$R248)*'AP04'!$D248</f>
        <v>541.1719325</v>
      </c>
      <c r="G248" s="51">
        <f>(Q247*'AP04'!$R248)/($I$5-A247)</f>
        <v>682.918887</v>
      </c>
      <c r="H248" s="52">
        <f t="shared" ref="H248:L248" si="297">H247</f>
        <v>0</v>
      </c>
      <c r="I248" s="52">
        <f t="shared" si="297"/>
        <v>0</v>
      </c>
      <c r="J248" s="51">
        <f t="shared" si="297"/>
        <v>25</v>
      </c>
      <c r="K248" s="52">
        <f t="shared" si="297"/>
        <v>0</v>
      </c>
      <c r="L248" s="52">
        <f t="shared" si="297"/>
        <v>0</v>
      </c>
      <c r="M248" s="52"/>
      <c r="N248" s="85">
        <f>SUM('AP04'!$F248:$L248)</f>
        <v>1249.09082</v>
      </c>
      <c r="O248" s="51"/>
      <c r="P248" s="51">
        <f>Q247*('AP04'!$R248-1)</f>
        <v>0</v>
      </c>
      <c r="Q248" s="51">
        <f>(Q247*'AP04'!$R248)-'AP04'!$G248</f>
        <v>86047.77977</v>
      </c>
      <c r="R248" s="53">
        <f t="shared" si="149"/>
        <v>1</v>
      </c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56">
        <f t="shared" si="2"/>
        <v>235</v>
      </c>
      <c r="B249" s="50">
        <f t="shared" si="5"/>
        <v>50395</v>
      </c>
      <c r="C249" s="116">
        <f t="shared" si="126"/>
        <v>0.0775</v>
      </c>
      <c r="D249" s="116">
        <f>((1+'AP04'!$C249)^(1/12))-1</f>
        <v>0.006239681461</v>
      </c>
      <c r="E249" s="51">
        <f t="shared" si="127"/>
        <v>2089.154398</v>
      </c>
      <c r="F249" s="51">
        <f>(Q248*'AP04'!$R249)*'AP04'!$D249</f>
        <v>536.9107362</v>
      </c>
      <c r="G249" s="51">
        <f>(Q248*'AP04'!$R249)/($I$5-A248)</f>
        <v>682.918887</v>
      </c>
      <c r="H249" s="52">
        <f t="shared" ref="H249:L249" si="298">H248</f>
        <v>0</v>
      </c>
      <c r="I249" s="52">
        <f t="shared" si="298"/>
        <v>0</v>
      </c>
      <c r="J249" s="51">
        <f t="shared" si="298"/>
        <v>25</v>
      </c>
      <c r="K249" s="52">
        <f t="shared" si="298"/>
        <v>0</v>
      </c>
      <c r="L249" s="52">
        <f t="shared" si="298"/>
        <v>0</v>
      </c>
      <c r="M249" s="52"/>
      <c r="N249" s="85">
        <f>SUM('AP04'!$F249:$L249)</f>
        <v>1244.829623</v>
      </c>
      <c r="O249" s="51"/>
      <c r="P249" s="51">
        <f>Q248*('AP04'!$R249-1)</f>
        <v>0</v>
      </c>
      <c r="Q249" s="51">
        <f>(Q248*'AP04'!$R249)-'AP04'!$G249</f>
        <v>85364.86088</v>
      </c>
      <c r="R249" s="53">
        <f t="shared" si="149"/>
        <v>1</v>
      </c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56">
        <f t="shared" si="2"/>
        <v>236</v>
      </c>
      <c r="B250" s="50">
        <f t="shared" si="5"/>
        <v>50426</v>
      </c>
      <c r="C250" s="116">
        <f t="shared" si="126"/>
        <v>0.0775</v>
      </c>
      <c r="D250" s="116">
        <f>((1+'AP04'!$C250)^(1/12))-1</f>
        <v>0.006239681461</v>
      </c>
      <c r="E250" s="51">
        <f t="shared" si="127"/>
        <v>2089.154398</v>
      </c>
      <c r="F250" s="51">
        <f>(Q249*'AP04'!$R250)*'AP04'!$D250</f>
        <v>532.6495399</v>
      </c>
      <c r="G250" s="51">
        <f>(Q249*'AP04'!$R250)/($I$5-A249)</f>
        <v>682.918887</v>
      </c>
      <c r="H250" s="52">
        <f t="shared" ref="H250:L250" si="299">H249</f>
        <v>0</v>
      </c>
      <c r="I250" s="52">
        <f t="shared" si="299"/>
        <v>0</v>
      </c>
      <c r="J250" s="51">
        <f t="shared" si="299"/>
        <v>25</v>
      </c>
      <c r="K250" s="52">
        <f t="shared" si="299"/>
        <v>0</v>
      </c>
      <c r="L250" s="52">
        <f t="shared" si="299"/>
        <v>0</v>
      </c>
      <c r="M250" s="52"/>
      <c r="N250" s="85">
        <f>SUM('AP04'!$F250:$L250)</f>
        <v>1240.568427</v>
      </c>
      <c r="O250" s="51"/>
      <c r="P250" s="51">
        <f>Q249*('AP04'!$R250-1)</f>
        <v>0</v>
      </c>
      <c r="Q250" s="51">
        <f>(Q249*'AP04'!$R250)-'AP04'!$G250</f>
        <v>84681.94199</v>
      </c>
      <c r="R250" s="53">
        <f t="shared" si="149"/>
        <v>1</v>
      </c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56">
        <f t="shared" si="2"/>
        <v>237</v>
      </c>
      <c r="B251" s="50">
        <f t="shared" si="5"/>
        <v>50457</v>
      </c>
      <c r="C251" s="116">
        <f t="shared" si="126"/>
        <v>0.0775</v>
      </c>
      <c r="D251" s="116">
        <f>((1+'AP04'!$C251)^(1/12))-1</f>
        <v>0.006239681461</v>
      </c>
      <c r="E251" s="51">
        <f t="shared" si="127"/>
        <v>2089.154398</v>
      </c>
      <c r="F251" s="51">
        <f>(Q250*'AP04'!$R251)*'AP04'!$D251</f>
        <v>528.3883436</v>
      </c>
      <c r="G251" s="51">
        <f>(Q250*'AP04'!$R251)/($I$5-A250)</f>
        <v>682.918887</v>
      </c>
      <c r="H251" s="52">
        <f t="shared" ref="H251:L251" si="300">H250</f>
        <v>0</v>
      </c>
      <c r="I251" s="52">
        <f t="shared" si="300"/>
        <v>0</v>
      </c>
      <c r="J251" s="51">
        <f t="shared" si="300"/>
        <v>25</v>
      </c>
      <c r="K251" s="52">
        <f t="shared" si="300"/>
        <v>0</v>
      </c>
      <c r="L251" s="52">
        <f t="shared" si="300"/>
        <v>0</v>
      </c>
      <c r="M251" s="52"/>
      <c r="N251" s="85">
        <f>SUM('AP04'!$F251:$L251)</f>
        <v>1236.307231</v>
      </c>
      <c r="O251" s="51"/>
      <c r="P251" s="51">
        <f>Q250*('AP04'!$R251-1)</f>
        <v>0</v>
      </c>
      <c r="Q251" s="51">
        <f>(Q250*'AP04'!$R251)-'AP04'!$G251</f>
        <v>83999.02311</v>
      </c>
      <c r="R251" s="53">
        <f t="shared" si="149"/>
        <v>1</v>
      </c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56">
        <f t="shared" si="2"/>
        <v>238</v>
      </c>
      <c r="B252" s="50">
        <f t="shared" si="5"/>
        <v>50485</v>
      </c>
      <c r="C252" s="116">
        <f t="shared" si="126"/>
        <v>0.0775</v>
      </c>
      <c r="D252" s="116">
        <f>((1+'AP04'!$C252)^(1/12))-1</f>
        <v>0.006239681461</v>
      </c>
      <c r="E252" s="51">
        <f t="shared" si="127"/>
        <v>2089.154398</v>
      </c>
      <c r="F252" s="51">
        <f>(Q251*'AP04'!$R252)*'AP04'!$D252</f>
        <v>524.1271472</v>
      </c>
      <c r="G252" s="51">
        <f>(Q251*'AP04'!$R252)/($I$5-A251)</f>
        <v>682.918887</v>
      </c>
      <c r="H252" s="52">
        <f t="shared" ref="H252:L252" si="301">H251</f>
        <v>0</v>
      </c>
      <c r="I252" s="52">
        <f t="shared" si="301"/>
        <v>0</v>
      </c>
      <c r="J252" s="51">
        <f t="shared" si="301"/>
        <v>25</v>
      </c>
      <c r="K252" s="52">
        <f t="shared" si="301"/>
        <v>0</v>
      </c>
      <c r="L252" s="52">
        <f t="shared" si="301"/>
        <v>0</v>
      </c>
      <c r="M252" s="52"/>
      <c r="N252" s="85">
        <f>SUM('AP04'!$F252:$L252)</f>
        <v>1232.046034</v>
      </c>
      <c r="O252" s="51"/>
      <c r="P252" s="51">
        <f>Q251*('AP04'!$R252-1)</f>
        <v>0</v>
      </c>
      <c r="Q252" s="51">
        <f>(Q251*'AP04'!$R252)-'AP04'!$G252</f>
        <v>83316.10422</v>
      </c>
      <c r="R252" s="53">
        <f t="shared" si="149"/>
        <v>1</v>
      </c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56">
        <f t="shared" si="2"/>
        <v>239</v>
      </c>
      <c r="B253" s="50">
        <f t="shared" si="5"/>
        <v>50516</v>
      </c>
      <c r="C253" s="116">
        <f t="shared" si="126"/>
        <v>0.0775</v>
      </c>
      <c r="D253" s="116">
        <f>((1+'AP04'!$C253)^(1/12))-1</f>
        <v>0.006239681461</v>
      </c>
      <c r="E253" s="51">
        <f t="shared" si="127"/>
        <v>2089.154398</v>
      </c>
      <c r="F253" s="51">
        <f>(Q252*'AP04'!$R253)*'AP04'!$D253</f>
        <v>519.8659509</v>
      </c>
      <c r="G253" s="51">
        <f>(Q252*'AP04'!$R253)/($I$5-A252)</f>
        <v>682.918887</v>
      </c>
      <c r="H253" s="52">
        <f t="shared" ref="H253:L253" si="302">H252</f>
        <v>0</v>
      </c>
      <c r="I253" s="52">
        <f t="shared" si="302"/>
        <v>0</v>
      </c>
      <c r="J253" s="51">
        <f t="shared" si="302"/>
        <v>25</v>
      </c>
      <c r="K253" s="52">
        <f t="shared" si="302"/>
        <v>0</v>
      </c>
      <c r="L253" s="52">
        <f t="shared" si="302"/>
        <v>0</v>
      </c>
      <c r="M253" s="52"/>
      <c r="N253" s="85">
        <f>SUM('AP04'!$F253:$L253)</f>
        <v>1227.784838</v>
      </c>
      <c r="O253" s="51"/>
      <c r="P253" s="51">
        <f>Q252*('AP04'!$R253-1)</f>
        <v>0</v>
      </c>
      <c r="Q253" s="51">
        <f>(Q252*'AP04'!$R253)-'AP04'!$G253</f>
        <v>82633.18533</v>
      </c>
      <c r="R253" s="53">
        <f t="shared" si="149"/>
        <v>1</v>
      </c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56">
        <f t="shared" si="2"/>
        <v>240</v>
      </c>
      <c r="B254" s="50">
        <f t="shared" si="5"/>
        <v>50546</v>
      </c>
      <c r="C254" s="116">
        <f t="shared" si="126"/>
        <v>0.0775</v>
      </c>
      <c r="D254" s="116">
        <f>((1+'AP04'!$C254)^(1/12))-1</f>
        <v>0.006239681461</v>
      </c>
      <c r="E254" s="51">
        <f t="shared" si="127"/>
        <v>2089.154398</v>
      </c>
      <c r="F254" s="51">
        <f>(Q253*'AP04'!$R254)*'AP04'!$D254</f>
        <v>515.6047546</v>
      </c>
      <c r="G254" s="51">
        <f>(Q253*'AP04'!$R254)/($I$5-A253)</f>
        <v>682.918887</v>
      </c>
      <c r="H254" s="52">
        <f t="shared" ref="H254:L254" si="303">H253</f>
        <v>0</v>
      </c>
      <c r="I254" s="52">
        <f t="shared" si="303"/>
        <v>0</v>
      </c>
      <c r="J254" s="51">
        <f t="shared" si="303"/>
        <v>25</v>
      </c>
      <c r="K254" s="52">
        <f t="shared" si="303"/>
        <v>0</v>
      </c>
      <c r="L254" s="52">
        <f t="shared" si="303"/>
        <v>0</v>
      </c>
      <c r="M254" s="52"/>
      <c r="N254" s="85">
        <f>SUM('AP04'!$F254:$L254)</f>
        <v>1223.523642</v>
      </c>
      <c r="O254" s="51"/>
      <c r="P254" s="51">
        <f>Q253*('AP04'!$R254-1)</f>
        <v>0</v>
      </c>
      <c r="Q254" s="51">
        <f>(Q253*'AP04'!$R254)-'AP04'!$G254</f>
        <v>81950.26645</v>
      </c>
      <c r="R254" s="53">
        <f t="shared" si="149"/>
        <v>1</v>
      </c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56">
        <f t="shared" si="2"/>
        <v>241</v>
      </c>
      <c r="B255" s="50">
        <f t="shared" si="5"/>
        <v>50577</v>
      </c>
      <c r="C255" s="116">
        <f t="shared" si="126"/>
        <v>0.0775</v>
      </c>
      <c r="D255" s="116">
        <f>((1+'AP04'!$C255)^(1/12))-1</f>
        <v>0.006239681461</v>
      </c>
      <c r="E255" s="51">
        <f t="shared" si="127"/>
        <v>2089.154398</v>
      </c>
      <c r="F255" s="51">
        <f>(Q254*'AP04'!$R255)*'AP04'!$D255</f>
        <v>511.3435583</v>
      </c>
      <c r="G255" s="51">
        <f>(Q254*'AP04'!$R255)/($I$5-A254)</f>
        <v>682.918887</v>
      </c>
      <c r="H255" s="52">
        <f t="shared" ref="H255:L255" si="304">H254</f>
        <v>0</v>
      </c>
      <c r="I255" s="52">
        <f t="shared" si="304"/>
        <v>0</v>
      </c>
      <c r="J255" s="51">
        <f t="shared" si="304"/>
        <v>25</v>
      </c>
      <c r="K255" s="52">
        <f t="shared" si="304"/>
        <v>0</v>
      </c>
      <c r="L255" s="52">
        <f t="shared" si="304"/>
        <v>0</v>
      </c>
      <c r="M255" s="52"/>
      <c r="N255" s="85">
        <f>SUM('AP04'!$F255:$L255)</f>
        <v>1219.262445</v>
      </c>
      <c r="O255" s="51"/>
      <c r="P255" s="51">
        <f>Q254*('AP04'!$R255-1)</f>
        <v>0</v>
      </c>
      <c r="Q255" s="51">
        <f>(Q254*'AP04'!$R255)-'AP04'!$G255</f>
        <v>81267.34756</v>
      </c>
      <c r="R255" s="53">
        <f t="shared" si="149"/>
        <v>1</v>
      </c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56">
        <f t="shared" si="2"/>
        <v>242</v>
      </c>
      <c r="B256" s="50">
        <f t="shared" si="5"/>
        <v>50607</v>
      </c>
      <c r="C256" s="116">
        <f t="shared" si="126"/>
        <v>0.0775</v>
      </c>
      <c r="D256" s="116">
        <f>((1+'AP04'!$C256)^(1/12))-1</f>
        <v>0.006239681461</v>
      </c>
      <c r="E256" s="51">
        <f t="shared" si="127"/>
        <v>2089.154398</v>
      </c>
      <c r="F256" s="51">
        <f>(Q255*'AP04'!$R256)*'AP04'!$D256</f>
        <v>507.082362</v>
      </c>
      <c r="G256" s="51">
        <f>(Q255*'AP04'!$R256)/($I$5-A255)</f>
        <v>682.918887</v>
      </c>
      <c r="H256" s="52">
        <f t="shared" ref="H256:L256" si="305">H255</f>
        <v>0</v>
      </c>
      <c r="I256" s="52">
        <f t="shared" si="305"/>
        <v>0</v>
      </c>
      <c r="J256" s="51">
        <f t="shared" si="305"/>
        <v>25</v>
      </c>
      <c r="K256" s="52">
        <f t="shared" si="305"/>
        <v>0</v>
      </c>
      <c r="L256" s="52">
        <f t="shared" si="305"/>
        <v>0</v>
      </c>
      <c r="M256" s="52"/>
      <c r="N256" s="85">
        <f>SUM('AP04'!$F256:$L256)</f>
        <v>1215.001249</v>
      </c>
      <c r="O256" s="51"/>
      <c r="P256" s="51">
        <f>Q255*('AP04'!$R256-1)</f>
        <v>0</v>
      </c>
      <c r="Q256" s="51">
        <f>(Q255*'AP04'!$R256)-'AP04'!$G256</f>
        <v>80584.42867</v>
      </c>
      <c r="R256" s="53">
        <f t="shared" si="149"/>
        <v>1</v>
      </c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56">
        <f t="shared" si="2"/>
        <v>243</v>
      </c>
      <c r="B257" s="50">
        <f t="shared" si="5"/>
        <v>50638</v>
      </c>
      <c r="C257" s="116">
        <f t="shared" si="126"/>
        <v>0.0775</v>
      </c>
      <c r="D257" s="116">
        <f>((1+'AP04'!$C257)^(1/12))-1</f>
        <v>0.006239681461</v>
      </c>
      <c r="E257" s="51">
        <f t="shared" si="127"/>
        <v>2089.154398</v>
      </c>
      <c r="F257" s="51">
        <f>(Q256*'AP04'!$R257)*'AP04'!$D257</f>
        <v>502.8211656</v>
      </c>
      <c r="G257" s="51">
        <f>(Q256*'AP04'!$R257)/($I$5-A256)</f>
        <v>682.918887</v>
      </c>
      <c r="H257" s="52">
        <f t="shared" ref="H257:L257" si="306">H256</f>
        <v>0</v>
      </c>
      <c r="I257" s="52">
        <f t="shared" si="306"/>
        <v>0</v>
      </c>
      <c r="J257" s="51">
        <f t="shared" si="306"/>
        <v>25</v>
      </c>
      <c r="K257" s="52">
        <f t="shared" si="306"/>
        <v>0</v>
      </c>
      <c r="L257" s="52">
        <f t="shared" si="306"/>
        <v>0</v>
      </c>
      <c r="M257" s="52"/>
      <c r="N257" s="85">
        <f>SUM('AP04'!$F257:$L257)</f>
        <v>1210.740053</v>
      </c>
      <c r="O257" s="51"/>
      <c r="P257" s="51">
        <f>Q256*('AP04'!$R257-1)</f>
        <v>0</v>
      </c>
      <c r="Q257" s="51">
        <f>(Q256*'AP04'!$R257)-'AP04'!$G257</f>
        <v>79901.50978</v>
      </c>
      <c r="R257" s="53">
        <f t="shared" si="149"/>
        <v>1</v>
      </c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56">
        <f t="shared" si="2"/>
        <v>244</v>
      </c>
      <c r="B258" s="50">
        <f t="shared" si="5"/>
        <v>50669</v>
      </c>
      <c r="C258" s="116">
        <f t="shared" si="126"/>
        <v>0.0775</v>
      </c>
      <c r="D258" s="116">
        <f>((1+'AP04'!$C258)^(1/12))-1</f>
        <v>0.006239681461</v>
      </c>
      <c r="E258" s="51">
        <f t="shared" si="127"/>
        <v>2089.154398</v>
      </c>
      <c r="F258" s="51">
        <f>(Q257*'AP04'!$R258)*'AP04'!$D258</f>
        <v>498.5599693</v>
      </c>
      <c r="G258" s="51">
        <f>(Q257*'AP04'!$R258)/($I$5-A257)</f>
        <v>682.918887</v>
      </c>
      <c r="H258" s="52">
        <f t="shared" ref="H258:L258" si="307">H257</f>
        <v>0</v>
      </c>
      <c r="I258" s="52">
        <f t="shared" si="307"/>
        <v>0</v>
      </c>
      <c r="J258" s="51">
        <f t="shared" si="307"/>
        <v>25</v>
      </c>
      <c r="K258" s="52">
        <f t="shared" si="307"/>
        <v>0</v>
      </c>
      <c r="L258" s="52">
        <f t="shared" si="307"/>
        <v>0</v>
      </c>
      <c r="M258" s="52"/>
      <c r="N258" s="85">
        <f>SUM('AP04'!$F258:$L258)</f>
        <v>1206.478856</v>
      </c>
      <c r="O258" s="51"/>
      <c r="P258" s="51">
        <f>Q257*('AP04'!$R258-1)</f>
        <v>0</v>
      </c>
      <c r="Q258" s="51">
        <f>(Q257*'AP04'!$R258)-'AP04'!$G258</f>
        <v>79218.5909</v>
      </c>
      <c r="R258" s="53">
        <f t="shared" si="149"/>
        <v>1</v>
      </c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56">
        <f t="shared" si="2"/>
        <v>245</v>
      </c>
      <c r="B259" s="50">
        <f t="shared" si="5"/>
        <v>50699</v>
      </c>
      <c r="C259" s="116">
        <f t="shared" si="126"/>
        <v>0.0775</v>
      </c>
      <c r="D259" s="116">
        <f>((1+'AP04'!$C259)^(1/12))-1</f>
        <v>0.006239681461</v>
      </c>
      <c r="E259" s="51">
        <f t="shared" si="127"/>
        <v>2089.154398</v>
      </c>
      <c r="F259" s="51">
        <f>(Q258*'AP04'!$R259)*'AP04'!$D259</f>
        <v>494.298773</v>
      </c>
      <c r="G259" s="51">
        <f>(Q258*'AP04'!$R259)/($I$5-A258)</f>
        <v>682.918887</v>
      </c>
      <c r="H259" s="52">
        <f t="shared" ref="H259:L259" si="308">H258</f>
        <v>0</v>
      </c>
      <c r="I259" s="52">
        <f t="shared" si="308"/>
        <v>0</v>
      </c>
      <c r="J259" s="51">
        <f t="shared" si="308"/>
        <v>25</v>
      </c>
      <c r="K259" s="52">
        <f t="shared" si="308"/>
        <v>0</v>
      </c>
      <c r="L259" s="52">
        <f t="shared" si="308"/>
        <v>0</v>
      </c>
      <c r="M259" s="52"/>
      <c r="N259" s="85">
        <f>SUM('AP04'!$F259:$L259)</f>
        <v>1202.21766</v>
      </c>
      <c r="O259" s="51"/>
      <c r="P259" s="51">
        <f>Q258*('AP04'!$R259-1)</f>
        <v>0</v>
      </c>
      <c r="Q259" s="51">
        <f>(Q258*'AP04'!$R259)-'AP04'!$G259</f>
        <v>78535.67201</v>
      </c>
      <c r="R259" s="53">
        <f t="shared" si="149"/>
        <v>1</v>
      </c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56">
        <f t="shared" si="2"/>
        <v>246</v>
      </c>
      <c r="B260" s="50">
        <f t="shared" si="5"/>
        <v>50730</v>
      </c>
      <c r="C260" s="116">
        <f t="shared" si="126"/>
        <v>0.0775</v>
      </c>
      <c r="D260" s="116">
        <f>((1+'AP04'!$C260)^(1/12))-1</f>
        <v>0.006239681461</v>
      </c>
      <c r="E260" s="51">
        <f t="shared" si="127"/>
        <v>2089.154398</v>
      </c>
      <c r="F260" s="51">
        <f>(Q259*'AP04'!$R260)*'AP04'!$D260</f>
        <v>490.0375767</v>
      </c>
      <c r="G260" s="51">
        <f>(Q259*'AP04'!$R260)/($I$5-A259)</f>
        <v>682.918887</v>
      </c>
      <c r="H260" s="52">
        <f t="shared" ref="H260:L260" si="309">H259</f>
        <v>0</v>
      </c>
      <c r="I260" s="52">
        <f t="shared" si="309"/>
        <v>0</v>
      </c>
      <c r="J260" s="51">
        <f t="shared" si="309"/>
        <v>25</v>
      </c>
      <c r="K260" s="52">
        <f t="shared" si="309"/>
        <v>0</v>
      </c>
      <c r="L260" s="52">
        <f t="shared" si="309"/>
        <v>0</v>
      </c>
      <c r="M260" s="52"/>
      <c r="N260" s="85">
        <f>SUM('AP04'!$F260:$L260)</f>
        <v>1197.956464</v>
      </c>
      <c r="O260" s="51"/>
      <c r="P260" s="51">
        <f>Q259*('AP04'!$R260-1)</f>
        <v>0</v>
      </c>
      <c r="Q260" s="51">
        <f>(Q259*'AP04'!$R260)-'AP04'!$G260</f>
        <v>77852.75312</v>
      </c>
      <c r="R260" s="53">
        <f t="shared" si="149"/>
        <v>1</v>
      </c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56">
        <f t="shared" si="2"/>
        <v>247</v>
      </c>
      <c r="B261" s="50">
        <f t="shared" si="5"/>
        <v>50760</v>
      </c>
      <c r="C261" s="116">
        <f t="shared" si="126"/>
        <v>0.0775</v>
      </c>
      <c r="D261" s="116">
        <f>((1+'AP04'!$C261)^(1/12))-1</f>
        <v>0.006239681461</v>
      </c>
      <c r="E261" s="51">
        <f t="shared" si="127"/>
        <v>2089.154398</v>
      </c>
      <c r="F261" s="51">
        <f>(Q260*'AP04'!$R261)*'AP04'!$D261</f>
        <v>485.7763804</v>
      </c>
      <c r="G261" s="51">
        <f>(Q260*'AP04'!$R261)/($I$5-A260)</f>
        <v>682.918887</v>
      </c>
      <c r="H261" s="52">
        <f t="shared" ref="H261:L261" si="310">H260</f>
        <v>0</v>
      </c>
      <c r="I261" s="52">
        <f t="shared" si="310"/>
        <v>0</v>
      </c>
      <c r="J261" s="51">
        <f t="shared" si="310"/>
        <v>25</v>
      </c>
      <c r="K261" s="52">
        <f t="shared" si="310"/>
        <v>0</v>
      </c>
      <c r="L261" s="52">
        <f t="shared" si="310"/>
        <v>0</v>
      </c>
      <c r="M261" s="52"/>
      <c r="N261" s="85">
        <f>SUM('AP04'!$F261:$L261)</f>
        <v>1193.695267</v>
      </c>
      <c r="O261" s="51"/>
      <c r="P261" s="51">
        <f>Q260*('AP04'!$R261-1)</f>
        <v>0</v>
      </c>
      <c r="Q261" s="51">
        <f>(Q260*'AP04'!$R261)-'AP04'!$G261</f>
        <v>77169.83424</v>
      </c>
      <c r="R261" s="53">
        <f t="shared" si="149"/>
        <v>1</v>
      </c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56">
        <f t="shared" si="2"/>
        <v>248</v>
      </c>
      <c r="B262" s="50">
        <f t="shared" si="5"/>
        <v>50791</v>
      </c>
      <c r="C262" s="116">
        <f t="shared" si="126"/>
        <v>0.0775</v>
      </c>
      <c r="D262" s="116">
        <f>((1+'AP04'!$C262)^(1/12))-1</f>
        <v>0.006239681461</v>
      </c>
      <c r="E262" s="51">
        <f t="shared" si="127"/>
        <v>2089.154398</v>
      </c>
      <c r="F262" s="51">
        <f>(Q261*'AP04'!$R262)*'AP04'!$D262</f>
        <v>481.5151841</v>
      </c>
      <c r="G262" s="51">
        <f>(Q261*'AP04'!$R262)/($I$5-A261)</f>
        <v>682.918887</v>
      </c>
      <c r="H262" s="52">
        <f t="shared" ref="H262:L262" si="311">H261</f>
        <v>0</v>
      </c>
      <c r="I262" s="52">
        <f t="shared" si="311"/>
        <v>0</v>
      </c>
      <c r="J262" s="51">
        <f t="shared" si="311"/>
        <v>25</v>
      </c>
      <c r="K262" s="52">
        <f t="shared" si="311"/>
        <v>0</v>
      </c>
      <c r="L262" s="52">
        <f t="shared" si="311"/>
        <v>0</v>
      </c>
      <c r="M262" s="52"/>
      <c r="N262" s="85">
        <f>SUM('AP04'!$F262:$L262)</f>
        <v>1189.434071</v>
      </c>
      <c r="O262" s="51"/>
      <c r="P262" s="51">
        <f>Q261*('AP04'!$R262-1)</f>
        <v>0</v>
      </c>
      <c r="Q262" s="51">
        <f>(Q261*'AP04'!$R262)-'AP04'!$G262</f>
        <v>76486.91535</v>
      </c>
      <c r="R262" s="53">
        <f t="shared" si="149"/>
        <v>1</v>
      </c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56">
        <f t="shared" si="2"/>
        <v>249</v>
      </c>
      <c r="B263" s="50">
        <f t="shared" si="5"/>
        <v>50822</v>
      </c>
      <c r="C263" s="116">
        <f t="shared" si="126"/>
        <v>0.0775</v>
      </c>
      <c r="D263" s="116">
        <f>((1+'AP04'!$C263)^(1/12))-1</f>
        <v>0.006239681461</v>
      </c>
      <c r="E263" s="51">
        <f t="shared" si="127"/>
        <v>2089.154398</v>
      </c>
      <c r="F263" s="51">
        <f>(Q262*'AP04'!$R263)*'AP04'!$D263</f>
        <v>477.2539877</v>
      </c>
      <c r="G263" s="51">
        <f>(Q262*'AP04'!$R263)/($I$5-A262)</f>
        <v>682.918887</v>
      </c>
      <c r="H263" s="52">
        <f t="shared" ref="H263:L263" si="312">H262</f>
        <v>0</v>
      </c>
      <c r="I263" s="52">
        <f t="shared" si="312"/>
        <v>0</v>
      </c>
      <c r="J263" s="51">
        <f t="shared" si="312"/>
        <v>25</v>
      </c>
      <c r="K263" s="52">
        <f t="shared" si="312"/>
        <v>0</v>
      </c>
      <c r="L263" s="52">
        <f t="shared" si="312"/>
        <v>0</v>
      </c>
      <c r="M263" s="52"/>
      <c r="N263" s="85">
        <f>SUM('AP04'!$F263:$L263)</f>
        <v>1185.172875</v>
      </c>
      <c r="O263" s="51"/>
      <c r="P263" s="51">
        <f>Q262*('AP04'!$R263-1)</f>
        <v>0</v>
      </c>
      <c r="Q263" s="51">
        <f>(Q262*'AP04'!$R263)-'AP04'!$G263</f>
        <v>75803.99646</v>
      </c>
      <c r="R263" s="53">
        <f t="shared" si="149"/>
        <v>1</v>
      </c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56">
        <f t="shared" si="2"/>
        <v>250</v>
      </c>
      <c r="B264" s="50">
        <f t="shared" si="5"/>
        <v>50850</v>
      </c>
      <c r="C264" s="116">
        <f t="shared" si="126"/>
        <v>0.0775</v>
      </c>
      <c r="D264" s="116">
        <f>((1+'AP04'!$C264)^(1/12))-1</f>
        <v>0.006239681461</v>
      </c>
      <c r="E264" s="51">
        <f t="shared" si="127"/>
        <v>2089.154398</v>
      </c>
      <c r="F264" s="51">
        <f>(Q263*'AP04'!$R264)*'AP04'!$D264</f>
        <v>472.9927914</v>
      </c>
      <c r="G264" s="51">
        <f>(Q263*'AP04'!$R264)/($I$5-A263)</f>
        <v>682.918887</v>
      </c>
      <c r="H264" s="52">
        <f t="shared" ref="H264:L264" si="313">H263</f>
        <v>0</v>
      </c>
      <c r="I264" s="52">
        <f t="shared" si="313"/>
        <v>0</v>
      </c>
      <c r="J264" s="51">
        <f t="shared" si="313"/>
        <v>25</v>
      </c>
      <c r="K264" s="52">
        <f t="shared" si="313"/>
        <v>0</v>
      </c>
      <c r="L264" s="52">
        <f t="shared" si="313"/>
        <v>0</v>
      </c>
      <c r="M264" s="52"/>
      <c r="N264" s="85">
        <f>SUM('AP04'!$F264:$L264)</f>
        <v>1180.911678</v>
      </c>
      <c r="O264" s="51"/>
      <c r="P264" s="51">
        <f>Q263*('AP04'!$R264-1)</f>
        <v>0</v>
      </c>
      <c r="Q264" s="51">
        <f>(Q263*'AP04'!$R264)-'AP04'!$G264</f>
        <v>75121.07757</v>
      </c>
      <c r="R264" s="53">
        <f t="shared" si="149"/>
        <v>1</v>
      </c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56">
        <f t="shared" si="2"/>
        <v>251</v>
      </c>
      <c r="B265" s="50">
        <f t="shared" si="5"/>
        <v>50881</v>
      </c>
      <c r="C265" s="116">
        <f t="shared" si="126"/>
        <v>0.0775</v>
      </c>
      <c r="D265" s="116">
        <f>((1+'AP04'!$C265)^(1/12))-1</f>
        <v>0.006239681461</v>
      </c>
      <c r="E265" s="51">
        <f t="shared" si="127"/>
        <v>2089.154398</v>
      </c>
      <c r="F265" s="51">
        <f>(Q264*'AP04'!$R265)*'AP04'!$D265</f>
        <v>468.7315951</v>
      </c>
      <c r="G265" s="51">
        <f>(Q264*'AP04'!$R265)/($I$5-A264)</f>
        <v>682.918887</v>
      </c>
      <c r="H265" s="52">
        <f t="shared" ref="H265:L265" si="314">H264</f>
        <v>0</v>
      </c>
      <c r="I265" s="52">
        <f t="shared" si="314"/>
        <v>0</v>
      </c>
      <c r="J265" s="51">
        <f t="shared" si="314"/>
        <v>25</v>
      </c>
      <c r="K265" s="52">
        <f t="shared" si="314"/>
        <v>0</v>
      </c>
      <c r="L265" s="52">
        <f t="shared" si="314"/>
        <v>0</v>
      </c>
      <c r="M265" s="52"/>
      <c r="N265" s="85">
        <f>SUM('AP04'!$F265:$L265)</f>
        <v>1176.650482</v>
      </c>
      <c r="O265" s="51"/>
      <c r="P265" s="51">
        <f>Q264*('AP04'!$R265-1)</f>
        <v>0</v>
      </c>
      <c r="Q265" s="51">
        <f>(Q264*'AP04'!$R265)-'AP04'!$G265</f>
        <v>74438.15869</v>
      </c>
      <c r="R265" s="53">
        <f t="shared" si="149"/>
        <v>1</v>
      </c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56">
        <f t="shared" si="2"/>
        <v>252</v>
      </c>
      <c r="B266" s="50">
        <f t="shared" si="5"/>
        <v>50911</v>
      </c>
      <c r="C266" s="116">
        <f t="shared" si="126"/>
        <v>0.0775</v>
      </c>
      <c r="D266" s="116">
        <f>((1+'AP04'!$C266)^(1/12))-1</f>
        <v>0.006239681461</v>
      </c>
      <c r="E266" s="51">
        <f t="shared" si="127"/>
        <v>2089.154398</v>
      </c>
      <c r="F266" s="51">
        <f>(Q265*'AP04'!$R266)*'AP04'!$D266</f>
        <v>464.4703988</v>
      </c>
      <c r="G266" s="51">
        <f>(Q265*'AP04'!$R266)/($I$5-A265)</f>
        <v>682.918887</v>
      </c>
      <c r="H266" s="52">
        <f t="shared" ref="H266:L266" si="315">H265</f>
        <v>0</v>
      </c>
      <c r="I266" s="52">
        <f t="shared" si="315"/>
        <v>0</v>
      </c>
      <c r="J266" s="51">
        <f t="shared" si="315"/>
        <v>25</v>
      </c>
      <c r="K266" s="52">
        <f t="shared" si="315"/>
        <v>0</v>
      </c>
      <c r="L266" s="52">
        <f t="shared" si="315"/>
        <v>0</v>
      </c>
      <c r="M266" s="52"/>
      <c r="N266" s="85">
        <f>SUM('AP04'!$F266:$L266)</f>
        <v>1172.389286</v>
      </c>
      <c r="O266" s="51"/>
      <c r="P266" s="51">
        <f>Q265*('AP04'!$R266-1)</f>
        <v>0</v>
      </c>
      <c r="Q266" s="51">
        <f>(Q265*'AP04'!$R266)-'AP04'!$G266</f>
        <v>73755.2398</v>
      </c>
      <c r="R266" s="53">
        <f t="shared" si="149"/>
        <v>1</v>
      </c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56">
        <f t="shared" si="2"/>
        <v>253</v>
      </c>
      <c r="B267" s="50">
        <f t="shared" si="5"/>
        <v>50942</v>
      </c>
      <c r="C267" s="116">
        <f t="shared" si="126"/>
        <v>0.0775</v>
      </c>
      <c r="D267" s="116">
        <f>((1+'AP04'!$C267)^(1/12))-1</f>
        <v>0.006239681461</v>
      </c>
      <c r="E267" s="51">
        <f t="shared" si="127"/>
        <v>2089.154398</v>
      </c>
      <c r="F267" s="51">
        <f>(Q266*'AP04'!$R267)*'AP04'!$D267</f>
        <v>460.2092025</v>
      </c>
      <c r="G267" s="51">
        <f>(Q266*'AP04'!$R267)/($I$5-A266)</f>
        <v>682.918887</v>
      </c>
      <c r="H267" s="52">
        <f t="shared" ref="H267:L267" si="316">H266</f>
        <v>0</v>
      </c>
      <c r="I267" s="52">
        <f t="shared" si="316"/>
        <v>0</v>
      </c>
      <c r="J267" s="51">
        <f t="shared" si="316"/>
        <v>25</v>
      </c>
      <c r="K267" s="52">
        <f t="shared" si="316"/>
        <v>0</v>
      </c>
      <c r="L267" s="52">
        <f t="shared" si="316"/>
        <v>0</v>
      </c>
      <c r="M267" s="52"/>
      <c r="N267" s="85">
        <f>SUM('AP04'!$F267:$L267)</f>
        <v>1168.12809</v>
      </c>
      <c r="O267" s="51"/>
      <c r="P267" s="51">
        <f>Q266*('AP04'!$R267-1)</f>
        <v>0</v>
      </c>
      <c r="Q267" s="51">
        <f>(Q266*'AP04'!$R267)-'AP04'!$G267</f>
        <v>73072.32091</v>
      </c>
      <c r="R267" s="53">
        <f t="shared" si="149"/>
        <v>1</v>
      </c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56">
        <f t="shared" si="2"/>
        <v>254</v>
      </c>
      <c r="B268" s="50">
        <f t="shared" si="5"/>
        <v>50972</v>
      </c>
      <c r="C268" s="116">
        <f t="shared" si="126"/>
        <v>0.0775</v>
      </c>
      <c r="D268" s="116">
        <f>((1+'AP04'!$C268)^(1/12))-1</f>
        <v>0.006239681461</v>
      </c>
      <c r="E268" s="51">
        <f t="shared" si="127"/>
        <v>2089.154398</v>
      </c>
      <c r="F268" s="51">
        <f>(Q267*'AP04'!$R268)*'AP04'!$D268</f>
        <v>455.9480061</v>
      </c>
      <c r="G268" s="51">
        <f>(Q267*'AP04'!$R268)/($I$5-A267)</f>
        <v>682.918887</v>
      </c>
      <c r="H268" s="52">
        <f t="shared" ref="H268:L268" si="317">H267</f>
        <v>0</v>
      </c>
      <c r="I268" s="52">
        <f t="shared" si="317"/>
        <v>0</v>
      </c>
      <c r="J268" s="51">
        <f t="shared" si="317"/>
        <v>25</v>
      </c>
      <c r="K268" s="52">
        <f t="shared" si="317"/>
        <v>0</v>
      </c>
      <c r="L268" s="52">
        <f t="shared" si="317"/>
        <v>0</v>
      </c>
      <c r="M268" s="52"/>
      <c r="N268" s="85">
        <f>SUM('AP04'!$F268:$L268)</f>
        <v>1163.866893</v>
      </c>
      <c r="O268" s="51"/>
      <c r="P268" s="51">
        <f>Q267*('AP04'!$R268-1)</f>
        <v>0</v>
      </c>
      <c r="Q268" s="51">
        <f>(Q267*'AP04'!$R268)-'AP04'!$G268</f>
        <v>72389.40203</v>
      </c>
      <c r="R268" s="53">
        <f t="shared" si="149"/>
        <v>1</v>
      </c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56">
        <f t="shared" si="2"/>
        <v>255</v>
      </c>
      <c r="B269" s="50">
        <f t="shared" si="5"/>
        <v>51003</v>
      </c>
      <c r="C269" s="116">
        <f t="shared" si="126"/>
        <v>0.0775</v>
      </c>
      <c r="D269" s="116">
        <f>((1+'AP04'!$C269)^(1/12))-1</f>
        <v>0.006239681461</v>
      </c>
      <c r="E269" s="51">
        <f t="shared" si="127"/>
        <v>2089.154398</v>
      </c>
      <c r="F269" s="51">
        <f>(Q268*'AP04'!$R269)*'AP04'!$D269</f>
        <v>451.6868098</v>
      </c>
      <c r="G269" s="51">
        <f>(Q268*'AP04'!$R269)/($I$5-A268)</f>
        <v>682.918887</v>
      </c>
      <c r="H269" s="52">
        <f t="shared" ref="H269:L269" si="318">H268</f>
        <v>0</v>
      </c>
      <c r="I269" s="52">
        <f t="shared" si="318"/>
        <v>0</v>
      </c>
      <c r="J269" s="51">
        <f t="shared" si="318"/>
        <v>25</v>
      </c>
      <c r="K269" s="52">
        <f t="shared" si="318"/>
        <v>0</v>
      </c>
      <c r="L269" s="52">
        <f t="shared" si="318"/>
        <v>0</v>
      </c>
      <c r="M269" s="52"/>
      <c r="N269" s="85">
        <f>SUM('AP04'!$F269:$L269)</f>
        <v>1159.605697</v>
      </c>
      <c r="O269" s="51"/>
      <c r="P269" s="51">
        <f>Q268*('AP04'!$R269-1)</f>
        <v>0</v>
      </c>
      <c r="Q269" s="51">
        <f>(Q268*'AP04'!$R269)-'AP04'!$G269</f>
        <v>71706.48314</v>
      </c>
      <c r="R269" s="53">
        <f t="shared" si="149"/>
        <v>1</v>
      </c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56">
        <f t="shared" si="2"/>
        <v>256</v>
      </c>
      <c r="B270" s="50">
        <f t="shared" si="5"/>
        <v>51034</v>
      </c>
      <c r="C270" s="116">
        <f t="shared" si="126"/>
        <v>0.0775</v>
      </c>
      <c r="D270" s="116">
        <f>((1+'AP04'!$C270)^(1/12))-1</f>
        <v>0.006239681461</v>
      </c>
      <c r="E270" s="51">
        <f t="shared" si="127"/>
        <v>2089.154398</v>
      </c>
      <c r="F270" s="51">
        <f>(Q269*'AP04'!$R270)*'AP04'!$D270</f>
        <v>447.4256135</v>
      </c>
      <c r="G270" s="51">
        <f>(Q269*'AP04'!$R270)/($I$5-A269)</f>
        <v>682.918887</v>
      </c>
      <c r="H270" s="52">
        <f t="shared" ref="H270:L270" si="319">H269</f>
        <v>0</v>
      </c>
      <c r="I270" s="52">
        <f t="shared" si="319"/>
        <v>0</v>
      </c>
      <c r="J270" s="51">
        <f t="shared" si="319"/>
        <v>25</v>
      </c>
      <c r="K270" s="52">
        <f t="shared" si="319"/>
        <v>0</v>
      </c>
      <c r="L270" s="52">
        <f t="shared" si="319"/>
        <v>0</v>
      </c>
      <c r="M270" s="52"/>
      <c r="N270" s="85">
        <f>SUM('AP04'!$F270:$L270)</f>
        <v>1155.344501</v>
      </c>
      <c r="O270" s="51"/>
      <c r="P270" s="51">
        <f>Q269*('AP04'!$R270-1)</f>
        <v>0</v>
      </c>
      <c r="Q270" s="51">
        <f>(Q269*'AP04'!$R270)-'AP04'!$G270</f>
        <v>71023.56425</v>
      </c>
      <c r="R270" s="53">
        <f t="shared" si="149"/>
        <v>1</v>
      </c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56">
        <f t="shared" si="2"/>
        <v>257</v>
      </c>
      <c r="B271" s="50">
        <f t="shared" si="5"/>
        <v>51064</v>
      </c>
      <c r="C271" s="116">
        <f t="shared" si="126"/>
        <v>0.0775</v>
      </c>
      <c r="D271" s="116">
        <f>((1+'AP04'!$C271)^(1/12))-1</f>
        <v>0.006239681461</v>
      </c>
      <c r="E271" s="51">
        <f t="shared" si="127"/>
        <v>2089.154398</v>
      </c>
      <c r="F271" s="51">
        <f>(Q270*'AP04'!$R271)*'AP04'!$D271</f>
        <v>443.1644172</v>
      </c>
      <c r="G271" s="51">
        <f>(Q270*'AP04'!$R271)/($I$5-A270)</f>
        <v>682.918887</v>
      </c>
      <c r="H271" s="52">
        <f t="shared" ref="H271:L271" si="320">H270</f>
        <v>0</v>
      </c>
      <c r="I271" s="52">
        <f t="shared" si="320"/>
        <v>0</v>
      </c>
      <c r="J271" s="51">
        <f t="shared" si="320"/>
        <v>25</v>
      </c>
      <c r="K271" s="52">
        <f t="shared" si="320"/>
        <v>0</v>
      </c>
      <c r="L271" s="52">
        <f t="shared" si="320"/>
        <v>0</v>
      </c>
      <c r="M271" s="52"/>
      <c r="N271" s="85">
        <f>SUM('AP04'!$F271:$L271)</f>
        <v>1151.083304</v>
      </c>
      <c r="O271" s="51"/>
      <c r="P271" s="51">
        <f>Q270*('AP04'!$R271-1)</f>
        <v>0</v>
      </c>
      <c r="Q271" s="51">
        <f>(Q270*'AP04'!$R271)-'AP04'!$G271</f>
        <v>70340.64537</v>
      </c>
      <c r="R271" s="53">
        <f t="shared" si="149"/>
        <v>1</v>
      </c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56">
        <f t="shared" si="2"/>
        <v>258</v>
      </c>
      <c r="B272" s="50">
        <f t="shared" si="5"/>
        <v>51095</v>
      </c>
      <c r="C272" s="116">
        <f t="shared" si="126"/>
        <v>0.0775</v>
      </c>
      <c r="D272" s="116">
        <f>((1+'AP04'!$C272)^(1/12))-1</f>
        <v>0.006239681461</v>
      </c>
      <c r="E272" s="51">
        <f t="shared" si="127"/>
        <v>2089.154398</v>
      </c>
      <c r="F272" s="51">
        <f>(Q271*'AP04'!$R272)*'AP04'!$D272</f>
        <v>438.9032209</v>
      </c>
      <c r="G272" s="51">
        <f>(Q271*'AP04'!$R272)/($I$5-A271)</f>
        <v>682.918887</v>
      </c>
      <c r="H272" s="52">
        <f t="shared" ref="H272:L272" si="321">H271</f>
        <v>0</v>
      </c>
      <c r="I272" s="52">
        <f t="shared" si="321"/>
        <v>0</v>
      </c>
      <c r="J272" s="51">
        <f t="shared" si="321"/>
        <v>25</v>
      </c>
      <c r="K272" s="52">
        <f t="shared" si="321"/>
        <v>0</v>
      </c>
      <c r="L272" s="52">
        <f t="shared" si="321"/>
        <v>0</v>
      </c>
      <c r="M272" s="52"/>
      <c r="N272" s="85">
        <f>SUM('AP04'!$F272:$L272)</f>
        <v>1146.822108</v>
      </c>
      <c r="O272" s="51"/>
      <c r="P272" s="51">
        <f>Q271*('AP04'!$R272-1)</f>
        <v>0</v>
      </c>
      <c r="Q272" s="51">
        <f>(Q271*'AP04'!$R272)-'AP04'!$G272</f>
        <v>69657.72648</v>
      </c>
      <c r="R272" s="53">
        <f t="shared" si="149"/>
        <v>1</v>
      </c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56">
        <f t="shared" si="2"/>
        <v>259</v>
      </c>
      <c r="B273" s="50">
        <f t="shared" si="5"/>
        <v>51125</v>
      </c>
      <c r="C273" s="116">
        <f t="shared" si="126"/>
        <v>0.0775</v>
      </c>
      <c r="D273" s="116">
        <f>((1+'AP04'!$C273)^(1/12))-1</f>
        <v>0.006239681461</v>
      </c>
      <c r="E273" s="51">
        <f t="shared" si="127"/>
        <v>2089.154398</v>
      </c>
      <c r="F273" s="51">
        <f>(Q272*'AP04'!$R273)*'AP04'!$D273</f>
        <v>434.6420245</v>
      </c>
      <c r="G273" s="51">
        <f>(Q272*'AP04'!$R273)/($I$5-A272)</f>
        <v>682.918887</v>
      </c>
      <c r="H273" s="52">
        <f t="shared" ref="H273:L273" si="322">H272</f>
        <v>0</v>
      </c>
      <c r="I273" s="52">
        <f t="shared" si="322"/>
        <v>0</v>
      </c>
      <c r="J273" s="51">
        <f t="shared" si="322"/>
        <v>25</v>
      </c>
      <c r="K273" s="52">
        <f t="shared" si="322"/>
        <v>0</v>
      </c>
      <c r="L273" s="52">
        <f t="shared" si="322"/>
        <v>0</v>
      </c>
      <c r="M273" s="52"/>
      <c r="N273" s="85">
        <f>SUM('AP04'!$F273:$L273)</f>
        <v>1142.560912</v>
      </c>
      <c r="O273" s="51"/>
      <c r="P273" s="51">
        <f>Q272*('AP04'!$R273-1)</f>
        <v>0</v>
      </c>
      <c r="Q273" s="51">
        <f>(Q272*'AP04'!$R273)-'AP04'!$G273</f>
        <v>68974.80759</v>
      </c>
      <c r="R273" s="53">
        <f t="shared" si="149"/>
        <v>1</v>
      </c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56">
        <f t="shared" si="2"/>
        <v>260</v>
      </c>
      <c r="B274" s="50">
        <f t="shared" si="5"/>
        <v>51156</v>
      </c>
      <c r="C274" s="116">
        <f t="shared" si="126"/>
        <v>0.0775</v>
      </c>
      <c r="D274" s="116">
        <f>((1+'AP04'!$C274)^(1/12))-1</f>
        <v>0.006239681461</v>
      </c>
      <c r="E274" s="51">
        <f t="shared" si="127"/>
        <v>2089.154398</v>
      </c>
      <c r="F274" s="51">
        <f>(Q273*'AP04'!$R274)*'AP04'!$D274</f>
        <v>430.3808282</v>
      </c>
      <c r="G274" s="51">
        <f>(Q273*'AP04'!$R274)/($I$5-A273)</f>
        <v>682.918887</v>
      </c>
      <c r="H274" s="52">
        <f t="shared" ref="H274:L274" si="323">H273</f>
        <v>0</v>
      </c>
      <c r="I274" s="52">
        <f t="shared" si="323"/>
        <v>0</v>
      </c>
      <c r="J274" s="51">
        <f t="shared" si="323"/>
        <v>25</v>
      </c>
      <c r="K274" s="52">
        <f t="shared" si="323"/>
        <v>0</v>
      </c>
      <c r="L274" s="52">
        <f t="shared" si="323"/>
        <v>0</v>
      </c>
      <c r="M274" s="52"/>
      <c r="N274" s="85">
        <f>SUM('AP04'!$F274:$L274)</f>
        <v>1138.299715</v>
      </c>
      <c r="O274" s="51"/>
      <c r="P274" s="51">
        <f>Q273*('AP04'!$R274-1)</f>
        <v>0</v>
      </c>
      <c r="Q274" s="51">
        <f>(Q273*'AP04'!$R274)-'AP04'!$G274</f>
        <v>68291.8887</v>
      </c>
      <c r="R274" s="53">
        <f t="shared" si="149"/>
        <v>1</v>
      </c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56">
        <f t="shared" si="2"/>
        <v>261</v>
      </c>
      <c r="B275" s="50">
        <f t="shared" si="5"/>
        <v>51187</v>
      </c>
      <c r="C275" s="116">
        <f t="shared" si="126"/>
        <v>0.0775</v>
      </c>
      <c r="D275" s="116">
        <f>((1+'AP04'!$C275)^(1/12))-1</f>
        <v>0.006239681461</v>
      </c>
      <c r="E275" s="51">
        <f t="shared" si="127"/>
        <v>2089.154398</v>
      </c>
      <c r="F275" s="51">
        <f>(Q274*'AP04'!$R275)*'AP04'!$D275</f>
        <v>426.1196319</v>
      </c>
      <c r="G275" s="51">
        <f>(Q274*'AP04'!$R275)/($I$5-A274)</f>
        <v>682.918887</v>
      </c>
      <c r="H275" s="52">
        <f t="shared" ref="H275:L275" si="324">H274</f>
        <v>0</v>
      </c>
      <c r="I275" s="52">
        <f t="shared" si="324"/>
        <v>0</v>
      </c>
      <c r="J275" s="51">
        <f t="shared" si="324"/>
        <v>25</v>
      </c>
      <c r="K275" s="52">
        <f t="shared" si="324"/>
        <v>0</v>
      </c>
      <c r="L275" s="52">
        <f t="shared" si="324"/>
        <v>0</v>
      </c>
      <c r="M275" s="52"/>
      <c r="N275" s="85">
        <f>SUM('AP04'!$F275:$L275)</f>
        <v>1134.038519</v>
      </c>
      <c r="O275" s="51"/>
      <c r="P275" s="51">
        <f>Q274*('AP04'!$R275-1)</f>
        <v>0</v>
      </c>
      <c r="Q275" s="51">
        <f>(Q274*'AP04'!$R275)-'AP04'!$G275</f>
        <v>67608.96982</v>
      </c>
      <c r="R275" s="53">
        <f t="shared" si="149"/>
        <v>1</v>
      </c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56">
        <f t="shared" si="2"/>
        <v>262</v>
      </c>
      <c r="B276" s="50">
        <f t="shared" si="5"/>
        <v>51216</v>
      </c>
      <c r="C276" s="116">
        <f t="shared" si="126"/>
        <v>0.0775</v>
      </c>
      <c r="D276" s="116">
        <f>((1+'AP04'!$C276)^(1/12))-1</f>
        <v>0.006239681461</v>
      </c>
      <c r="E276" s="51">
        <f t="shared" si="127"/>
        <v>2089.154398</v>
      </c>
      <c r="F276" s="51">
        <f>(Q275*'AP04'!$R276)*'AP04'!$D276</f>
        <v>421.8584356</v>
      </c>
      <c r="G276" s="51">
        <f>(Q275*'AP04'!$R276)/($I$5-A275)</f>
        <v>682.918887</v>
      </c>
      <c r="H276" s="52">
        <f t="shared" ref="H276:L276" si="325">H275</f>
        <v>0</v>
      </c>
      <c r="I276" s="52">
        <f t="shared" si="325"/>
        <v>0</v>
      </c>
      <c r="J276" s="51">
        <f t="shared" si="325"/>
        <v>25</v>
      </c>
      <c r="K276" s="52">
        <f t="shared" si="325"/>
        <v>0</v>
      </c>
      <c r="L276" s="52">
        <f t="shared" si="325"/>
        <v>0</v>
      </c>
      <c r="M276" s="52"/>
      <c r="N276" s="85">
        <f>SUM('AP04'!$F276:$L276)</f>
        <v>1129.777323</v>
      </c>
      <c r="O276" s="51"/>
      <c r="P276" s="51">
        <f>Q275*('AP04'!$R276-1)</f>
        <v>0</v>
      </c>
      <c r="Q276" s="51">
        <f>(Q275*'AP04'!$R276)-'AP04'!$G276</f>
        <v>66926.05093</v>
      </c>
      <c r="R276" s="53">
        <f t="shared" si="149"/>
        <v>1</v>
      </c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56">
        <f t="shared" si="2"/>
        <v>263</v>
      </c>
      <c r="B277" s="50">
        <f t="shared" si="5"/>
        <v>51247</v>
      </c>
      <c r="C277" s="116">
        <f t="shared" si="126"/>
        <v>0.0775</v>
      </c>
      <c r="D277" s="116">
        <f>((1+'AP04'!$C277)^(1/12))-1</f>
        <v>0.006239681461</v>
      </c>
      <c r="E277" s="51">
        <f t="shared" si="127"/>
        <v>2089.154398</v>
      </c>
      <c r="F277" s="51">
        <f>(Q276*'AP04'!$R277)*'AP04'!$D277</f>
        <v>417.5972393</v>
      </c>
      <c r="G277" s="51">
        <f>(Q276*'AP04'!$R277)/($I$5-A276)</f>
        <v>682.918887</v>
      </c>
      <c r="H277" s="52">
        <f t="shared" ref="H277:L277" si="326">H276</f>
        <v>0</v>
      </c>
      <c r="I277" s="52">
        <f t="shared" si="326"/>
        <v>0</v>
      </c>
      <c r="J277" s="51">
        <f t="shared" si="326"/>
        <v>25</v>
      </c>
      <c r="K277" s="52">
        <f t="shared" si="326"/>
        <v>0</v>
      </c>
      <c r="L277" s="52">
        <f t="shared" si="326"/>
        <v>0</v>
      </c>
      <c r="M277" s="52"/>
      <c r="N277" s="85">
        <f>SUM('AP04'!$F277:$L277)</f>
        <v>1125.516126</v>
      </c>
      <c r="O277" s="51"/>
      <c r="P277" s="51">
        <f>Q276*('AP04'!$R277-1)</f>
        <v>0</v>
      </c>
      <c r="Q277" s="51">
        <f>(Q276*'AP04'!$R277)-'AP04'!$G277</f>
        <v>66243.13204</v>
      </c>
      <c r="R277" s="53">
        <f t="shared" si="149"/>
        <v>1</v>
      </c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56">
        <f t="shared" si="2"/>
        <v>264</v>
      </c>
      <c r="B278" s="50">
        <f t="shared" si="5"/>
        <v>51277</v>
      </c>
      <c r="C278" s="116">
        <f t="shared" si="126"/>
        <v>0.0775</v>
      </c>
      <c r="D278" s="116">
        <f>((1+'AP04'!$C278)^(1/12))-1</f>
        <v>0.006239681461</v>
      </c>
      <c r="E278" s="51">
        <f t="shared" si="127"/>
        <v>2089.154398</v>
      </c>
      <c r="F278" s="51">
        <f>(Q277*'AP04'!$R278)*'AP04'!$D278</f>
        <v>413.3360429</v>
      </c>
      <c r="G278" s="51">
        <f>(Q277*'AP04'!$R278)/($I$5-A277)</f>
        <v>682.918887</v>
      </c>
      <c r="H278" s="52">
        <f t="shared" ref="H278:L278" si="327">H277</f>
        <v>0</v>
      </c>
      <c r="I278" s="52">
        <f t="shared" si="327"/>
        <v>0</v>
      </c>
      <c r="J278" s="51">
        <f t="shared" si="327"/>
        <v>25</v>
      </c>
      <c r="K278" s="52">
        <f t="shared" si="327"/>
        <v>0</v>
      </c>
      <c r="L278" s="52">
        <f t="shared" si="327"/>
        <v>0</v>
      </c>
      <c r="M278" s="52"/>
      <c r="N278" s="85">
        <f>SUM('AP04'!$F278:$L278)</f>
        <v>1121.25493</v>
      </c>
      <c r="O278" s="51"/>
      <c r="P278" s="51">
        <f>Q277*('AP04'!$R278-1)</f>
        <v>0</v>
      </c>
      <c r="Q278" s="51">
        <f>(Q277*'AP04'!$R278)-'AP04'!$G278</f>
        <v>65560.21316</v>
      </c>
      <c r="R278" s="53">
        <f t="shared" si="149"/>
        <v>1</v>
      </c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56">
        <f t="shared" si="2"/>
        <v>265</v>
      </c>
      <c r="B279" s="50">
        <f t="shared" si="5"/>
        <v>51308</v>
      </c>
      <c r="C279" s="116">
        <f t="shared" si="126"/>
        <v>0.0775</v>
      </c>
      <c r="D279" s="116">
        <f>((1+'AP04'!$C279)^(1/12))-1</f>
        <v>0.006239681461</v>
      </c>
      <c r="E279" s="51">
        <f t="shared" si="127"/>
        <v>2089.154398</v>
      </c>
      <c r="F279" s="51">
        <f>(Q278*'AP04'!$R279)*'AP04'!$D279</f>
        <v>409.0748466</v>
      </c>
      <c r="G279" s="51">
        <f>(Q278*'AP04'!$R279)/($I$5-A278)</f>
        <v>682.918887</v>
      </c>
      <c r="H279" s="52">
        <f t="shared" ref="H279:L279" si="328">H278</f>
        <v>0</v>
      </c>
      <c r="I279" s="52">
        <f t="shared" si="328"/>
        <v>0</v>
      </c>
      <c r="J279" s="51">
        <f t="shared" si="328"/>
        <v>25</v>
      </c>
      <c r="K279" s="52">
        <f t="shared" si="328"/>
        <v>0</v>
      </c>
      <c r="L279" s="52">
        <f t="shared" si="328"/>
        <v>0</v>
      </c>
      <c r="M279" s="52"/>
      <c r="N279" s="85">
        <f>SUM('AP04'!$F279:$L279)</f>
        <v>1116.993734</v>
      </c>
      <c r="O279" s="51"/>
      <c r="P279" s="51">
        <f>Q278*('AP04'!$R279-1)</f>
        <v>0</v>
      </c>
      <c r="Q279" s="51">
        <f>(Q278*'AP04'!$R279)-'AP04'!$G279</f>
        <v>64877.29427</v>
      </c>
      <c r="R279" s="53">
        <f t="shared" si="149"/>
        <v>1</v>
      </c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56">
        <f t="shared" si="2"/>
        <v>266</v>
      </c>
      <c r="B280" s="50">
        <f t="shared" si="5"/>
        <v>51338</v>
      </c>
      <c r="C280" s="116">
        <f t="shared" si="126"/>
        <v>0.0775</v>
      </c>
      <c r="D280" s="116">
        <f>((1+'AP04'!$C280)^(1/12))-1</f>
        <v>0.006239681461</v>
      </c>
      <c r="E280" s="51">
        <f t="shared" si="127"/>
        <v>2089.154398</v>
      </c>
      <c r="F280" s="51">
        <f>(Q279*'AP04'!$R280)*'AP04'!$D280</f>
        <v>404.8136503</v>
      </c>
      <c r="G280" s="51">
        <f>(Q279*'AP04'!$R280)/($I$5-A279)</f>
        <v>682.918887</v>
      </c>
      <c r="H280" s="52">
        <f t="shared" ref="H280:L280" si="329">H279</f>
        <v>0</v>
      </c>
      <c r="I280" s="52">
        <f t="shared" si="329"/>
        <v>0</v>
      </c>
      <c r="J280" s="51">
        <f t="shared" si="329"/>
        <v>25</v>
      </c>
      <c r="K280" s="52">
        <f t="shared" si="329"/>
        <v>0</v>
      </c>
      <c r="L280" s="52">
        <f t="shared" si="329"/>
        <v>0</v>
      </c>
      <c r="M280" s="52"/>
      <c r="N280" s="85">
        <f>SUM('AP04'!$F280:$L280)</f>
        <v>1112.732537</v>
      </c>
      <c r="O280" s="51"/>
      <c r="P280" s="51">
        <f>Q279*('AP04'!$R280-1)</f>
        <v>0</v>
      </c>
      <c r="Q280" s="51">
        <f>(Q279*'AP04'!$R280)-'AP04'!$G280</f>
        <v>64194.37538</v>
      </c>
      <c r="R280" s="53">
        <f t="shared" si="149"/>
        <v>1</v>
      </c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56">
        <f t="shared" si="2"/>
        <v>267</v>
      </c>
      <c r="B281" s="50">
        <f t="shared" si="5"/>
        <v>51369</v>
      </c>
      <c r="C281" s="116">
        <f t="shared" si="126"/>
        <v>0.0775</v>
      </c>
      <c r="D281" s="116">
        <f>((1+'AP04'!$C281)^(1/12))-1</f>
        <v>0.006239681461</v>
      </c>
      <c r="E281" s="51">
        <f t="shared" si="127"/>
        <v>2089.154398</v>
      </c>
      <c r="F281" s="51">
        <f>(Q280*'AP04'!$R281)*'AP04'!$D281</f>
        <v>400.552454</v>
      </c>
      <c r="G281" s="51">
        <f>(Q280*'AP04'!$R281)/($I$5-A280)</f>
        <v>682.918887</v>
      </c>
      <c r="H281" s="52">
        <f t="shared" ref="H281:L281" si="330">H280</f>
        <v>0</v>
      </c>
      <c r="I281" s="52">
        <f t="shared" si="330"/>
        <v>0</v>
      </c>
      <c r="J281" s="51">
        <f t="shared" si="330"/>
        <v>25</v>
      </c>
      <c r="K281" s="52">
        <f t="shared" si="330"/>
        <v>0</v>
      </c>
      <c r="L281" s="52">
        <f t="shared" si="330"/>
        <v>0</v>
      </c>
      <c r="M281" s="52"/>
      <c r="N281" s="85">
        <f>SUM('AP04'!$F281:$L281)</f>
        <v>1108.471341</v>
      </c>
      <c r="O281" s="51"/>
      <c r="P281" s="51">
        <f>Q280*('AP04'!$R281-1)</f>
        <v>0</v>
      </c>
      <c r="Q281" s="51">
        <f>(Q280*'AP04'!$R281)-'AP04'!$G281</f>
        <v>63511.4565</v>
      </c>
      <c r="R281" s="53">
        <f t="shared" si="149"/>
        <v>1</v>
      </c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56">
        <f t="shared" si="2"/>
        <v>268</v>
      </c>
      <c r="B282" s="50">
        <f t="shared" si="5"/>
        <v>51400</v>
      </c>
      <c r="C282" s="116">
        <f t="shared" si="126"/>
        <v>0.0775</v>
      </c>
      <c r="D282" s="116">
        <f>((1+'AP04'!$C282)^(1/12))-1</f>
        <v>0.006239681461</v>
      </c>
      <c r="E282" s="51">
        <f t="shared" si="127"/>
        <v>2089.154398</v>
      </c>
      <c r="F282" s="51">
        <f>(Q281*'AP04'!$R282)*'AP04'!$D282</f>
        <v>396.2912577</v>
      </c>
      <c r="G282" s="51">
        <f>(Q281*'AP04'!$R282)/($I$5-A281)</f>
        <v>682.918887</v>
      </c>
      <c r="H282" s="52">
        <f t="shared" ref="H282:L282" si="331">H281</f>
        <v>0</v>
      </c>
      <c r="I282" s="52">
        <f t="shared" si="331"/>
        <v>0</v>
      </c>
      <c r="J282" s="51">
        <f t="shared" si="331"/>
        <v>25</v>
      </c>
      <c r="K282" s="52">
        <f t="shared" si="331"/>
        <v>0</v>
      </c>
      <c r="L282" s="52">
        <f t="shared" si="331"/>
        <v>0</v>
      </c>
      <c r="M282" s="52"/>
      <c r="N282" s="85">
        <f>SUM('AP04'!$F282:$L282)</f>
        <v>1104.210145</v>
      </c>
      <c r="O282" s="51"/>
      <c r="P282" s="51">
        <f>Q281*('AP04'!$R282-1)</f>
        <v>0</v>
      </c>
      <c r="Q282" s="51">
        <f>(Q281*'AP04'!$R282)-'AP04'!$G282</f>
        <v>62828.53761</v>
      </c>
      <c r="R282" s="53">
        <f t="shared" si="149"/>
        <v>1</v>
      </c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56">
        <f t="shared" si="2"/>
        <v>269</v>
      </c>
      <c r="B283" s="50">
        <f t="shared" si="5"/>
        <v>51430</v>
      </c>
      <c r="C283" s="116">
        <f t="shared" si="126"/>
        <v>0.0775</v>
      </c>
      <c r="D283" s="116">
        <f>((1+'AP04'!$C283)^(1/12))-1</f>
        <v>0.006239681461</v>
      </c>
      <c r="E283" s="51">
        <f t="shared" si="127"/>
        <v>2089.154398</v>
      </c>
      <c r="F283" s="51">
        <f>(Q282*'AP04'!$R283)*'AP04'!$D283</f>
        <v>392.0300614</v>
      </c>
      <c r="G283" s="51">
        <f>(Q282*'AP04'!$R283)/($I$5-A282)</f>
        <v>682.918887</v>
      </c>
      <c r="H283" s="52">
        <f t="shared" ref="H283:L283" si="332">H282</f>
        <v>0</v>
      </c>
      <c r="I283" s="52">
        <f t="shared" si="332"/>
        <v>0</v>
      </c>
      <c r="J283" s="51">
        <f t="shared" si="332"/>
        <v>25</v>
      </c>
      <c r="K283" s="52">
        <f t="shared" si="332"/>
        <v>0</v>
      </c>
      <c r="L283" s="52">
        <f t="shared" si="332"/>
        <v>0</v>
      </c>
      <c r="M283" s="52"/>
      <c r="N283" s="85">
        <f>SUM('AP04'!$F283:$L283)</f>
        <v>1099.948948</v>
      </c>
      <c r="O283" s="51"/>
      <c r="P283" s="51">
        <f>Q282*('AP04'!$R283-1)</f>
        <v>0</v>
      </c>
      <c r="Q283" s="51">
        <f>(Q282*'AP04'!$R283)-'AP04'!$G283</f>
        <v>62145.61872</v>
      </c>
      <c r="R283" s="53">
        <f t="shared" si="149"/>
        <v>1</v>
      </c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56">
        <f t="shared" si="2"/>
        <v>270</v>
      </c>
      <c r="B284" s="50">
        <f t="shared" si="5"/>
        <v>51461</v>
      </c>
      <c r="C284" s="116">
        <f t="shared" si="126"/>
        <v>0.0775</v>
      </c>
      <c r="D284" s="116">
        <f>((1+'AP04'!$C284)^(1/12))-1</f>
        <v>0.006239681461</v>
      </c>
      <c r="E284" s="51">
        <f t="shared" si="127"/>
        <v>2089.154398</v>
      </c>
      <c r="F284" s="51">
        <f>(Q283*'AP04'!$R284)*'AP04'!$D284</f>
        <v>387.768865</v>
      </c>
      <c r="G284" s="51">
        <f>(Q283*'AP04'!$R284)/($I$5-A283)</f>
        <v>682.918887</v>
      </c>
      <c r="H284" s="52">
        <f t="shared" ref="H284:L284" si="333">H283</f>
        <v>0</v>
      </c>
      <c r="I284" s="52">
        <f t="shared" si="333"/>
        <v>0</v>
      </c>
      <c r="J284" s="51">
        <f t="shared" si="333"/>
        <v>25</v>
      </c>
      <c r="K284" s="52">
        <f t="shared" si="333"/>
        <v>0</v>
      </c>
      <c r="L284" s="52">
        <f t="shared" si="333"/>
        <v>0</v>
      </c>
      <c r="M284" s="52"/>
      <c r="N284" s="85">
        <f>SUM('AP04'!$F284:$L284)</f>
        <v>1095.687752</v>
      </c>
      <c r="O284" s="51"/>
      <c r="P284" s="51">
        <f>Q283*('AP04'!$R284-1)</f>
        <v>0</v>
      </c>
      <c r="Q284" s="51">
        <f>(Q283*'AP04'!$R284)-'AP04'!$G284</f>
        <v>61462.69983</v>
      </c>
      <c r="R284" s="53">
        <f t="shared" si="149"/>
        <v>1</v>
      </c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56">
        <f t="shared" si="2"/>
        <v>271</v>
      </c>
      <c r="B285" s="50">
        <f t="shared" si="5"/>
        <v>51491</v>
      </c>
      <c r="C285" s="116">
        <f t="shared" si="126"/>
        <v>0.0775</v>
      </c>
      <c r="D285" s="116">
        <f>((1+'AP04'!$C285)^(1/12))-1</f>
        <v>0.006239681461</v>
      </c>
      <c r="E285" s="51">
        <f t="shared" si="127"/>
        <v>2089.154398</v>
      </c>
      <c r="F285" s="51">
        <f>(Q284*'AP04'!$R285)*'AP04'!$D285</f>
        <v>383.5076687</v>
      </c>
      <c r="G285" s="51">
        <f>(Q284*'AP04'!$R285)/($I$5-A284)</f>
        <v>682.918887</v>
      </c>
      <c r="H285" s="52">
        <f t="shared" ref="H285:L285" si="334">H284</f>
        <v>0</v>
      </c>
      <c r="I285" s="52">
        <f t="shared" si="334"/>
        <v>0</v>
      </c>
      <c r="J285" s="51">
        <f t="shared" si="334"/>
        <v>25</v>
      </c>
      <c r="K285" s="52">
        <f t="shared" si="334"/>
        <v>0</v>
      </c>
      <c r="L285" s="52">
        <f t="shared" si="334"/>
        <v>0</v>
      </c>
      <c r="M285" s="52"/>
      <c r="N285" s="85">
        <f>SUM('AP04'!$F285:$L285)</f>
        <v>1091.426556</v>
      </c>
      <c r="O285" s="51"/>
      <c r="P285" s="51">
        <f>Q284*('AP04'!$R285-1)</f>
        <v>0</v>
      </c>
      <c r="Q285" s="51">
        <f>(Q284*'AP04'!$R285)-'AP04'!$G285</f>
        <v>60779.78095</v>
      </c>
      <c r="R285" s="53">
        <f t="shared" si="149"/>
        <v>1</v>
      </c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56">
        <f t="shared" si="2"/>
        <v>272</v>
      </c>
      <c r="B286" s="50">
        <f t="shared" si="5"/>
        <v>51522</v>
      </c>
      <c r="C286" s="116">
        <f t="shared" si="126"/>
        <v>0.0775</v>
      </c>
      <c r="D286" s="116">
        <f>((1+'AP04'!$C286)^(1/12))-1</f>
        <v>0.006239681461</v>
      </c>
      <c r="E286" s="51">
        <f t="shared" si="127"/>
        <v>2089.154398</v>
      </c>
      <c r="F286" s="51">
        <f>(Q285*'AP04'!$R286)*'AP04'!$D286</f>
        <v>379.2464724</v>
      </c>
      <c r="G286" s="51">
        <f>(Q285*'AP04'!$R286)/($I$5-A285)</f>
        <v>682.918887</v>
      </c>
      <c r="H286" s="52">
        <f t="shared" ref="H286:L286" si="335">H285</f>
        <v>0</v>
      </c>
      <c r="I286" s="52">
        <f t="shared" si="335"/>
        <v>0</v>
      </c>
      <c r="J286" s="51">
        <f t="shared" si="335"/>
        <v>25</v>
      </c>
      <c r="K286" s="52">
        <f t="shared" si="335"/>
        <v>0</v>
      </c>
      <c r="L286" s="52">
        <f t="shared" si="335"/>
        <v>0</v>
      </c>
      <c r="M286" s="52"/>
      <c r="N286" s="85">
        <f>SUM('AP04'!$F286:$L286)</f>
        <v>1087.165359</v>
      </c>
      <c r="O286" s="51"/>
      <c r="P286" s="51">
        <f>Q285*('AP04'!$R286-1)</f>
        <v>0</v>
      </c>
      <c r="Q286" s="51">
        <f>(Q285*'AP04'!$R286)-'AP04'!$G286</f>
        <v>60096.86206</v>
      </c>
      <c r="R286" s="53">
        <f t="shared" si="149"/>
        <v>1</v>
      </c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56">
        <f t="shared" si="2"/>
        <v>273</v>
      </c>
      <c r="B287" s="50">
        <f t="shared" si="5"/>
        <v>51553</v>
      </c>
      <c r="C287" s="116">
        <f t="shared" si="126"/>
        <v>0.0775</v>
      </c>
      <c r="D287" s="116">
        <f>((1+'AP04'!$C287)^(1/12))-1</f>
        <v>0.006239681461</v>
      </c>
      <c r="E287" s="51">
        <f t="shared" si="127"/>
        <v>2089.154398</v>
      </c>
      <c r="F287" s="51">
        <f>(Q286*'AP04'!$R287)*'AP04'!$D287</f>
        <v>374.9852761</v>
      </c>
      <c r="G287" s="51">
        <f>(Q286*'AP04'!$R287)/($I$5-A286)</f>
        <v>682.918887</v>
      </c>
      <c r="H287" s="52">
        <f t="shared" ref="H287:L287" si="336">H286</f>
        <v>0</v>
      </c>
      <c r="I287" s="52">
        <f t="shared" si="336"/>
        <v>0</v>
      </c>
      <c r="J287" s="51">
        <f t="shared" si="336"/>
        <v>25</v>
      </c>
      <c r="K287" s="52">
        <f t="shared" si="336"/>
        <v>0</v>
      </c>
      <c r="L287" s="52">
        <f t="shared" si="336"/>
        <v>0</v>
      </c>
      <c r="M287" s="52"/>
      <c r="N287" s="85">
        <f>SUM('AP04'!$F287:$L287)</f>
        <v>1082.904163</v>
      </c>
      <c r="O287" s="51"/>
      <c r="P287" s="51">
        <f>Q286*('AP04'!$R287-1)</f>
        <v>0</v>
      </c>
      <c r="Q287" s="51">
        <f>(Q286*'AP04'!$R287)-'AP04'!$G287</f>
        <v>59413.94317</v>
      </c>
      <c r="R287" s="53">
        <f t="shared" si="149"/>
        <v>1</v>
      </c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56">
        <f t="shared" si="2"/>
        <v>274</v>
      </c>
      <c r="B288" s="50">
        <f t="shared" si="5"/>
        <v>51581</v>
      </c>
      <c r="C288" s="116">
        <f t="shared" si="126"/>
        <v>0.0775</v>
      </c>
      <c r="D288" s="116">
        <f>((1+'AP04'!$C288)^(1/12))-1</f>
        <v>0.006239681461</v>
      </c>
      <c r="E288" s="51">
        <f t="shared" si="127"/>
        <v>2089.154398</v>
      </c>
      <c r="F288" s="51">
        <f>(Q287*'AP04'!$R288)*'AP04'!$D288</f>
        <v>370.7240798</v>
      </c>
      <c r="G288" s="51">
        <f>(Q287*'AP04'!$R288)/($I$5-A287)</f>
        <v>682.918887</v>
      </c>
      <c r="H288" s="52">
        <f t="shared" ref="H288:L288" si="337">H287</f>
        <v>0</v>
      </c>
      <c r="I288" s="52">
        <f t="shared" si="337"/>
        <v>0</v>
      </c>
      <c r="J288" s="51">
        <f t="shared" si="337"/>
        <v>25</v>
      </c>
      <c r="K288" s="52">
        <f t="shared" si="337"/>
        <v>0</v>
      </c>
      <c r="L288" s="52">
        <f t="shared" si="337"/>
        <v>0</v>
      </c>
      <c r="M288" s="52"/>
      <c r="N288" s="85">
        <f>SUM('AP04'!$F288:$L288)</f>
        <v>1078.642967</v>
      </c>
      <c r="O288" s="51"/>
      <c r="P288" s="51">
        <f>Q287*('AP04'!$R288-1)</f>
        <v>0</v>
      </c>
      <c r="Q288" s="51">
        <f>(Q287*'AP04'!$R288)-'AP04'!$G288</f>
        <v>58731.02429</v>
      </c>
      <c r="R288" s="53">
        <f t="shared" si="149"/>
        <v>1</v>
      </c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56">
        <f t="shared" si="2"/>
        <v>275</v>
      </c>
      <c r="B289" s="50">
        <f t="shared" si="5"/>
        <v>51612</v>
      </c>
      <c r="C289" s="116">
        <f t="shared" si="126"/>
        <v>0.0775</v>
      </c>
      <c r="D289" s="116">
        <f>((1+'AP04'!$C289)^(1/12))-1</f>
        <v>0.006239681461</v>
      </c>
      <c r="E289" s="51">
        <f t="shared" si="127"/>
        <v>2089.154398</v>
      </c>
      <c r="F289" s="51">
        <f>(Q288*'AP04'!$R289)*'AP04'!$D289</f>
        <v>366.4628834</v>
      </c>
      <c r="G289" s="51">
        <f>(Q288*'AP04'!$R289)/($I$5-A288)</f>
        <v>682.918887</v>
      </c>
      <c r="H289" s="52">
        <f t="shared" ref="H289:L289" si="338">H288</f>
        <v>0</v>
      </c>
      <c r="I289" s="52">
        <f t="shared" si="338"/>
        <v>0</v>
      </c>
      <c r="J289" s="51">
        <f t="shared" si="338"/>
        <v>25</v>
      </c>
      <c r="K289" s="52">
        <f t="shared" si="338"/>
        <v>0</v>
      </c>
      <c r="L289" s="52">
        <f t="shared" si="338"/>
        <v>0</v>
      </c>
      <c r="M289" s="52"/>
      <c r="N289" s="85">
        <f>SUM('AP04'!$F289:$L289)</f>
        <v>1074.38177</v>
      </c>
      <c r="O289" s="51"/>
      <c r="P289" s="51">
        <f>Q288*('AP04'!$R289-1)</f>
        <v>0</v>
      </c>
      <c r="Q289" s="51">
        <f>(Q288*'AP04'!$R289)-'AP04'!$G289</f>
        <v>58048.1054</v>
      </c>
      <c r="R289" s="53">
        <f t="shared" si="149"/>
        <v>1</v>
      </c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56">
        <f t="shared" si="2"/>
        <v>276</v>
      </c>
      <c r="B290" s="50">
        <f t="shared" si="5"/>
        <v>51642</v>
      </c>
      <c r="C290" s="116">
        <f t="shared" si="126"/>
        <v>0.0775</v>
      </c>
      <c r="D290" s="116">
        <f>((1+'AP04'!$C290)^(1/12))-1</f>
        <v>0.006239681461</v>
      </c>
      <c r="E290" s="51">
        <f t="shared" si="127"/>
        <v>2089.154398</v>
      </c>
      <c r="F290" s="51">
        <f>(Q289*'AP04'!$R290)*'AP04'!$D290</f>
        <v>362.2016871</v>
      </c>
      <c r="G290" s="51">
        <f>(Q289*'AP04'!$R290)/($I$5-A289)</f>
        <v>682.918887</v>
      </c>
      <c r="H290" s="52">
        <f t="shared" ref="H290:L290" si="339">H289</f>
        <v>0</v>
      </c>
      <c r="I290" s="52">
        <f t="shared" si="339"/>
        <v>0</v>
      </c>
      <c r="J290" s="51">
        <f t="shared" si="339"/>
        <v>25</v>
      </c>
      <c r="K290" s="52">
        <f t="shared" si="339"/>
        <v>0</v>
      </c>
      <c r="L290" s="52">
        <f t="shared" si="339"/>
        <v>0</v>
      </c>
      <c r="M290" s="52"/>
      <c r="N290" s="85">
        <f>SUM('AP04'!$F290:$L290)</f>
        <v>1070.120574</v>
      </c>
      <c r="O290" s="51"/>
      <c r="P290" s="51">
        <f>Q289*('AP04'!$R290-1)</f>
        <v>0</v>
      </c>
      <c r="Q290" s="51">
        <f>(Q289*'AP04'!$R290)-'AP04'!$G290</f>
        <v>57365.18651</v>
      </c>
      <c r="R290" s="53">
        <f t="shared" si="149"/>
        <v>1</v>
      </c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56">
        <f t="shared" si="2"/>
        <v>277</v>
      </c>
      <c r="B291" s="50">
        <f t="shared" si="5"/>
        <v>51673</v>
      </c>
      <c r="C291" s="116">
        <f t="shared" si="126"/>
        <v>0.0775</v>
      </c>
      <c r="D291" s="116">
        <f>((1+'AP04'!$C291)^(1/12))-1</f>
        <v>0.006239681461</v>
      </c>
      <c r="E291" s="51">
        <f t="shared" si="127"/>
        <v>2089.154398</v>
      </c>
      <c r="F291" s="51">
        <f>(Q290*'AP04'!$R291)*'AP04'!$D291</f>
        <v>357.9404908</v>
      </c>
      <c r="G291" s="51">
        <f>(Q290*'AP04'!$R291)/($I$5-A290)</f>
        <v>682.918887</v>
      </c>
      <c r="H291" s="52">
        <f t="shared" ref="H291:L291" si="340">H290</f>
        <v>0</v>
      </c>
      <c r="I291" s="52">
        <f t="shared" si="340"/>
        <v>0</v>
      </c>
      <c r="J291" s="51">
        <f t="shared" si="340"/>
        <v>25</v>
      </c>
      <c r="K291" s="52">
        <f t="shared" si="340"/>
        <v>0</v>
      </c>
      <c r="L291" s="52">
        <f t="shared" si="340"/>
        <v>0</v>
      </c>
      <c r="M291" s="52"/>
      <c r="N291" s="85">
        <f>SUM('AP04'!$F291:$L291)</f>
        <v>1065.859378</v>
      </c>
      <c r="O291" s="51"/>
      <c r="P291" s="51">
        <f>Q290*('AP04'!$R291-1)</f>
        <v>0</v>
      </c>
      <c r="Q291" s="51">
        <f>(Q290*'AP04'!$R291)-'AP04'!$G291</f>
        <v>56682.26762</v>
      </c>
      <c r="R291" s="53">
        <f t="shared" si="149"/>
        <v>1</v>
      </c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56">
        <f t="shared" si="2"/>
        <v>278</v>
      </c>
      <c r="B292" s="50">
        <f t="shared" si="5"/>
        <v>51703</v>
      </c>
      <c r="C292" s="116">
        <f t="shared" si="126"/>
        <v>0.0775</v>
      </c>
      <c r="D292" s="116">
        <f>((1+'AP04'!$C292)^(1/12))-1</f>
        <v>0.006239681461</v>
      </c>
      <c r="E292" s="51">
        <f t="shared" si="127"/>
        <v>2089.154398</v>
      </c>
      <c r="F292" s="51">
        <f>(Q291*'AP04'!$R292)*'AP04'!$D292</f>
        <v>353.6792945</v>
      </c>
      <c r="G292" s="51">
        <f>(Q291*'AP04'!$R292)/($I$5-A291)</f>
        <v>682.918887</v>
      </c>
      <c r="H292" s="52">
        <f t="shared" ref="H292:L292" si="341">H291</f>
        <v>0</v>
      </c>
      <c r="I292" s="52">
        <f t="shared" si="341"/>
        <v>0</v>
      </c>
      <c r="J292" s="51">
        <f t="shared" si="341"/>
        <v>25</v>
      </c>
      <c r="K292" s="52">
        <f t="shared" si="341"/>
        <v>0</v>
      </c>
      <c r="L292" s="52">
        <f t="shared" si="341"/>
        <v>0</v>
      </c>
      <c r="M292" s="52"/>
      <c r="N292" s="85">
        <f>SUM('AP04'!$F292:$L292)</f>
        <v>1061.598182</v>
      </c>
      <c r="O292" s="51"/>
      <c r="P292" s="51">
        <f>Q291*('AP04'!$R292-1)</f>
        <v>0</v>
      </c>
      <c r="Q292" s="51">
        <f>(Q291*'AP04'!$R292)-'AP04'!$G292</f>
        <v>55999.34874</v>
      </c>
      <c r="R292" s="53">
        <f t="shared" si="149"/>
        <v>1</v>
      </c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56">
        <f t="shared" si="2"/>
        <v>279</v>
      </c>
      <c r="B293" s="50">
        <f t="shared" si="5"/>
        <v>51734</v>
      </c>
      <c r="C293" s="116">
        <f t="shared" si="126"/>
        <v>0.0775</v>
      </c>
      <c r="D293" s="116">
        <f>((1+'AP04'!$C293)^(1/12))-1</f>
        <v>0.006239681461</v>
      </c>
      <c r="E293" s="51">
        <f t="shared" si="127"/>
        <v>2089.154398</v>
      </c>
      <c r="F293" s="51">
        <f>(Q292*'AP04'!$R293)*'AP04'!$D293</f>
        <v>349.4180982</v>
      </c>
      <c r="G293" s="51">
        <f>(Q292*'AP04'!$R293)/($I$5-A292)</f>
        <v>682.918887</v>
      </c>
      <c r="H293" s="52">
        <f t="shared" ref="H293:L293" si="342">H292</f>
        <v>0</v>
      </c>
      <c r="I293" s="52">
        <f t="shared" si="342"/>
        <v>0</v>
      </c>
      <c r="J293" s="51">
        <f t="shared" si="342"/>
        <v>25</v>
      </c>
      <c r="K293" s="52">
        <f t="shared" si="342"/>
        <v>0</v>
      </c>
      <c r="L293" s="52">
        <f t="shared" si="342"/>
        <v>0</v>
      </c>
      <c r="M293" s="52"/>
      <c r="N293" s="85">
        <f>SUM('AP04'!$F293:$L293)</f>
        <v>1057.336985</v>
      </c>
      <c r="O293" s="51"/>
      <c r="P293" s="51">
        <f>Q292*('AP04'!$R293-1)</f>
        <v>0</v>
      </c>
      <c r="Q293" s="51">
        <f>(Q292*'AP04'!$R293)-'AP04'!$G293</f>
        <v>55316.42985</v>
      </c>
      <c r="R293" s="53">
        <f t="shared" si="149"/>
        <v>1</v>
      </c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56">
        <f t="shared" si="2"/>
        <v>280</v>
      </c>
      <c r="B294" s="50">
        <f t="shared" si="5"/>
        <v>51765</v>
      </c>
      <c r="C294" s="116">
        <f t="shared" si="126"/>
        <v>0.0775</v>
      </c>
      <c r="D294" s="116">
        <f>((1+'AP04'!$C294)^(1/12))-1</f>
        <v>0.006239681461</v>
      </c>
      <c r="E294" s="51">
        <f t="shared" si="127"/>
        <v>2089.154398</v>
      </c>
      <c r="F294" s="51">
        <f>(Q293*'AP04'!$R294)*'AP04'!$D294</f>
        <v>345.1569018</v>
      </c>
      <c r="G294" s="51">
        <f>(Q293*'AP04'!$R294)/($I$5-A293)</f>
        <v>682.918887</v>
      </c>
      <c r="H294" s="52">
        <f t="shared" ref="H294:L294" si="343">H293</f>
        <v>0</v>
      </c>
      <c r="I294" s="52">
        <f t="shared" si="343"/>
        <v>0</v>
      </c>
      <c r="J294" s="51">
        <f t="shared" si="343"/>
        <v>25</v>
      </c>
      <c r="K294" s="52">
        <f t="shared" si="343"/>
        <v>0</v>
      </c>
      <c r="L294" s="52">
        <f t="shared" si="343"/>
        <v>0</v>
      </c>
      <c r="M294" s="52"/>
      <c r="N294" s="85">
        <f>SUM('AP04'!$F294:$L294)</f>
        <v>1053.075789</v>
      </c>
      <c r="O294" s="51"/>
      <c r="P294" s="51">
        <f>Q293*('AP04'!$R294-1)</f>
        <v>0</v>
      </c>
      <c r="Q294" s="51">
        <f>(Q293*'AP04'!$R294)-'AP04'!$G294</f>
        <v>54633.51096</v>
      </c>
      <c r="R294" s="53">
        <f t="shared" si="149"/>
        <v>1</v>
      </c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56">
        <f t="shared" si="2"/>
        <v>281</v>
      </c>
      <c r="B295" s="50">
        <f t="shared" si="5"/>
        <v>51795</v>
      </c>
      <c r="C295" s="116">
        <f t="shared" si="126"/>
        <v>0.0775</v>
      </c>
      <c r="D295" s="116">
        <f>((1+'AP04'!$C295)^(1/12))-1</f>
        <v>0.006239681461</v>
      </c>
      <c r="E295" s="51">
        <f t="shared" si="127"/>
        <v>2089.154398</v>
      </c>
      <c r="F295" s="51">
        <f>(Q294*'AP04'!$R295)*'AP04'!$D295</f>
        <v>340.8957055</v>
      </c>
      <c r="G295" s="51">
        <f>(Q294*'AP04'!$R295)/($I$5-A294)</f>
        <v>682.918887</v>
      </c>
      <c r="H295" s="52">
        <f t="shared" ref="H295:L295" si="344">H294</f>
        <v>0</v>
      </c>
      <c r="I295" s="52">
        <f t="shared" si="344"/>
        <v>0</v>
      </c>
      <c r="J295" s="51">
        <f t="shared" si="344"/>
        <v>25</v>
      </c>
      <c r="K295" s="52">
        <f t="shared" si="344"/>
        <v>0</v>
      </c>
      <c r="L295" s="52">
        <f t="shared" si="344"/>
        <v>0</v>
      </c>
      <c r="M295" s="52"/>
      <c r="N295" s="85">
        <f>SUM('AP04'!$F295:$L295)</f>
        <v>1048.814593</v>
      </c>
      <c r="O295" s="51"/>
      <c r="P295" s="51">
        <f>Q294*('AP04'!$R295-1)</f>
        <v>0</v>
      </c>
      <c r="Q295" s="51">
        <f>(Q294*'AP04'!$R295)-'AP04'!$G295</f>
        <v>53950.59208</v>
      </c>
      <c r="R295" s="53">
        <f t="shared" si="149"/>
        <v>1</v>
      </c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56">
        <f t="shared" si="2"/>
        <v>282</v>
      </c>
      <c r="B296" s="50">
        <f t="shared" si="5"/>
        <v>51826</v>
      </c>
      <c r="C296" s="116">
        <f t="shared" si="126"/>
        <v>0.0775</v>
      </c>
      <c r="D296" s="116">
        <f>((1+'AP04'!$C296)^(1/12))-1</f>
        <v>0.006239681461</v>
      </c>
      <c r="E296" s="51">
        <f t="shared" si="127"/>
        <v>2089.154398</v>
      </c>
      <c r="F296" s="51">
        <f>(Q295*'AP04'!$R296)*'AP04'!$D296</f>
        <v>336.6345092</v>
      </c>
      <c r="G296" s="51">
        <f>(Q295*'AP04'!$R296)/($I$5-A295)</f>
        <v>682.918887</v>
      </c>
      <c r="H296" s="52">
        <f t="shared" ref="H296:L296" si="345">H295</f>
        <v>0</v>
      </c>
      <c r="I296" s="52">
        <f t="shared" si="345"/>
        <v>0</v>
      </c>
      <c r="J296" s="51">
        <f t="shared" si="345"/>
        <v>25</v>
      </c>
      <c r="K296" s="52">
        <f t="shared" si="345"/>
        <v>0</v>
      </c>
      <c r="L296" s="52">
        <f t="shared" si="345"/>
        <v>0</v>
      </c>
      <c r="M296" s="52"/>
      <c r="N296" s="85">
        <f>SUM('AP04'!$F296:$L296)</f>
        <v>1044.553396</v>
      </c>
      <c r="O296" s="51"/>
      <c r="P296" s="51">
        <f>Q295*('AP04'!$R296-1)</f>
        <v>0</v>
      </c>
      <c r="Q296" s="51">
        <f>(Q295*'AP04'!$R296)-'AP04'!$G296</f>
        <v>53267.67319</v>
      </c>
      <c r="R296" s="53">
        <f t="shared" si="149"/>
        <v>1</v>
      </c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56">
        <f t="shared" si="2"/>
        <v>283</v>
      </c>
      <c r="B297" s="50">
        <f t="shared" si="5"/>
        <v>51856</v>
      </c>
      <c r="C297" s="116">
        <f t="shared" si="126"/>
        <v>0.0775</v>
      </c>
      <c r="D297" s="116">
        <f>((1+'AP04'!$C297)^(1/12))-1</f>
        <v>0.006239681461</v>
      </c>
      <c r="E297" s="51">
        <f t="shared" si="127"/>
        <v>2089.154398</v>
      </c>
      <c r="F297" s="51">
        <f>(Q296*'AP04'!$R297)*'AP04'!$D297</f>
        <v>332.3733129</v>
      </c>
      <c r="G297" s="51">
        <f>(Q296*'AP04'!$R297)/($I$5-A296)</f>
        <v>682.918887</v>
      </c>
      <c r="H297" s="52">
        <f t="shared" ref="H297:L297" si="346">H296</f>
        <v>0</v>
      </c>
      <c r="I297" s="52">
        <f t="shared" si="346"/>
        <v>0</v>
      </c>
      <c r="J297" s="51">
        <f t="shared" si="346"/>
        <v>25</v>
      </c>
      <c r="K297" s="52">
        <f t="shared" si="346"/>
        <v>0</v>
      </c>
      <c r="L297" s="52">
        <f t="shared" si="346"/>
        <v>0</v>
      </c>
      <c r="M297" s="52"/>
      <c r="N297" s="85">
        <f>SUM('AP04'!$F297:$L297)</f>
        <v>1040.2922</v>
      </c>
      <c r="O297" s="51"/>
      <c r="P297" s="51">
        <f>Q296*('AP04'!$R297-1)</f>
        <v>0</v>
      </c>
      <c r="Q297" s="51">
        <f>(Q296*'AP04'!$R297)-'AP04'!$G297</f>
        <v>52584.7543</v>
      </c>
      <c r="R297" s="53">
        <f t="shared" si="149"/>
        <v>1</v>
      </c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56">
        <f t="shared" si="2"/>
        <v>284</v>
      </c>
      <c r="B298" s="50">
        <f t="shared" si="5"/>
        <v>51887</v>
      </c>
      <c r="C298" s="116">
        <f t="shared" si="126"/>
        <v>0.0775</v>
      </c>
      <c r="D298" s="116">
        <f>((1+'AP04'!$C298)^(1/12))-1</f>
        <v>0.006239681461</v>
      </c>
      <c r="E298" s="51">
        <f t="shared" si="127"/>
        <v>2089.154398</v>
      </c>
      <c r="F298" s="51">
        <f>(Q297*'AP04'!$R298)*'AP04'!$D298</f>
        <v>328.1121166</v>
      </c>
      <c r="G298" s="51">
        <f>(Q297*'AP04'!$R298)/($I$5-A297)</f>
        <v>682.918887</v>
      </c>
      <c r="H298" s="52">
        <f t="shared" ref="H298:L298" si="347">H297</f>
        <v>0</v>
      </c>
      <c r="I298" s="52">
        <f t="shared" si="347"/>
        <v>0</v>
      </c>
      <c r="J298" s="51">
        <f t="shared" si="347"/>
        <v>25</v>
      </c>
      <c r="K298" s="52">
        <f t="shared" si="347"/>
        <v>0</v>
      </c>
      <c r="L298" s="52">
        <f t="shared" si="347"/>
        <v>0</v>
      </c>
      <c r="M298" s="52"/>
      <c r="N298" s="85">
        <f>SUM('AP04'!$F298:$L298)</f>
        <v>1036.031004</v>
      </c>
      <c r="O298" s="51"/>
      <c r="P298" s="51">
        <f>Q297*('AP04'!$R298-1)</f>
        <v>0</v>
      </c>
      <c r="Q298" s="51">
        <f>(Q297*'AP04'!$R298)-'AP04'!$G298</f>
        <v>51901.83542</v>
      </c>
      <c r="R298" s="53">
        <f t="shared" si="149"/>
        <v>1</v>
      </c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56">
        <f t="shared" si="2"/>
        <v>285</v>
      </c>
      <c r="B299" s="50">
        <f t="shared" si="5"/>
        <v>51918</v>
      </c>
      <c r="C299" s="116">
        <f t="shared" si="126"/>
        <v>0.0775</v>
      </c>
      <c r="D299" s="116">
        <f>((1+'AP04'!$C299)^(1/12))-1</f>
        <v>0.006239681461</v>
      </c>
      <c r="E299" s="51">
        <f t="shared" si="127"/>
        <v>2089.154398</v>
      </c>
      <c r="F299" s="51">
        <f>(Q298*'AP04'!$R299)*'AP04'!$D299</f>
        <v>323.8509202</v>
      </c>
      <c r="G299" s="51">
        <f>(Q298*'AP04'!$R299)/($I$5-A298)</f>
        <v>682.918887</v>
      </c>
      <c r="H299" s="52">
        <f t="shared" ref="H299:L299" si="348">H298</f>
        <v>0</v>
      </c>
      <c r="I299" s="52">
        <f t="shared" si="348"/>
        <v>0</v>
      </c>
      <c r="J299" s="51">
        <f t="shared" si="348"/>
        <v>25</v>
      </c>
      <c r="K299" s="52">
        <f t="shared" si="348"/>
        <v>0</v>
      </c>
      <c r="L299" s="52">
        <f t="shared" si="348"/>
        <v>0</v>
      </c>
      <c r="M299" s="52"/>
      <c r="N299" s="85">
        <f>SUM('AP04'!$F299:$L299)</f>
        <v>1031.769807</v>
      </c>
      <c r="O299" s="51"/>
      <c r="P299" s="51">
        <f>Q298*('AP04'!$R299-1)</f>
        <v>0</v>
      </c>
      <c r="Q299" s="51">
        <f>(Q298*'AP04'!$R299)-'AP04'!$G299</f>
        <v>51218.91653</v>
      </c>
      <c r="R299" s="53">
        <f t="shared" si="149"/>
        <v>1</v>
      </c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56">
        <f t="shared" si="2"/>
        <v>286</v>
      </c>
      <c r="B300" s="50">
        <f t="shared" si="5"/>
        <v>51946</v>
      </c>
      <c r="C300" s="116">
        <f t="shared" si="126"/>
        <v>0.0775</v>
      </c>
      <c r="D300" s="116">
        <f>((1+'AP04'!$C300)^(1/12))-1</f>
        <v>0.006239681461</v>
      </c>
      <c r="E300" s="51">
        <f t="shared" si="127"/>
        <v>2089.154398</v>
      </c>
      <c r="F300" s="51">
        <f>(Q299*'AP04'!$R300)*'AP04'!$D300</f>
        <v>319.5897239</v>
      </c>
      <c r="G300" s="51">
        <f>(Q299*'AP04'!$R300)/($I$5-A299)</f>
        <v>682.918887</v>
      </c>
      <c r="H300" s="52">
        <f t="shared" ref="H300:L300" si="349">H299</f>
        <v>0</v>
      </c>
      <c r="I300" s="52">
        <f t="shared" si="349"/>
        <v>0</v>
      </c>
      <c r="J300" s="51">
        <f t="shared" si="349"/>
        <v>25</v>
      </c>
      <c r="K300" s="52">
        <f t="shared" si="349"/>
        <v>0</v>
      </c>
      <c r="L300" s="52">
        <f t="shared" si="349"/>
        <v>0</v>
      </c>
      <c r="M300" s="52"/>
      <c r="N300" s="85">
        <f>SUM('AP04'!$F300:$L300)</f>
        <v>1027.508611</v>
      </c>
      <c r="O300" s="51"/>
      <c r="P300" s="51">
        <f>Q299*('AP04'!$R300-1)</f>
        <v>0</v>
      </c>
      <c r="Q300" s="51">
        <f>(Q299*'AP04'!$R300)-'AP04'!$G300</f>
        <v>50535.99764</v>
      </c>
      <c r="R300" s="53">
        <f t="shared" si="149"/>
        <v>1</v>
      </c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56">
        <f t="shared" si="2"/>
        <v>287</v>
      </c>
      <c r="B301" s="50">
        <f t="shared" si="5"/>
        <v>51977</v>
      </c>
      <c r="C301" s="116">
        <f t="shared" si="126"/>
        <v>0.0775</v>
      </c>
      <c r="D301" s="116">
        <f>((1+'AP04'!$C301)^(1/12))-1</f>
        <v>0.006239681461</v>
      </c>
      <c r="E301" s="51">
        <f t="shared" si="127"/>
        <v>2089.154398</v>
      </c>
      <c r="F301" s="51">
        <f>(Q300*'AP04'!$R301)*'AP04'!$D301</f>
        <v>315.3285276</v>
      </c>
      <c r="G301" s="51">
        <f>(Q300*'AP04'!$R301)/($I$5-A300)</f>
        <v>682.918887</v>
      </c>
      <c r="H301" s="52">
        <f t="shared" ref="H301:L301" si="350">H300</f>
        <v>0</v>
      </c>
      <c r="I301" s="52">
        <f t="shared" si="350"/>
        <v>0</v>
      </c>
      <c r="J301" s="51">
        <f t="shared" si="350"/>
        <v>25</v>
      </c>
      <c r="K301" s="52">
        <f t="shared" si="350"/>
        <v>0</v>
      </c>
      <c r="L301" s="52">
        <f t="shared" si="350"/>
        <v>0</v>
      </c>
      <c r="M301" s="52"/>
      <c r="N301" s="85">
        <f>SUM('AP04'!$F301:$L301)</f>
        <v>1023.247415</v>
      </c>
      <c r="O301" s="51"/>
      <c r="P301" s="51">
        <f>Q300*('AP04'!$R301-1)</f>
        <v>0</v>
      </c>
      <c r="Q301" s="51">
        <f>(Q300*'AP04'!$R301)-'AP04'!$G301</f>
        <v>49853.07875</v>
      </c>
      <c r="R301" s="53">
        <f t="shared" si="149"/>
        <v>1</v>
      </c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56">
        <f t="shared" si="2"/>
        <v>288</v>
      </c>
      <c r="B302" s="50">
        <f t="shared" si="5"/>
        <v>52007</v>
      </c>
      <c r="C302" s="116">
        <f t="shared" si="126"/>
        <v>0.0775</v>
      </c>
      <c r="D302" s="116">
        <f>((1+'AP04'!$C302)^(1/12))-1</f>
        <v>0.006239681461</v>
      </c>
      <c r="E302" s="51">
        <f t="shared" si="127"/>
        <v>2089.154398</v>
      </c>
      <c r="F302" s="51">
        <f>(Q301*'AP04'!$R302)*'AP04'!$D302</f>
        <v>311.0673313</v>
      </c>
      <c r="G302" s="51">
        <f>(Q301*'AP04'!$R302)/($I$5-A301)</f>
        <v>682.918887</v>
      </c>
      <c r="H302" s="52">
        <f t="shared" ref="H302:L302" si="351">H301</f>
        <v>0</v>
      </c>
      <c r="I302" s="52">
        <f t="shared" si="351"/>
        <v>0</v>
      </c>
      <c r="J302" s="51">
        <f t="shared" si="351"/>
        <v>25</v>
      </c>
      <c r="K302" s="52">
        <f t="shared" si="351"/>
        <v>0</v>
      </c>
      <c r="L302" s="52">
        <f t="shared" si="351"/>
        <v>0</v>
      </c>
      <c r="M302" s="52"/>
      <c r="N302" s="85">
        <f>SUM('AP04'!$F302:$L302)</f>
        <v>1018.986218</v>
      </c>
      <c r="O302" s="51"/>
      <c r="P302" s="51">
        <f>Q301*('AP04'!$R302-1)</f>
        <v>0</v>
      </c>
      <c r="Q302" s="51">
        <f>(Q301*'AP04'!$R302)-'AP04'!$G302</f>
        <v>49170.15987</v>
      </c>
      <c r="R302" s="53">
        <f t="shared" si="149"/>
        <v>1</v>
      </c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56">
        <f t="shared" si="2"/>
        <v>289</v>
      </c>
      <c r="B303" s="50">
        <f t="shared" si="5"/>
        <v>52038</v>
      </c>
      <c r="C303" s="116">
        <f t="shared" si="126"/>
        <v>0.0775</v>
      </c>
      <c r="D303" s="116">
        <f>((1+'AP04'!$C303)^(1/12))-1</f>
        <v>0.006239681461</v>
      </c>
      <c r="E303" s="51">
        <f t="shared" si="127"/>
        <v>2089.154398</v>
      </c>
      <c r="F303" s="51">
        <f>(Q302*'AP04'!$R303)*'AP04'!$D303</f>
        <v>306.806135</v>
      </c>
      <c r="G303" s="51">
        <f>(Q302*'AP04'!$R303)/($I$5-A302)</f>
        <v>682.918887</v>
      </c>
      <c r="H303" s="52">
        <f t="shared" ref="H303:L303" si="352">H302</f>
        <v>0</v>
      </c>
      <c r="I303" s="52">
        <f t="shared" si="352"/>
        <v>0</v>
      </c>
      <c r="J303" s="51">
        <f t="shared" si="352"/>
        <v>25</v>
      </c>
      <c r="K303" s="52">
        <f t="shared" si="352"/>
        <v>0</v>
      </c>
      <c r="L303" s="52">
        <f t="shared" si="352"/>
        <v>0</v>
      </c>
      <c r="M303" s="52"/>
      <c r="N303" s="85">
        <f>SUM('AP04'!$F303:$L303)</f>
        <v>1014.725022</v>
      </c>
      <c r="O303" s="51"/>
      <c r="P303" s="51">
        <f>Q302*('AP04'!$R303-1)</f>
        <v>0</v>
      </c>
      <c r="Q303" s="51">
        <f>(Q302*'AP04'!$R303)-'AP04'!$G303</f>
        <v>48487.24098</v>
      </c>
      <c r="R303" s="53">
        <f t="shared" si="149"/>
        <v>1</v>
      </c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56">
        <f t="shared" si="2"/>
        <v>290</v>
      </c>
      <c r="B304" s="50">
        <f t="shared" si="5"/>
        <v>52068</v>
      </c>
      <c r="C304" s="116">
        <f t="shared" si="126"/>
        <v>0.0775</v>
      </c>
      <c r="D304" s="116">
        <f>((1+'AP04'!$C304)^(1/12))-1</f>
        <v>0.006239681461</v>
      </c>
      <c r="E304" s="51">
        <f t="shared" si="127"/>
        <v>2089.154398</v>
      </c>
      <c r="F304" s="51">
        <f>(Q303*'AP04'!$R304)*'AP04'!$D304</f>
        <v>302.5449387</v>
      </c>
      <c r="G304" s="51">
        <f>(Q303*'AP04'!$R304)/($I$5-A303)</f>
        <v>682.918887</v>
      </c>
      <c r="H304" s="52">
        <f t="shared" ref="H304:L304" si="353">H303</f>
        <v>0</v>
      </c>
      <c r="I304" s="52">
        <f t="shared" si="353"/>
        <v>0</v>
      </c>
      <c r="J304" s="51">
        <f t="shared" si="353"/>
        <v>25</v>
      </c>
      <c r="K304" s="52">
        <f t="shared" si="353"/>
        <v>0</v>
      </c>
      <c r="L304" s="52">
        <f t="shared" si="353"/>
        <v>0</v>
      </c>
      <c r="M304" s="52"/>
      <c r="N304" s="85">
        <f>SUM('AP04'!$F304:$L304)</f>
        <v>1010.463826</v>
      </c>
      <c r="O304" s="51"/>
      <c r="P304" s="51">
        <f>Q303*('AP04'!$R304-1)</f>
        <v>0</v>
      </c>
      <c r="Q304" s="51">
        <f>(Q303*'AP04'!$R304)-'AP04'!$G304</f>
        <v>47804.32209</v>
      </c>
      <c r="R304" s="53">
        <f t="shared" si="149"/>
        <v>1</v>
      </c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56">
        <f t="shared" si="2"/>
        <v>291</v>
      </c>
      <c r="B305" s="50">
        <f t="shared" si="5"/>
        <v>52099</v>
      </c>
      <c r="C305" s="116">
        <f t="shared" si="126"/>
        <v>0.0775</v>
      </c>
      <c r="D305" s="116">
        <f>((1+'AP04'!$C305)^(1/12))-1</f>
        <v>0.006239681461</v>
      </c>
      <c r="E305" s="51">
        <f t="shared" si="127"/>
        <v>2089.154398</v>
      </c>
      <c r="F305" s="51">
        <f>(Q304*'AP04'!$R305)*'AP04'!$D305</f>
        <v>298.2837423</v>
      </c>
      <c r="G305" s="51">
        <f>(Q304*'AP04'!$R305)/($I$5-A304)</f>
        <v>682.918887</v>
      </c>
      <c r="H305" s="52">
        <f t="shared" ref="H305:L305" si="354">H304</f>
        <v>0</v>
      </c>
      <c r="I305" s="52">
        <f t="shared" si="354"/>
        <v>0</v>
      </c>
      <c r="J305" s="51">
        <f t="shared" si="354"/>
        <v>25</v>
      </c>
      <c r="K305" s="52">
        <f t="shared" si="354"/>
        <v>0</v>
      </c>
      <c r="L305" s="52">
        <f t="shared" si="354"/>
        <v>0</v>
      </c>
      <c r="M305" s="52"/>
      <c r="N305" s="85">
        <f>SUM('AP04'!$F305:$L305)</f>
        <v>1006.202629</v>
      </c>
      <c r="O305" s="51"/>
      <c r="P305" s="51">
        <f>Q304*('AP04'!$R305-1)</f>
        <v>0</v>
      </c>
      <c r="Q305" s="51">
        <f>(Q304*'AP04'!$R305)-'AP04'!$G305</f>
        <v>47121.40321</v>
      </c>
      <c r="R305" s="53">
        <f t="shared" si="149"/>
        <v>1</v>
      </c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56">
        <f t="shared" si="2"/>
        <v>292</v>
      </c>
      <c r="B306" s="50">
        <f t="shared" si="5"/>
        <v>52130</v>
      </c>
      <c r="C306" s="116">
        <f t="shared" si="126"/>
        <v>0.0775</v>
      </c>
      <c r="D306" s="116">
        <f>((1+'AP04'!$C306)^(1/12))-1</f>
        <v>0.006239681461</v>
      </c>
      <c r="E306" s="51">
        <f t="shared" si="127"/>
        <v>2089.154398</v>
      </c>
      <c r="F306" s="51">
        <f>(Q305*'AP04'!$R306)*'AP04'!$D306</f>
        <v>294.022546</v>
      </c>
      <c r="G306" s="51">
        <f>(Q305*'AP04'!$R306)/($I$5-A305)</f>
        <v>682.918887</v>
      </c>
      <c r="H306" s="52">
        <f t="shared" ref="H306:L306" si="355">H305</f>
        <v>0</v>
      </c>
      <c r="I306" s="52">
        <f t="shared" si="355"/>
        <v>0</v>
      </c>
      <c r="J306" s="51">
        <f t="shared" si="355"/>
        <v>25</v>
      </c>
      <c r="K306" s="52">
        <f t="shared" si="355"/>
        <v>0</v>
      </c>
      <c r="L306" s="52">
        <f t="shared" si="355"/>
        <v>0</v>
      </c>
      <c r="M306" s="52"/>
      <c r="N306" s="85">
        <f>SUM('AP04'!$F306:$L306)</f>
        <v>1001.941433</v>
      </c>
      <c r="O306" s="51"/>
      <c r="P306" s="51">
        <f>Q305*('AP04'!$R306-1)</f>
        <v>0</v>
      </c>
      <c r="Q306" s="51">
        <f>(Q305*'AP04'!$R306)-'AP04'!$G306</f>
        <v>46438.48432</v>
      </c>
      <c r="R306" s="53">
        <f t="shared" si="149"/>
        <v>1</v>
      </c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56">
        <f t="shared" si="2"/>
        <v>293</v>
      </c>
      <c r="B307" s="50">
        <f t="shared" si="5"/>
        <v>52160</v>
      </c>
      <c r="C307" s="116">
        <f t="shared" si="126"/>
        <v>0.0775</v>
      </c>
      <c r="D307" s="116">
        <f>((1+'AP04'!$C307)^(1/12))-1</f>
        <v>0.006239681461</v>
      </c>
      <c r="E307" s="51">
        <f t="shared" si="127"/>
        <v>2089.154398</v>
      </c>
      <c r="F307" s="51">
        <f>(Q306*'AP04'!$R307)*'AP04'!$D307</f>
        <v>289.7613497</v>
      </c>
      <c r="G307" s="51">
        <f>(Q306*'AP04'!$R307)/($I$5-A306)</f>
        <v>682.918887</v>
      </c>
      <c r="H307" s="52">
        <f t="shared" ref="H307:L307" si="356">H306</f>
        <v>0</v>
      </c>
      <c r="I307" s="52">
        <f t="shared" si="356"/>
        <v>0</v>
      </c>
      <c r="J307" s="51">
        <f t="shared" si="356"/>
        <v>25</v>
      </c>
      <c r="K307" s="52">
        <f t="shared" si="356"/>
        <v>0</v>
      </c>
      <c r="L307" s="52">
        <f t="shared" si="356"/>
        <v>0</v>
      </c>
      <c r="M307" s="52"/>
      <c r="N307" s="85">
        <f>SUM('AP04'!$F307:$L307)</f>
        <v>997.6802367</v>
      </c>
      <c r="O307" s="51"/>
      <c r="P307" s="51">
        <f>Q306*('AP04'!$R307-1)</f>
        <v>0</v>
      </c>
      <c r="Q307" s="51">
        <f>(Q306*'AP04'!$R307)-'AP04'!$G307</f>
        <v>45755.56543</v>
      </c>
      <c r="R307" s="53">
        <f t="shared" si="149"/>
        <v>1</v>
      </c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56">
        <f t="shared" si="2"/>
        <v>294</v>
      </c>
      <c r="B308" s="50">
        <f t="shared" si="5"/>
        <v>52191</v>
      </c>
      <c r="C308" s="116">
        <f t="shared" si="126"/>
        <v>0.0775</v>
      </c>
      <c r="D308" s="116">
        <f>((1+'AP04'!$C308)^(1/12))-1</f>
        <v>0.006239681461</v>
      </c>
      <c r="E308" s="51">
        <f t="shared" si="127"/>
        <v>2089.154398</v>
      </c>
      <c r="F308" s="51">
        <f>(Q307*'AP04'!$R308)*'AP04'!$D308</f>
        <v>285.5001534</v>
      </c>
      <c r="G308" s="51">
        <f>(Q307*'AP04'!$R308)/($I$5-A307)</f>
        <v>682.918887</v>
      </c>
      <c r="H308" s="52">
        <f t="shared" ref="H308:L308" si="357">H307</f>
        <v>0</v>
      </c>
      <c r="I308" s="52">
        <f t="shared" si="357"/>
        <v>0</v>
      </c>
      <c r="J308" s="51">
        <f t="shared" si="357"/>
        <v>25</v>
      </c>
      <c r="K308" s="52">
        <f t="shared" si="357"/>
        <v>0</v>
      </c>
      <c r="L308" s="52">
        <f t="shared" si="357"/>
        <v>0</v>
      </c>
      <c r="M308" s="52"/>
      <c r="N308" s="85">
        <f>SUM('AP04'!$F308:$L308)</f>
        <v>993.4190404</v>
      </c>
      <c r="O308" s="51"/>
      <c r="P308" s="51">
        <f>Q307*('AP04'!$R308-1)</f>
        <v>0</v>
      </c>
      <c r="Q308" s="51">
        <f>(Q307*'AP04'!$R308)-'AP04'!$G308</f>
        <v>45072.64654</v>
      </c>
      <c r="R308" s="53">
        <f t="shared" si="149"/>
        <v>1</v>
      </c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56">
        <f t="shared" si="2"/>
        <v>295</v>
      </c>
      <c r="B309" s="50">
        <f t="shared" si="5"/>
        <v>52221</v>
      </c>
      <c r="C309" s="116">
        <f t="shared" si="126"/>
        <v>0.0775</v>
      </c>
      <c r="D309" s="116">
        <f>((1+'AP04'!$C309)^(1/12))-1</f>
        <v>0.006239681461</v>
      </c>
      <c r="E309" s="51">
        <f t="shared" si="127"/>
        <v>2089.154398</v>
      </c>
      <c r="F309" s="51">
        <f>(Q308*'AP04'!$R309)*'AP04'!$D309</f>
        <v>281.2389571</v>
      </c>
      <c r="G309" s="51">
        <f>(Q308*'AP04'!$R309)/($I$5-A308)</f>
        <v>682.918887</v>
      </c>
      <c r="H309" s="52">
        <f t="shared" ref="H309:L309" si="358">H308</f>
        <v>0</v>
      </c>
      <c r="I309" s="52">
        <f t="shared" si="358"/>
        <v>0</v>
      </c>
      <c r="J309" s="51">
        <f t="shared" si="358"/>
        <v>25</v>
      </c>
      <c r="K309" s="52">
        <f t="shared" si="358"/>
        <v>0</v>
      </c>
      <c r="L309" s="52">
        <f t="shared" si="358"/>
        <v>0</v>
      </c>
      <c r="M309" s="52"/>
      <c r="N309" s="85">
        <f>SUM('AP04'!$F309:$L309)</f>
        <v>989.1578441</v>
      </c>
      <c r="O309" s="51"/>
      <c r="P309" s="51">
        <f>Q308*('AP04'!$R309-1)</f>
        <v>0</v>
      </c>
      <c r="Q309" s="51">
        <f>(Q308*'AP04'!$R309)-'AP04'!$G309</f>
        <v>44389.72766</v>
      </c>
      <c r="R309" s="53">
        <f t="shared" si="149"/>
        <v>1</v>
      </c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56">
        <f t="shared" si="2"/>
        <v>296</v>
      </c>
      <c r="B310" s="50">
        <f t="shared" si="5"/>
        <v>52252</v>
      </c>
      <c r="C310" s="116">
        <f t="shared" si="126"/>
        <v>0.0775</v>
      </c>
      <c r="D310" s="116">
        <f>((1+'AP04'!$C310)^(1/12))-1</f>
        <v>0.006239681461</v>
      </c>
      <c r="E310" s="51">
        <f t="shared" si="127"/>
        <v>2089.154398</v>
      </c>
      <c r="F310" s="51">
        <f>(Q309*'AP04'!$R310)*'AP04'!$D310</f>
        <v>276.9777607</v>
      </c>
      <c r="G310" s="51">
        <f>(Q309*'AP04'!$R310)/($I$5-A309)</f>
        <v>682.918887</v>
      </c>
      <c r="H310" s="52">
        <f t="shared" ref="H310:L310" si="359">H309</f>
        <v>0</v>
      </c>
      <c r="I310" s="52">
        <f t="shared" si="359"/>
        <v>0</v>
      </c>
      <c r="J310" s="51">
        <f t="shared" si="359"/>
        <v>25</v>
      </c>
      <c r="K310" s="52">
        <f t="shared" si="359"/>
        <v>0</v>
      </c>
      <c r="L310" s="52">
        <f t="shared" si="359"/>
        <v>0</v>
      </c>
      <c r="M310" s="52"/>
      <c r="N310" s="85">
        <f>SUM('AP04'!$F310:$L310)</f>
        <v>984.8966478</v>
      </c>
      <c r="O310" s="51"/>
      <c r="P310" s="51">
        <f>Q309*('AP04'!$R310-1)</f>
        <v>0</v>
      </c>
      <c r="Q310" s="51">
        <f>(Q309*'AP04'!$R310)-'AP04'!$G310</f>
        <v>43706.80877</v>
      </c>
      <c r="R310" s="53">
        <f t="shared" si="149"/>
        <v>1</v>
      </c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56">
        <f t="shared" si="2"/>
        <v>297</v>
      </c>
      <c r="B311" s="50">
        <f t="shared" si="5"/>
        <v>52283</v>
      </c>
      <c r="C311" s="116">
        <f t="shared" si="126"/>
        <v>0.0775</v>
      </c>
      <c r="D311" s="116">
        <f>((1+'AP04'!$C311)^(1/12))-1</f>
        <v>0.006239681461</v>
      </c>
      <c r="E311" s="51">
        <f t="shared" si="127"/>
        <v>2089.154398</v>
      </c>
      <c r="F311" s="51">
        <f>(Q310*'AP04'!$R311)*'AP04'!$D311</f>
        <v>272.7165644</v>
      </c>
      <c r="G311" s="51">
        <f>(Q310*'AP04'!$R311)/($I$5-A310)</f>
        <v>682.918887</v>
      </c>
      <c r="H311" s="52">
        <f t="shared" ref="H311:L311" si="360">H310</f>
        <v>0</v>
      </c>
      <c r="I311" s="52">
        <f t="shared" si="360"/>
        <v>0</v>
      </c>
      <c r="J311" s="51">
        <f t="shared" si="360"/>
        <v>25</v>
      </c>
      <c r="K311" s="52">
        <f t="shared" si="360"/>
        <v>0</v>
      </c>
      <c r="L311" s="52">
        <f t="shared" si="360"/>
        <v>0</v>
      </c>
      <c r="M311" s="52"/>
      <c r="N311" s="85">
        <f>SUM('AP04'!$F311:$L311)</f>
        <v>980.6354515</v>
      </c>
      <c r="O311" s="51"/>
      <c r="P311" s="51">
        <f>Q310*('AP04'!$R311-1)</f>
        <v>0</v>
      </c>
      <c r="Q311" s="51">
        <f>(Q310*'AP04'!$R311)-'AP04'!$G311</f>
        <v>43023.88988</v>
      </c>
      <c r="R311" s="53">
        <f t="shared" si="149"/>
        <v>1</v>
      </c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56">
        <f t="shared" si="2"/>
        <v>298</v>
      </c>
      <c r="B312" s="50">
        <f t="shared" si="5"/>
        <v>52311</v>
      </c>
      <c r="C312" s="116">
        <f t="shared" si="126"/>
        <v>0.0775</v>
      </c>
      <c r="D312" s="116">
        <f>((1+'AP04'!$C312)^(1/12))-1</f>
        <v>0.006239681461</v>
      </c>
      <c r="E312" s="51">
        <f t="shared" si="127"/>
        <v>2089.154398</v>
      </c>
      <c r="F312" s="51">
        <f>(Q311*'AP04'!$R312)*'AP04'!$D312</f>
        <v>268.4553681</v>
      </c>
      <c r="G312" s="51">
        <f>(Q311*'AP04'!$R312)/($I$5-A311)</f>
        <v>682.918887</v>
      </c>
      <c r="H312" s="52">
        <f t="shared" ref="H312:L312" si="361">H311</f>
        <v>0</v>
      </c>
      <c r="I312" s="52">
        <f t="shared" si="361"/>
        <v>0</v>
      </c>
      <c r="J312" s="51">
        <f t="shared" si="361"/>
        <v>25</v>
      </c>
      <c r="K312" s="52">
        <f t="shared" si="361"/>
        <v>0</v>
      </c>
      <c r="L312" s="52">
        <f t="shared" si="361"/>
        <v>0</v>
      </c>
      <c r="M312" s="52"/>
      <c r="N312" s="85">
        <f>SUM('AP04'!$F312:$L312)</f>
        <v>976.3742551</v>
      </c>
      <c r="O312" s="51"/>
      <c r="P312" s="51">
        <f>Q311*('AP04'!$R312-1)</f>
        <v>0</v>
      </c>
      <c r="Q312" s="51">
        <f>(Q311*'AP04'!$R312)-'AP04'!$G312</f>
        <v>42340.971</v>
      </c>
      <c r="R312" s="53">
        <f t="shared" si="149"/>
        <v>1</v>
      </c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56">
        <f t="shared" si="2"/>
        <v>299</v>
      </c>
      <c r="B313" s="50">
        <f t="shared" si="5"/>
        <v>52342</v>
      </c>
      <c r="C313" s="116">
        <f t="shared" si="126"/>
        <v>0.0775</v>
      </c>
      <c r="D313" s="116">
        <f>((1+'AP04'!$C313)^(1/12))-1</f>
        <v>0.006239681461</v>
      </c>
      <c r="E313" s="51">
        <f t="shared" si="127"/>
        <v>2089.154398</v>
      </c>
      <c r="F313" s="51">
        <f>(Q312*'AP04'!$R313)*'AP04'!$D313</f>
        <v>264.1941718</v>
      </c>
      <c r="G313" s="51">
        <f>(Q312*'AP04'!$R313)/($I$5-A312)</f>
        <v>682.918887</v>
      </c>
      <c r="H313" s="52">
        <f t="shared" ref="H313:L313" si="362">H312</f>
        <v>0</v>
      </c>
      <c r="I313" s="52">
        <f t="shared" si="362"/>
        <v>0</v>
      </c>
      <c r="J313" s="51">
        <f t="shared" si="362"/>
        <v>25</v>
      </c>
      <c r="K313" s="52">
        <f t="shared" si="362"/>
        <v>0</v>
      </c>
      <c r="L313" s="52">
        <f t="shared" si="362"/>
        <v>0</v>
      </c>
      <c r="M313" s="52"/>
      <c r="N313" s="85">
        <f>SUM('AP04'!$F313:$L313)</f>
        <v>972.1130588</v>
      </c>
      <c r="O313" s="51"/>
      <c r="P313" s="51">
        <f>Q312*('AP04'!$R313-1)</f>
        <v>0</v>
      </c>
      <c r="Q313" s="51">
        <f>(Q312*'AP04'!$R313)-'AP04'!$G313</f>
        <v>41658.05211</v>
      </c>
      <c r="R313" s="53">
        <f t="shared" si="149"/>
        <v>1</v>
      </c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56">
        <f t="shared" si="2"/>
        <v>300</v>
      </c>
      <c r="B314" s="50">
        <f t="shared" si="5"/>
        <v>52372</v>
      </c>
      <c r="C314" s="116">
        <f t="shared" si="126"/>
        <v>0.0775</v>
      </c>
      <c r="D314" s="116">
        <f>((1+'AP04'!$C314)^(1/12))-1</f>
        <v>0.006239681461</v>
      </c>
      <c r="E314" s="51">
        <f t="shared" si="127"/>
        <v>2089.154398</v>
      </c>
      <c r="F314" s="51">
        <f>(Q313*'AP04'!$R314)*'AP04'!$D314</f>
        <v>259.9329755</v>
      </c>
      <c r="G314" s="51">
        <f>(Q313*'AP04'!$R314)/($I$5-A313)</f>
        <v>682.918887</v>
      </c>
      <c r="H314" s="52">
        <f t="shared" ref="H314:L314" si="363">H313</f>
        <v>0</v>
      </c>
      <c r="I314" s="52">
        <f t="shared" si="363"/>
        <v>0</v>
      </c>
      <c r="J314" s="51">
        <f t="shared" si="363"/>
        <v>25</v>
      </c>
      <c r="K314" s="52">
        <f t="shared" si="363"/>
        <v>0</v>
      </c>
      <c r="L314" s="52">
        <f t="shared" si="363"/>
        <v>0</v>
      </c>
      <c r="M314" s="52"/>
      <c r="N314" s="85">
        <f>SUM('AP04'!$F314:$L314)</f>
        <v>967.8518625</v>
      </c>
      <c r="O314" s="51"/>
      <c r="P314" s="51">
        <f>Q313*('AP04'!$R314-1)</f>
        <v>0</v>
      </c>
      <c r="Q314" s="51">
        <f>(Q313*'AP04'!$R314)-'AP04'!$G314</f>
        <v>40975.13322</v>
      </c>
      <c r="R314" s="53">
        <f t="shared" si="149"/>
        <v>1</v>
      </c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56">
        <f t="shared" si="2"/>
        <v>301</v>
      </c>
      <c r="B315" s="50">
        <f t="shared" si="5"/>
        <v>52403</v>
      </c>
      <c r="C315" s="116">
        <f t="shared" si="126"/>
        <v>0.0775</v>
      </c>
      <c r="D315" s="116">
        <f>((1+'AP04'!$C315)^(1/12))-1</f>
        <v>0.006239681461</v>
      </c>
      <c r="E315" s="51">
        <f t="shared" si="127"/>
        <v>2089.154398</v>
      </c>
      <c r="F315" s="51">
        <f>(Q314*'AP04'!$R315)*'AP04'!$D315</f>
        <v>255.6717791</v>
      </c>
      <c r="G315" s="51">
        <f>(Q314*'AP04'!$R315)/($I$5-A314)</f>
        <v>682.918887</v>
      </c>
      <c r="H315" s="52">
        <f t="shared" ref="H315:L315" si="364">H314</f>
        <v>0</v>
      </c>
      <c r="I315" s="52">
        <f t="shared" si="364"/>
        <v>0</v>
      </c>
      <c r="J315" s="51">
        <f t="shared" si="364"/>
        <v>25</v>
      </c>
      <c r="K315" s="52">
        <f t="shared" si="364"/>
        <v>0</v>
      </c>
      <c r="L315" s="52">
        <f t="shared" si="364"/>
        <v>0</v>
      </c>
      <c r="M315" s="52"/>
      <c r="N315" s="85">
        <f>SUM('AP04'!$F315:$L315)</f>
        <v>963.5906662</v>
      </c>
      <c r="O315" s="51"/>
      <c r="P315" s="51">
        <f>Q314*('AP04'!$R315-1)</f>
        <v>0</v>
      </c>
      <c r="Q315" s="51">
        <f>(Q314*'AP04'!$R315)-'AP04'!$G315</f>
        <v>40292.21434</v>
      </c>
      <c r="R315" s="53">
        <f t="shared" si="149"/>
        <v>1</v>
      </c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56">
        <f t="shared" si="2"/>
        <v>302</v>
      </c>
      <c r="B316" s="50">
        <f t="shared" si="5"/>
        <v>52433</v>
      </c>
      <c r="C316" s="116">
        <f t="shared" si="126"/>
        <v>0.0775</v>
      </c>
      <c r="D316" s="116">
        <f>((1+'AP04'!$C316)^(1/12))-1</f>
        <v>0.006239681461</v>
      </c>
      <c r="E316" s="51">
        <f t="shared" si="127"/>
        <v>2089.154398</v>
      </c>
      <c r="F316" s="51">
        <f>(Q315*'AP04'!$R316)*'AP04'!$D316</f>
        <v>251.4105828</v>
      </c>
      <c r="G316" s="51">
        <f>(Q315*'AP04'!$R316)/($I$5-A315)</f>
        <v>682.918887</v>
      </c>
      <c r="H316" s="52">
        <f t="shared" ref="H316:L316" si="365">H315</f>
        <v>0</v>
      </c>
      <c r="I316" s="52">
        <f t="shared" si="365"/>
        <v>0</v>
      </c>
      <c r="J316" s="51">
        <f t="shared" si="365"/>
        <v>25</v>
      </c>
      <c r="K316" s="52">
        <f t="shared" si="365"/>
        <v>0</v>
      </c>
      <c r="L316" s="52">
        <f t="shared" si="365"/>
        <v>0</v>
      </c>
      <c r="M316" s="52"/>
      <c r="N316" s="85">
        <f>SUM('AP04'!$F316:$L316)</f>
        <v>959.3294699</v>
      </c>
      <c r="O316" s="51"/>
      <c r="P316" s="51">
        <f>Q315*('AP04'!$R316-1)</f>
        <v>0</v>
      </c>
      <c r="Q316" s="51">
        <f>(Q315*'AP04'!$R316)-'AP04'!$G316</f>
        <v>39609.29545</v>
      </c>
      <c r="R316" s="53">
        <f t="shared" si="149"/>
        <v>1</v>
      </c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56">
        <f t="shared" si="2"/>
        <v>303</v>
      </c>
      <c r="B317" s="50">
        <f t="shared" si="5"/>
        <v>52464</v>
      </c>
      <c r="C317" s="116">
        <f t="shared" si="126"/>
        <v>0.0775</v>
      </c>
      <c r="D317" s="116">
        <f>((1+'AP04'!$C317)^(1/12))-1</f>
        <v>0.006239681461</v>
      </c>
      <c r="E317" s="51">
        <f t="shared" si="127"/>
        <v>2089.154398</v>
      </c>
      <c r="F317" s="51">
        <f>(Q316*'AP04'!$R317)*'AP04'!$D317</f>
        <v>247.1493865</v>
      </c>
      <c r="G317" s="51">
        <f>(Q316*'AP04'!$R317)/($I$5-A316)</f>
        <v>682.918887</v>
      </c>
      <c r="H317" s="52">
        <f t="shared" ref="H317:L317" si="366">H316</f>
        <v>0</v>
      </c>
      <c r="I317" s="52">
        <f t="shared" si="366"/>
        <v>0</v>
      </c>
      <c r="J317" s="51">
        <f t="shared" si="366"/>
        <v>25</v>
      </c>
      <c r="K317" s="52">
        <f t="shared" si="366"/>
        <v>0</v>
      </c>
      <c r="L317" s="52">
        <f t="shared" si="366"/>
        <v>0</v>
      </c>
      <c r="M317" s="52"/>
      <c r="N317" s="85">
        <f>SUM('AP04'!$F317:$L317)</f>
        <v>955.0682735</v>
      </c>
      <c r="O317" s="51"/>
      <c r="P317" s="51">
        <f>Q316*('AP04'!$R317-1)</f>
        <v>0</v>
      </c>
      <c r="Q317" s="51">
        <f>(Q316*'AP04'!$R317)-'AP04'!$G317</f>
        <v>38926.37656</v>
      </c>
      <c r="R317" s="53">
        <f t="shared" si="149"/>
        <v>1</v>
      </c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56">
        <f t="shared" si="2"/>
        <v>304</v>
      </c>
      <c r="B318" s="50">
        <f t="shared" si="5"/>
        <v>52495</v>
      </c>
      <c r="C318" s="116">
        <f t="shared" si="126"/>
        <v>0.0775</v>
      </c>
      <c r="D318" s="116">
        <f>((1+'AP04'!$C318)^(1/12))-1</f>
        <v>0.006239681461</v>
      </c>
      <c r="E318" s="51">
        <f t="shared" si="127"/>
        <v>2089.154398</v>
      </c>
      <c r="F318" s="51">
        <f>(Q317*'AP04'!$R318)*'AP04'!$D318</f>
        <v>242.8881902</v>
      </c>
      <c r="G318" s="51">
        <f>(Q317*'AP04'!$R318)/($I$5-A317)</f>
        <v>682.918887</v>
      </c>
      <c r="H318" s="52">
        <f t="shared" ref="H318:L318" si="367">H317</f>
        <v>0</v>
      </c>
      <c r="I318" s="52">
        <f t="shared" si="367"/>
        <v>0</v>
      </c>
      <c r="J318" s="51">
        <f t="shared" si="367"/>
        <v>25</v>
      </c>
      <c r="K318" s="52">
        <f t="shared" si="367"/>
        <v>0</v>
      </c>
      <c r="L318" s="52">
        <f t="shared" si="367"/>
        <v>0</v>
      </c>
      <c r="M318" s="52"/>
      <c r="N318" s="85">
        <f>SUM('AP04'!$F318:$L318)</f>
        <v>950.8070772</v>
      </c>
      <c r="O318" s="51"/>
      <c r="P318" s="51">
        <f>Q317*('AP04'!$R318-1)</f>
        <v>0</v>
      </c>
      <c r="Q318" s="51">
        <f>(Q317*'AP04'!$R318)-'AP04'!$G318</f>
        <v>38243.45767</v>
      </c>
      <c r="R318" s="53">
        <f t="shared" si="149"/>
        <v>1</v>
      </c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56">
        <f t="shared" si="2"/>
        <v>305</v>
      </c>
      <c r="B319" s="50">
        <f t="shared" si="5"/>
        <v>52525</v>
      </c>
      <c r="C319" s="116">
        <f t="shared" si="126"/>
        <v>0.0775</v>
      </c>
      <c r="D319" s="116">
        <f>((1+'AP04'!$C319)^(1/12))-1</f>
        <v>0.006239681461</v>
      </c>
      <c r="E319" s="51">
        <f t="shared" si="127"/>
        <v>2089.154398</v>
      </c>
      <c r="F319" s="51">
        <f>(Q318*'AP04'!$R319)*'AP04'!$D319</f>
        <v>238.6269939</v>
      </c>
      <c r="G319" s="51">
        <f>(Q318*'AP04'!$R319)/($I$5-A318)</f>
        <v>682.918887</v>
      </c>
      <c r="H319" s="52">
        <f t="shared" ref="H319:L319" si="368">H318</f>
        <v>0</v>
      </c>
      <c r="I319" s="52">
        <f t="shared" si="368"/>
        <v>0</v>
      </c>
      <c r="J319" s="51">
        <f t="shared" si="368"/>
        <v>25</v>
      </c>
      <c r="K319" s="52">
        <f t="shared" si="368"/>
        <v>0</v>
      </c>
      <c r="L319" s="52">
        <f t="shared" si="368"/>
        <v>0</v>
      </c>
      <c r="M319" s="52"/>
      <c r="N319" s="85">
        <f>SUM('AP04'!$F319:$L319)</f>
        <v>946.5458809</v>
      </c>
      <c r="O319" s="51"/>
      <c r="P319" s="51">
        <f>Q318*('AP04'!$R319-1)</f>
        <v>0</v>
      </c>
      <c r="Q319" s="51">
        <f>(Q318*'AP04'!$R319)-'AP04'!$G319</f>
        <v>37560.53879</v>
      </c>
      <c r="R319" s="53">
        <f t="shared" si="149"/>
        <v>1</v>
      </c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56">
        <f t="shared" si="2"/>
        <v>306</v>
      </c>
      <c r="B320" s="50">
        <f t="shared" si="5"/>
        <v>52556</v>
      </c>
      <c r="C320" s="116">
        <f t="shared" si="126"/>
        <v>0.0775</v>
      </c>
      <c r="D320" s="116">
        <f>((1+'AP04'!$C320)^(1/12))-1</f>
        <v>0.006239681461</v>
      </c>
      <c r="E320" s="51">
        <f t="shared" si="127"/>
        <v>2089.154398</v>
      </c>
      <c r="F320" s="51">
        <f>(Q319*'AP04'!$R320)*'AP04'!$D320</f>
        <v>234.3657975</v>
      </c>
      <c r="G320" s="51">
        <f>(Q319*'AP04'!$R320)/($I$5-A319)</f>
        <v>682.918887</v>
      </c>
      <c r="H320" s="52">
        <f t="shared" ref="H320:L320" si="369">H319</f>
        <v>0</v>
      </c>
      <c r="I320" s="52">
        <f t="shared" si="369"/>
        <v>0</v>
      </c>
      <c r="J320" s="51">
        <f t="shared" si="369"/>
        <v>25</v>
      </c>
      <c r="K320" s="52">
        <f t="shared" si="369"/>
        <v>0</v>
      </c>
      <c r="L320" s="52">
        <f t="shared" si="369"/>
        <v>0</v>
      </c>
      <c r="M320" s="52"/>
      <c r="N320" s="85">
        <f>SUM('AP04'!$F320:$L320)</f>
        <v>942.2846846</v>
      </c>
      <c r="O320" s="51"/>
      <c r="P320" s="51">
        <f>Q319*('AP04'!$R320-1)</f>
        <v>0</v>
      </c>
      <c r="Q320" s="51">
        <f>(Q319*'AP04'!$R320)-'AP04'!$G320</f>
        <v>36877.6199</v>
      </c>
      <c r="R320" s="53">
        <f t="shared" si="149"/>
        <v>1</v>
      </c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56">
        <f t="shared" si="2"/>
        <v>307</v>
      </c>
      <c r="B321" s="50">
        <f t="shared" si="5"/>
        <v>52586</v>
      </c>
      <c r="C321" s="116">
        <f t="shared" si="126"/>
        <v>0.0775</v>
      </c>
      <c r="D321" s="116">
        <f>((1+'AP04'!$C321)^(1/12))-1</f>
        <v>0.006239681461</v>
      </c>
      <c r="E321" s="51">
        <f t="shared" si="127"/>
        <v>2089.154398</v>
      </c>
      <c r="F321" s="51">
        <f>(Q320*'AP04'!$R321)*'AP04'!$D321</f>
        <v>230.1046012</v>
      </c>
      <c r="G321" s="51">
        <f>(Q320*'AP04'!$R321)/($I$5-A320)</f>
        <v>682.918887</v>
      </c>
      <c r="H321" s="52">
        <f t="shared" ref="H321:L321" si="370">H320</f>
        <v>0</v>
      </c>
      <c r="I321" s="52">
        <f t="shared" si="370"/>
        <v>0</v>
      </c>
      <c r="J321" s="51">
        <f t="shared" si="370"/>
        <v>25</v>
      </c>
      <c r="K321" s="52">
        <f t="shared" si="370"/>
        <v>0</v>
      </c>
      <c r="L321" s="52">
        <f t="shared" si="370"/>
        <v>0</v>
      </c>
      <c r="M321" s="52"/>
      <c r="N321" s="85">
        <f>SUM('AP04'!$F321:$L321)</f>
        <v>938.0234883</v>
      </c>
      <c r="O321" s="51"/>
      <c r="P321" s="51">
        <f>Q320*('AP04'!$R321-1)</f>
        <v>0</v>
      </c>
      <c r="Q321" s="51">
        <f>(Q320*'AP04'!$R321)-'AP04'!$G321</f>
        <v>36194.70101</v>
      </c>
      <c r="R321" s="53">
        <f t="shared" si="149"/>
        <v>1</v>
      </c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56">
        <f t="shared" si="2"/>
        <v>308</v>
      </c>
      <c r="B322" s="50">
        <f t="shared" si="5"/>
        <v>52617</v>
      </c>
      <c r="C322" s="116">
        <f t="shared" si="126"/>
        <v>0.0775</v>
      </c>
      <c r="D322" s="116">
        <f>((1+'AP04'!$C322)^(1/12))-1</f>
        <v>0.006239681461</v>
      </c>
      <c r="E322" s="51">
        <f t="shared" si="127"/>
        <v>2089.154398</v>
      </c>
      <c r="F322" s="51">
        <f>(Q321*'AP04'!$R322)*'AP04'!$D322</f>
        <v>225.8434049</v>
      </c>
      <c r="G322" s="51">
        <f>(Q321*'AP04'!$R322)/($I$5-A321)</f>
        <v>682.918887</v>
      </c>
      <c r="H322" s="52">
        <f t="shared" ref="H322:L322" si="371">H321</f>
        <v>0</v>
      </c>
      <c r="I322" s="52">
        <f t="shared" si="371"/>
        <v>0</v>
      </c>
      <c r="J322" s="51">
        <f t="shared" si="371"/>
        <v>25</v>
      </c>
      <c r="K322" s="52">
        <f t="shared" si="371"/>
        <v>0</v>
      </c>
      <c r="L322" s="52">
        <f t="shared" si="371"/>
        <v>0</v>
      </c>
      <c r="M322" s="52"/>
      <c r="N322" s="85">
        <f>SUM('AP04'!$F322:$L322)</f>
        <v>933.762292</v>
      </c>
      <c r="O322" s="51"/>
      <c r="P322" s="51">
        <f>Q321*('AP04'!$R322-1)</f>
        <v>0</v>
      </c>
      <c r="Q322" s="51">
        <f>(Q321*'AP04'!$R322)-'AP04'!$G322</f>
        <v>35511.78213</v>
      </c>
      <c r="R322" s="53">
        <f t="shared" si="149"/>
        <v>1</v>
      </c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56">
        <f t="shared" si="2"/>
        <v>309</v>
      </c>
      <c r="B323" s="50">
        <f t="shared" si="5"/>
        <v>52648</v>
      </c>
      <c r="C323" s="116">
        <f t="shared" si="126"/>
        <v>0.0775</v>
      </c>
      <c r="D323" s="116">
        <f>((1+'AP04'!$C323)^(1/12))-1</f>
        <v>0.006239681461</v>
      </c>
      <c r="E323" s="51">
        <f t="shared" si="127"/>
        <v>2089.154398</v>
      </c>
      <c r="F323" s="51">
        <f>(Q322*'AP04'!$R323)*'AP04'!$D323</f>
        <v>221.5822086</v>
      </c>
      <c r="G323" s="51">
        <f>(Q322*'AP04'!$R323)/($I$5-A322)</f>
        <v>682.918887</v>
      </c>
      <c r="H323" s="52">
        <f t="shared" ref="H323:L323" si="372">H322</f>
        <v>0</v>
      </c>
      <c r="I323" s="52">
        <f t="shared" si="372"/>
        <v>0</v>
      </c>
      <c r="J323" s="51">
        <f t="shared" si="372"/>
        <v>25</v>
      </c>
      <c r="K323" s="52">
        <f t="shared" si="372"/>
        <v>0</v>
      </c>
      <c r="L323" s="52">
        <f t="shared" si="372"/>
        <v>0</v>
      </c>
      <c r="M323" s="52"/>
      <c r="N323" s="85">
        <f>SUM('AP04'!$F323:$L323)</f>
        <v>929.5010956</v>
      </c>
      <c r="O323" s="51"/>
      <c r="P323" s="51">
        <f>Q322*('AP04'!$R323-1)</f>
        <v>0</v>
      </c>
      <c r="Q323" s="51">
        <f>(Q322*'AP04'!$R323)-'AP04'!$G323</f>
        <v>34828.86324</v>
      </c>
      <c r="R323" s="53">
        <f t="shared" si="149"/>
        <v>1</v>
      </c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56">
        <f t="shared" si="2"/>
        <v>310</v>
      </c>
      <c r="B324" s="50">
        <f t="shared" si="5"/>
        <v>52677</v>
      </c>
      <c r="C324" s="116">
        <f t="shared" si="126"/>
        <v>0.0775</v>
      </c>
      <c r="D324" s="116">
        <f>((1+'AP04'!$C324)^(1/12))-1</f>
        <v>0.006239681461</v>
      </c>
      <c r="E324" s="51">
        <f t="shared" si="127"/>
        <v>2089.154398</v>
      </c>
      <c r="F324" s="51">
        <f>(Q323*'AP04'!$R324)*'AP04'!$D324</f>
        <v>217.3210123</v>
      </c>
      <c r="G324" s="51">
        <f>(Q323*'AP04'!$R324)/($I$5-A323)</f>
        <v>682.918887</v>
      </c>
      <c r="H324" s="52">
        <f t="shared" ref="H324:L324" si="373">H323</f>
        <v>0</v>
      </c>
      <c r="I324" s="52">
        <f t="shared" si="373"/>
        <v>0</v>
      </c>
      <c r="J324" s="51">
        <f t="shared" si="373"/>
        <v>25</v>
      </c>
      <c r="K324" s="52">
        <f t="shared" si="373"/>
        <v>0</v>
      </c>
      <c r="L324" s="52">
        <f t="shared" si="373"/>
        <v>0</v>
      </c>
      <c r="M324" s="52"/>
      <c r="N324" s="85">
        <f>SUM('AP04'!$F324:$L324)</f>
        <v>925.2398993</v>
      </c>
      <c r="O324" s="51"/>
      <c r="P324" s="51">
        <f>Q323*('AP04'!$R324-1)</f>
        <v>0</v>
      </c>
      <c r="Q324" s="51">
        <f>(Q323*'AP04'!$R324)-'AP04'!$G324</f>
        <v>34145.94435</v>
      </c>
      <c r="R324" s="53">
        <f t="shared" si="149"/>
        <v>1</v>
      </c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56">
        <f t="shared" si="2"/>
        <v>311</v>
      </c>
      <c r="B325" s="50">
        <f t="shared" si="5"/>
        <v>52708</v>
      </c>
      <c r="C325" s="116">
        <f t="shared" si="126"/>
        <v>0.0775</v>
      </c>
      <c r="D325" s="116">
        <f>((1+'AP04'!$C325)^(1/12))-1</f>
        <v>0.006239681461</v>
      </c>
      <c r="E325" s="51">
        <f t="shared" si="127"/>
        <v>2089.154398</v>
      </c>
      <c r="F325" s="51">
        <f>(Q324*'AP04'!$R325)*'AP04'!$D325</f>
        <v>213.059816</v>
      </c>
      <c r="G325" s="51">
        <f>(Q324*'AP04'!$R325)/($I$5-A324)</f>
        <v>682.918887</v>
      </c>
      <c r="H325" s="52">
        <f t="shared" ref="H325:L325" si="374">H324</f>
        <v>0</v>
      </c>
      <c r="I325" s="52">
        <f t="shared" si="374"/>
        <v>0</v>
      </c>
      <c r="J325" s="51">
        <f t="shared" si="374"/>
        <v>25</v>
      </c>
      <c r="K325" s="52">
        <f t="shared" si="374"/>
        <v>0</v>
      </c>
      <c r="L325" s="52">
        <f t="shared" si="374"/>
        <v>0</v>
      </c>
      <c r="M325" s="52"/>
      <c r="N325" s="85">
        <f>SUM('AP04'!$F325:$L325)</f>
        <v>920.978703</v>
      </c>
      <c r="O325" s="51"/>
      <c r="P325" s="51">
        <f>Q324*('AP04'!$R325-1)</f>
        <v>0</v>
      </c>
      <c r="Q325" s="51">
        <f>(Q324*'AP04'!$R325)-'AP04'!$G325</f>
        <v>33463.02547</v>
      </c>
      <c r="R325" s="53">
        <f t="shared" si="149"/>
        <v>1</v>
      </c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56">
        <f t="shared" si="2"/>
        <v>312</v>
      </c>
      <c r="B326" s="50">
        <f t="shared" si="5"/>
        <v>52738</v>
      </c>
      <c r="C326" s="116">
        <f t="shared" si="126"/>
        <v>0.0775</v>
      </c>
      <c r="D326" s="116">
        <f>((1+'AP04'!$C326)^(1/12))-1</f>
        <v>0.006239681461</v>
      </c>
      <c r="E326" s="51">
        <f t="shared" si="127"/>
        <v>2089.154398</v>
      </c>
      <c r="F326" s="51">
        <f>(Q325*'AP04'!$R326)*'AP04'!$D326</f>
        <v>208.7986196</v>
      </c>
      <c r="G326" s="51">
        <f>(Q325*'AP04'!$R326)/($I$5-A325)</f>
        <v>682.918887</v>
      </c>
      <c r="H326" s="52">
        <f t="shared" ref="H326:L326" si="375">H325</f>
        <v>0</v>
      </c>
      <c r="I326" s="52">
        <f t="shared" si="375"/>
        <v>0</v>
      </c>
      <c r="J326" s="51">
        <f t="shared" si="375"/>
        <v>25</v>
      </c>
      <c r="K326" s="52">
        <f t="shared" si="375"/>
        <v>0</v>
      </c>
      <c r="L326" s="52">
        <f t="shared" si="375"/>
        <v>0</v>
      </c>
      <c r="M326" s="52"/>
      <c r="N326" s="85">
        <f>SUM('AP04'!$F326:$L326)</f>
        <v>916.7175067</v>
      </c>
      <c r="O326" s="51"/>
      <c r="P326" s="51">
        <f>Q325*('AP04'!$R326-1)</f>
        <v>0</v>
      </c>
      <c r="Q326" s="51">
        <f>(Q325*'AP04'!$R326)-'AP04'!$G326</f>
        <v>32780.10658</v>
      </c>
      <c r="R326" s="53">
        <f t="shared" si="149"/>
        <v>1</v>
      </c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56">
        <f t="shared" si="2"/>
        <v>313</v>
      </c>
      <c r="B327" s="50">
        <f t="shared" si="5"/>
        <v>52769</v>
      </c>
      <c r="C327" s="116">
        <f t="shared" si="126"/>
        <v>0.0775</v>
      </c>
      <c r="D327" s="116">
        <f>((1+'AP04'!$C327)^(1/12))-1</f>
        <v>0.006239681461</v>
      </c>
      <c r="E327" s="51">
        <f t="shared" si="127"/>
        <v>2089.154398</v>
      </c>
      <c r="F327" s="51">
        <f>(Q326*'AP04'!$R327)*'AP04'!$D327</f>
        <v>204.5374233</v>
      </c>
      <c r="G327" s="51">
        <f>(Q326*'AP04'!$R327)/($I$5-A326)</f>
        <v>682.918887</v>
      </c>
      <c r="H327" s="52">
        <f t="shared" ref="H327:L327" si="376">H326</f>
        <v>0</v>
      </c>
      <c r="I327" s="52">
        <f t="shared" si="376"/>
        <v>0</v>
      </c>
      <c r="J327" s="51">
        <f t="shared" si="376"/>
        <v>25</v>
      </c>
      <c r="K327" s="52">
        <f t="shared" si="376"/>
        <v>0</v>
      </c>
      <c r="L327" s="52">
        <f t="shared" si="376"/>
        <v>0</v>
      </c>
      <c r="M327" s="52"/>
      <c r="N327" s="85">
        <f>SUM('AP04'!$F327:$L327)</f>
        <v>912.4563104</v>
      </c>
      <c r="O327" s="51"/>
      <c r="P327" s="51">
        <f>Q326*('AP04'!$R327-1)</f>
        <v>0</v>
      </c>
      <c r="Q327" s="51">
        <f>(Q326*'AP04'!$R327)-'AP04'!$G327</f>
        <v>32097.18769</v>
      </c>
      <c r="R327" s="53">
        <f t="shared" si="149"/>
        <v>1</v>
      </c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56">
        <f t="shared" si="2"/>
        <v>314</v>
      </c>
      <c r="B328" s="50">
        <f t="shared" si="5"/>
        <v>52799</v>
      </c>
      <c r="C328" s="116">
        <f t="shared" si="126"/>
        <v>0.0775</v>
      </c>
      <c r="D328" s="116">
        <f>((1+'AP04'!$C328)^(1/12))-1</f>
        <v>0.006239681461</v>
      </c>
      <c r="E328" s="51">
        <f t="shared" si="127"/>
        <v>2089.154398</v>
      </c>
      <c r="F328" s="51">
        <f>(Q327*'AP04'!$R328)*'AP04'!$D328</f>
        <v>200.276227</v>
      </c>
      <c r="G328" s="51">
        <f>(Q327*'AP04'!$R328)/($I$5-A327)</f>
        <v>682.918887</v>
      </c>
      <c r="H328" s="52">
        <f t="shared" ref="H328:L328" si="377">H327</f>
        <v>0</v>
      </c>
      <c r="I328" s="52">
        <f t="shared" si="377"/>
        <v>0</v>
      </c>
      <c r="J328" s="51">
        <f t="shared" si="377"/>
        <v>25</v>
      </c>
      <c r="K328" s="52">
        <f t="shared" si="377"/>
        <v>0</v>
      </c>
      <c r="L328" s="52">
        <f t="shared" si="377"/>
        <v>0</v>
      </c>
      <c r="M328" s="52"/>
      <c r="N328" s="85">
        <f>SUM('AP04'!$F328:$L328)</f>
        <v>908.195114</v>
      </c>
      <c r="O328" s="51"/>
      <c r="P328" s="51">
        <f>Q327*('AP04'!$R328-1)</f>
        <v>0</v>
      </c>
      <c r="Q328" s="51">
        <f>(Q327*'AP04'!$R328)-'AP04'!$G328</f>
        <v>31414.2688</v>
      </c>
      <c r="R328" s="53">
        <f t="shared" si="149"/>
        <v>1</v>
      </c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56">
        <f t="shared" si="2"/>
        <v>315</v>
      </c>
      <c r="B329" s="50">
        <f t="shared" si="5"/>
        <v>52830</v>
      </c>
      <c r="C329" s="116">
        <f t="shared" si="126"/>
        <v>0.0775</v>
      </c>
      <c r="D329" s="116">
        <f>((1+'AP04'!$C329)^(1/12))-1</f>
        <v>0.006239681461</v>
      </c>
      <c r="E329" s="51">
        <f t="shared" si="127"/>
        <v>2089.154398</v>
      </c>
      <c r="F329" s="51">
        <f>(Q328*'AP04'!$R329)*'AP04'!$D329</f>
        <v>196.0150307</v>
      </c>
      <c r="G329" s="51">
        <f>(Q328*'AP04'!$R329)/($I$5-A328)</f>
        <v>682.918887</v>
      </c>
      <c r="H329" s="52">
        <f t="shared" ref="H329:L329" si="378">H328</f>
        <v>0</v>
      </c>
      <c r="I329" s="52">
        <f t="shared" si="378"/>
        <v>0</v>
      </c>
      <c r="J329" s="51">
        <f t="shared" si="378"/>
        <v>25</v>
      </c>
      <c r="K329" s="52">
        <f t="shared" si="378"/>
        <v>0</v>
      </c>
      <c r="L329" s="52">
        <f t="shared" si="378"/>
        <v>0</v>
      </c>
      <c r="M329" s="52"/>
      <c r="N329" s="85">
        <f>SUM('AP04'!$F329:$L329)</f>
        <v>903.9339177</v>
      </c>
      <c r="O329" s="51"/>
      <c r="P329" s="51">
        <f>Q328*('AP04'!$R329-1)</f>
        <v>0</v>
      </c>
      <c r="Q329" s="51">
        <f>(Q328*'AP04'!$R329)-'AP04'!$G329</f>
        <v>30731.34992</v>
      </c>
      <c r="R329" s="53">
        <f t="shared" si="149"/>
        <v>1</v>
      </c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56">
        <f t="shared" si="2"/>
        <v>316</v>
      </c>
      <c r="B330" s="50">
        <f t="shared" si="5"/>
        <v>52861</v>
      </c>
      <c r="C330" s="116">
        <f t="shared" si="126"/>
        <v>0.0775</v>
      </c>
      <c r="D330" s="116">
        <f>((1+'AP04'!$C330)^(1/12))-1</f>
        <v>0.006239681461</v>
      </c>
      <c r="E330" s="51">
        <f t="shared" si="127"/>
        <v>2089.154398</v>
      </c>
      <c r="F330" s="51">
        <f>(Q329*'AP04'!$R330)*'AP04'!$D330</f>
        <v>191.7538344</v>
      </c>
      <c r="G330" s="51">
        <f>(Q329*'AP04'!$R330)/($I$5-A329)</f>
        <v>682.918887</v>
      </c>
      <c r="H330" s="52">
        <f t="shared" ref="H330:L330" si="379">H329</f>
        <v>0</v>
      </c>
      <c r="I330" s="52">
        <f t="shared" si="379"/>
        <v>0</v>
      </c>
      <c r="J330" s="51">
        <f t="shared" si="379"/>
        <v>25</v>
      </c>
      <c r="K330" s="52">
        <f t="shared" si="379"/>
        <v>0</v>
      </c>
      <c r="L330" s="52">
        <f t="shared" si="379"/>
        <v>0</v>
      </c>
      <c r="M330" s="52"/>
      <c r="N330" s="85">
        <f>SUM('AP04'!$F330:$L330)</f>
        <v>899.6727214</v>
      </c>
      <c r="O330" s="51"/>
      <c r="P330" s="51">
        <f>Q329*('AP04'!$R330-1)</f>
        <v>0</v>
      </c>
      <c r="Q330" s="51">
        <f>(Q329*'AP04'!$R330)-'AP04'!$G330</f>
        <v>30048.43103</v>
      </c>
      <c r="R330" s="53">
        <f t="shared" si="149"/>
        <v>1</v>
      </c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56">
        <f t="shared" si="2"/>
        <v>317</v>
      </c>
      <c r="B331" s="50">
        <f t="shared" si="5"/>
        <v>52891</v>
      </c>
      <c r="C331" s="116">
        <f t="shared" si="126"/>
        <v>0.0775</v>
      </c>
      <c r="D331" s="116">
        <f>((1+'AP04'!$C331)^(1/12))-1</f>
        <v>0.006239681461</v>
      </c>
      <c r="E331" s="51">
        <f t="shared" si="127"/>
        <v>2089.154398</v>
      </c>
      <c r="F331" s="51">
        <f>(Q330*'AP04'!$R331)*'AP04'!$D331</f>
        <v>187.492638</v>
      </c>
      <c r="G331" s="51">
        <f>(Q330*'AP04'!$R331)/($I$5-A330)</f>
        <v>682.918887</v>
      </c>
      <c r="H331" s="52">
        <f t="shared" ref="H331:L331" si="380">H330</f>
        <v>0</v>
      </c>
      <c r="I331" s="52">
        <f t="shared" si="380"/>
        <v>0</v>
      </c>
      <c r="J331" s="51">
        <f t="shared" si="380"/>
        <v>25</v>
      </c>
      <c r="K331" s="52">
        <f t="shared" si="380"/>
        <v>0</v>
      </c>
      <c r="L331" s="52">
        <f t="shared" si="380"/>
        <v>0</v>
      </c>
      <c r="M331" s="52"/>
      <c r="N331" s="85">
        <f>SUM('AP04'!$F331:$L331)</f>
        <v>895.4115251</v>
      </c>
      <c r="O331" s="51"/>
      <c r="P331" s="51">
        <f>Q330*('AP04'!$R331-1)</f>
        <v>0</v>
      </c>
      <c r="Q331" s="51">
        <f>(Q330*'AP04'!$R331)-'AP04'!$G331</f>
        <v>29365.51214</v>
      </c>
      <c r="R331" s="53">
        <f t="shared" si="149"/>
        <v>1</v>
      </c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56">
        <f t="shared" si="2"/>
        <v>318</v>
      </c>
      <c r="B332" s="50">
        <f t="shared" si="5"/>
        <v>52922</v>
      </c>
      <c r="C332" s="116">
        <f t="shared" si="126"/>
        <v>0.0775</v>
      </c>
      <c r="D332" s="116">
        <f>((1+'AP04'!$C332)^(1/12))-1</f>
        <v>0.006239681461</v>
      </c>
      <c r="E332" s="51">
        <f t="shared" si="127"/>
        <v>2089.154398</v>
      </c>
      <c r="F332" s="51">
        <f>(Q331*'AP04'!$R332)*'AP04'!$D332</f>
        <v>183.2314417</v>
      </c>
      <c r="G332" s="51">
        <f>(Q331*'AP04'!$R332)/($I$5-A331)</f>
        <v>682.918887</v>
      </c>
      <c r="H332" s="52">
        <f t="shared" ref="H332:L332" si="381">H331</f>
        <v>0</v>
      </c>
      <c r="I332" s="52">
        <f t="shared" si="381"/>
        <v>0</v>
      </c>
      <c r="J332" s="51">
        <f t="shared" si="381"/>
        <v>25</v>
      </c>
      <c r="K332" s="52">
        <f t="shared" si="381"/>
        <v>0</v>
      </c>
      <c r="L332" s="52">
        <f t="shared" si="381"/>
        <v>0</v>
      </c>
      <c r="M332" s="52"/>
      <c r="N332" s="85">
        <f>SUM('AP04'!$F332:$L332)</f>
        <v>891.1503288</v>
      </c>
      <c r="O332" s="51"/>
      <c r="P332" s="51">
        <f>Q331*('AP04'!$R332-1)</f>
        <v>0</v>
      </c>
      <c r="Q332" s="51">
        <f>(Q331*'AP04'!$R332)-'AP04'!$G332</f>
        <v>28682.59326</v>
      </c>
      <c r="R332" s="53">
        <f t="shared" si="149"/>
        <v>1</v>
      </c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56">
        <f t="shared" si="2"/>
        <v>319</v>
      </c>
      <c r="B333" s="50">
        <f t="shared" si="5"/>
        <v>52952</v>
      </c>
      <c r="C333" s="116">
        <f t="shared" si="126"/>
        <v>0.0775</v>
      </c>
      <c r="D333" s="116">
        <f>((1+'AP04'!$C333)^(1/12))-1</f>
        <v>0.006239681461</v>
      </c>
      <c r="E333" s="51">
        <f t="shared" si="127"/>
        <v>2089.154398</v>
      </c>
      <c r="F333" s="51">
        <f>(Q332*'AP04'!$R333)*'AP04'!$D333</f>
        <v>178.9702454</v>
      </c>
      <c r="G333" s="51">
        <f>(Q332*'AP04'!$R333)/($I$5-A332)</f>
        <v>682.918887</v>
      </c>
      <c r="H333" s="52">
        <f t="shared" ref="H333:L333" si="382">H332</f>
        <v>0</v>
      </c>
      <c r="I333" s="52">
        <f t="shared" si="382"/>
        <v>0</v>
      </c>
      <c r="J333" s="51">
        <f t="shared" si="382"/>
        <v>25</v>
      </c>
      <c r="K333" s="52">
        <f t="shared" si="382"/>
        <v>0</v>
      </c>
      <c r="L333" s="52">
        <f t="shared" si="382"/>
        <v>0</v>
      </c>
      <c r="M333" s="52"/>
      <c r="N333" s="85">
        <f>SUM('AP04'!$F333:$L333)</f>
        <v>886.8891324</v>
      </c>
      <c r="O333" s="51"/>
      <c r="P333" s="51">
        <f>Q332*('AP04'!$R333-1)</f>
        <v>0</v>
      </c>
      <c r="Q333" s="51">
        <f>(Q332*'AP04'!$R333)-'AP04'!$G333</f>
        <v>27999.67437</v>
      </c>
      <c r="R333" s="53">
        <f t="shared" si="149"/>
        <v>1</v>
      </c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56">
        <f t="shared" si="2"/>
        <v>320</v>
      </c>
      <c r="B334" s="50">
        <f t="shared" si="5"/>
        <v>52983</v>
      </c>
      <c r="C334" s="116">
        <f t="shared" si="126"/>
        <v>0.0775</v>
      </c>
      <c r="D334" s="116">
        <f>((1+'AP04'!$C334)^(1/12))-1</f>
        <v>0.006239681461</v>
      </c>
      <c r="E334" s="51">
        <f t="shared" si="127"/>
        <v>2089.154398</v>
      </c>
      <c r="F334" s="51">
        <f>(Q333*'AP04'!$R334)*'AP04'!$D334</f>
        <v>174.7090491</v>
      </c>
      <c r="G334" s="51">
        <f>(Q333*'AP04'!$R334)/($I$5-A333)</f>
        <v>682.918887</v>
      </c>
      <c r="H334" s="52">
        <f t="shared" ref="H334:L334" si="383">H333</f>
        <v>0</v>
      </c>
      <c r="I334" s="52">
        <f t="shared" si="383"/>
        <v>0</v>
      </c>
      <c r="J334" s="51">
        <f t="shared" si="383"/>
        <v>25</v>
      </c>
      <c r="K334" s="52">
        <f t="shared" si="383"/>
        <v>0</v>
      </c>
      <c r="L334" s="52">
        <f t="shared" si="383"/>
        <v>0</v>
      </c>
      <c r="M334" s="52"/>
      <c r="N334" s="85">
        <f>SUM('AP04'!$F334:$L334)</f>
        <v>882.6279361</v>
      </c>
      <c r="O334" s="51"/>
      <c r="P334" s="51">
        <f>Q333*('AP04'!$R334-1)</f>
        <v>0</v>
      </c>
      <c r="Q334" s="51">
        <f>(Q333*'AP04'!$R334)-'AP04'!$G334</f>
        <v>27316.75548</v>
      </c>
      <c r="R334" s="53">
        <f t="shared" si="149"/>
        <v>1</v>
      </c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56">
        <f t="shared" si="2"/>
        <v>321</v>
      </c>
      <c r="B335" s="50">
        <f t="shared" si="5"/>
        <v>53014</v>
      </c>
      <c r="C335" s="116">
        <f t="shared" si="126"/>
        <v>0.0775</v>
      </c>
      <c r="D335" s="116">
        <f>((1+'AP04'!$C335)^(1/12))-1</f>
        <v>0.006239681461</v>
      </c>
      <c r="E335" s="51">
        <f t="shared" si="127"/>
        <v>2089.154398</v>
      </c>
      <c r="F335" s="51">
        <f>(Q334*'AP04'!$R335)*'AP04'!$D335</f>
        <v>170.4478528</v>
      </c>
      <c r="G335" s="51">
        <f>(Q334*'AP04'!$R335)/($I$5-A334)</f>
        <v>682.918887</v>
      </c>
      <c r="H335" s="52">
        <f t="shared" ref="H335:L335" si="384">H334</f>
        <v>0</v>
      </c>
      <c r="I335" s="52">
        <f t="shared" si="384"/>
        <v>0</v>
      </c>
      <c r="J335" s="51">
        <f t="shared" si="384"/>
        <v>25</v>
      </c>
      <c r="K335" s="52">
        <f t="shared" si="384"/>
        <v>0</v>
      </c>
      <c r="L335" s="52">
        <f t="shared" si="384"/>
        <v>0</v>
      </c>
      <c r="M335" s="52"/>
      <c r="N335" s="85">
        <f>SUM('AP04'!$F335:$L335)</f>
        <v>878.3667398</v>
      </c>
      <c r="O335" s="51"/>
      <c r="P335" s="51">
        <f>Q334*('AP04'!$R335-1)</f>
        <v>0</v>
      </c>
      <c r="Q335" s="51">
        <f>(Q334*'AP04'!$R335)-'AP04'!$G335</f>
        <v>26633.83659</v>
      </c>
      <c r="R335" s="53">
        <f t="shared" si="149"/>
        <v>1</v>
      </c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56">
        <f t="shared" si="2"/>
        <v>322</v>
      </c>
      <c r="B336" s="50">
        <f t="shared" si="5"/>
        <v>53042</v>
      </c>
      <c r="C336" s="116">
        <f t="shared" si="126"/>
        <v>0.0775</v>
      </c>
      <c r="D336" s="116">
        <f>((1+'AP04'!$C336)^(1/12))-1</f>
        <v>0.006239681461</v>
      </c>
      <c r="E336" s="51">
        <f t="shared" si="127"/>
        <v>2089.154398</v>
      </c>
      <c r="F336" s="51">
        <f>(Q335*'AP04'!$R336)*'AP04'!$D336</f>
        <v>166.1866564</v>
      </c>
      <c r="G336" s="51">
        <f>(Q335*'AP04'!$R336)/($I$5-A335)</f>
        <v>682.918887</v>
      </c>
      <c r="H336" s="52">
        <f t="shared" ref="H336:L336" si="385">H335</f>
        <v>0</v>
      </c>
      <c r="I336" s="52">
        <f t="shared" si="385"/>
        <v>0</v>
      </c>
      <c r="J336" s="51">
        <f t="shared" si="385"/>
        <v>25</v>
      </c>
      <c r="K336" s="52">
        <f t="shared" si="385"/>
        <v>0</v>
      </c>
      <c r="L336" s="52">
        <f t="shared" si="385"/>
        <v>0</v>
      </c>
      <c r="M336" s="52"/>
      <c r="N336" s="85">
        <f>SUM('AP04'!$F336:$L336)</f>
        <v>874.1055435</v>
      </c>
      <c r="O336" s="51"/>
      <c r="P336" s="51">
        <f>Q335*('AP04'!$R336-1)</f>
        <v>0</v>
      </c>
      <c r="Q336" s="51">
        <f>(Q335*'AP04'!$R336)-'AP04'!$G336</f>
        <v>25950.91771</v>
      </c>
      <c r="R336" s="53">
        <f t="shared" si="149"/>
        <v>1</v>
      </c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56">
        <f t="shared" si="2"/>
        <v>323</v>
      </c>
      <c r="B337" s="50">
        <f t="shared" si="5"/>
        <v>53073</v>
      </c>
      <c r="C337" s="116">
        <f t="shared" si="126"/>
        <v>0.0775</v>
      </c>
      <c r="D337" s="116">
        <f>((1+'AP04'!$C337)^(1/12))-1</f>
        <v>0.006239681461</v>
      </c>
      <c r="E337" s="51">
        <f t="shared" si="127"/>
        <v>2089.154398</v>
      </c>
      <c r="F337" s="51">
        <f>(Q336*'AP04'!$R337)*'AP04'!$D337</f>
        <v>161.9254601</v>
      </c>
      <c r="G337" s="51">
        <f>(Q336*'AP04'!$R337)/($I$5-A336)</f>
        <v>682.918887</v>
      </c>
      <c r="H337" s="52">
        <f t="shared" ref="H337:L337" si="386">H336</f>
        <v>0</v>
      </c>
      <c r="I337" s="52">
        <f t="shared" si="386"/>
        <v>0</v>
      </c>
      <c r="J337" s="51">
        <f t="shared" si="386"/>
        <v>25</v>
      </c>
      <c r="K337" s="52">
        <f t="shared" si="386"/>
        <v>0</v>
      </c>
      <c r="L337" s="52">
        <f t="shared" si="386"/>
        <v>0</v>
      </c>
      <c r="M337" s="52"/>
      <c r="N337" s="85">
        <f>SUM('AP04'!$F337:$L337)</f>
        <v>869.8443472</v>
      </c>
      <c r="O337" s="51"/>
      <c r="P337" s="51">
        <f>Q336*('AP04'!$R337-1)</f>
        <v>0</v>
      </c>
      <c r="Q337" s="51">
        <f>(Q336*'AP04'!$R337)-'AP04'!$G337</f>
        <v>25267.99882</v>
      </c>
      <c r="R337" s="53">
        <f t="shared" si="149"/>
        <v>1</v>
      </c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56">
        <f t="shared" si="2"/>
        <v>324</v>
      </c>
      <c r="B338" s="50">
        <f t="shared" si="5"/>
        <v>53103</v>
      </c>
      <c r="C338" s="116">
        <f t="shared" si="126"/>
        <v>0.0775</v>
      </c>
      <c r="D338" s="116">
        <f>((1+'AP04'!$C338)^(1/12))-1</f>
        <v>0.006239681461</v>
      </c>
      <c r="E338" s="51">
        <f t="shared" si="127"/>
        <v>2089.154398</v>
      </c>
      <c r="F338" s="51">
        <f>(Q337*'AP04'!$R338)*'AP04'!$D338</f>
        <v>157.6642638</v>
      </c>
      <c r="G338" s="51">
        <f>(Q337*'AP04'!$R338)/($I$5-A337)</f>
        <v>682.918887</v>
      </c>
      <c r="H338" s="52">
        <f t="shared" ref="H338:L338" si="387">H337</f>
        <v>0</v>
      </c>
      <c r="I338" s="52">
        <f t="shared" si="387"/>
        <v>0</v>
      </c>
      <c r="J338" s="51">
        <f t="shared" si="387"/>
        <v>25</v>
      </c>
      <c r="K338" s="52">
        <f t="shared" si="387"/>
        <v>0</v>
      </c>
      <c r="L338" s="52">
        <f t="shared" si="387"/>
        <v>0</v>
      </c>
      <c r="M338" s="52"/>
      <c r="N338" s="85">
        <f>SUM('AP04'!$F338:$L338)</f>
        <v>865.5831508</v>
      </c>
      <c r="O338" s="51"/>
      <c r="P338" s="51">
        <f>Q337*('AP04'!$R338-1)</f>
        <v>0</v>
      </c>
      <c r="Q338" s="51">
        <f>(Q337*'AP04'!$R338)-'AP04'!$G338</f>
        <v>24585.07993</v>
      </c>
      <c r="R338" s="53">
        <f t="shared" si="149"/>
        <v>1</v>
      </c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56">
        <f t="shared" si="2"/>
        <v>325</v>
      </c>
      <c r="B339" s="50">
        <f t="shared" si="5"/>
        <v>53134</v>
      </c>
      <c r="C339" s="116">
        <f t="shared" si="126"/>
        <v>0.0775</v>
      </c>
      <c r="D339" s="116">
        <f>((1+'AP04'!$C339)^(1/12))-1</f>
        <v>0.006239681461</v>
      </c>
      <c r="E339" s="51">
        <f t="shared" si="127"/>
        <v>2089.154398</v>
      </c>
      <c r="F339" s="51">
        <f>(Q338*'AP04'!$R339)*'AP04'!$D339</f>
        <v>153.4030675</v>
      </c>
      <c r="G339" s="51">
        <f>(Q338*'AP04'!$R339)/($I$5-A338)</f>
        <v>682.918887</v>
      </c>
      <c r="H339" s="52">
        <f t="shared" ref="H339:L339" si="388">H338</f>
        <v>0</v>
      </c>
      <c r="I339" s="52">
        <f t="shared" si="388"/>
        <v>0</v>
      </c>
      <c r="J339" s="51">
        <f t="shared" si="388"/>
        <v>25</v>
      </c>
      <c r="K339" s="52">
        <f t="shared" si="388"/>
        <v>0</v>
      </c>
      <c r="L339" s="52">
        <f t="shared" si="388"/>
        <v>0</v>
      </c>
      <c r="M339" s="52"/>
      <c r="N339" s="85">
        <f>SUM('AP04'!$F339:$L339)</f>
        <v>861.3219545</v>
      </c>
      <c r="O339" s="51"/>
      <c r="P339" s="51">
        <f>Q338*('AP04'!$R339-1)</f>
        <v>0</v>
      </c>
      <c r="Q339" s="51">
        <f>(Q338*'AP04'!$R339)-'AP04'!$G339</f>
        <v>23902.16105</v>
      </c>
      <c r="R339" s="53">
        <f t="shared" si="149"/>
        <v>1</v>
      </c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56">
        <f t="shared" si="2"/>
        <v>326</v>
      </c>
      <c r="B340" s="50">
        <f t="shared" si="5"/>
        <v>53164</v>
      </c>
      <c r="C340" s="116">
        <f t="shared" si="126"/>
        <v>0.0775</v>
      </c>
      <c r="D340" s="116">
        <f>((1+'AP04'!$C340)^(1/12))-1</f>
        <v>0.006239681461</v>
      </c>
      <c r="E340" s="51">
        <f t="shared" si="127"/>
        <v>2089.154398</v>
      </c>
      <c r="F340" s="51">
        <f>(Q339*'AP04'!$R340)*'AP04'!$D340</f>
        <v>149.1418712</v>
      </c>
      <c r="G340" s="51">
        <f>(Q339*'AP04'!$R340)/($I$5-A339)</f>
        <v>682.918887</v>
      </c>
      <c r="H340" s="52">
        <f t="shared" ref="H340:L340" si="389">H339</f>
        <v>0</v>
      </c>
      <c r="I340" s="52">
        <f t="shared" si="389"/>
        <v>0</v>
      </c>
      <c r="J340" s="51">
        <f t="shared" si="389"/>
        <v>25</v>
      </c>
      <c r="K340" s="52">
        <f t="shared" si="389"/>
        <v>0</v>
      </c>
      <c r="L340" s="52">
        <f t="shared" si="389"/>
        <v>0</v>
      </c>
      <c r="M340" s="52"/>
      <c r="N340" s="85">
        <f>SUM('AP04'!$F340:$L340)</f>
        <v>857.0607582</v>
      </c>
      <c r="O340" s="51"/>
      <c r="P340" s="51">
        <f>Q339*('AP04'!$R340-1)</f>
        <v>0</v>
      </c>
      <c r="Q340" s="51">
        <f>(Q339*'AP04'!$R340)-'AP04'!$G340</f>
        <v>23219.24216</v>
      </c>
      <c r="R340" s="53">
        <f t="shared" si="149"/>
        <v>1</v>
      </c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56">
        <f t="shared" si="2"/>
        <v>327</v>
      </c>
      <c r="B341" s="50">
        <f t="shared" si="5"/>
        <v>53195</v>
      </c>
      <c r="C341" s="116">
        <f t="shared" si="126"/>
        <v>0.0775</v>
      </c>
      <c r="D341" s="116">
        <f>((1+'AP04'!$C341)^(1/12))-1</f>
        <v>0.006239681461</v>
      </c>
      <c r="E341" s="51">
        <f t="shared" si="127"/>
        <v>2089.154398</v>
      </c>
      <c r="F341" s="51">
        <f>(Q340*'AP04'!$R341)*'AP04'!$D341</f>
        <v>144.8806748</v>
      </c>
      <c r="G341" s="51">
        <f>(Q340*'AP04'!$R341)/($I$5-A340)</f>
        <v>682.918887</v>
      </c>
      <c r="H341" s="52">
        <f t="shared" ref="H341:L341" si="390">H340</f>
        <v>0</v>
      </c>
      <c r="I341" s="52">
        <f t="shared" si="390"/>
        <v>0</v>
      </c>
      <c r="J341" s="51">
        <f t="shared" si="390"/>
        <v>25</v>
      </c>
      <c r="K341" s="52">
        <f t="shared" si="390"/>
        <v>0</v>
      </c>
      <c r="L341" s="52">
        <f t="shared" si="390"/>
        <v>0</v>
      </c>
      <c r="M341" s="52"/>
      <c r="N341" s="85">
        <f>SUM('AP04'!$F341:$L341)</f>
        <v>852.7995619</v>
      </c>
      <c r="O341" s="51"/>
      <c r="P341" s="51">
        <f>Q340*('AP04'!$R341-1)</f>
        <v>0</v>
      </c>
      <c r="Q341" s="51">
        <f>(Q340*'AP04'!$R341)-'AP04'!$G341</f>
        <v>22536.32327</v>
      </c>
      <c r="R341" s="53">
        <f t="shared" si="149"/>
        <v>1</v>
      </c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56">
        <f t="shared" si="2"/>
        <v>328</v>
      </c>
      <c r="B342" s="50">
        <f t="shared" si="5"/>
        <v>53226</v>
      </c>
      <c r="C342" s="116">
        <f t="shared" si="126"/>
        <v>0.0775</v>
      </c>
      <c r="D342" s="116">
        <f>((1+'AP04'!$C342)^(1/12))-1</f>
        <v>0.006239681461</v>
      </c>
      <c r="E342" s="51">
        <f t="shared" si="127"/>
        <v>2089.154398</v>
      </c>
      <c r="F342" s="51">
        <f>(Q341*'AP04'!$R342)*'AP04'!$D342</f>
        <v>140.6194785</v>
      </c>
      <c r="G342" s="51">
        <f>(Q341*'AP04'!$R342)/($I$5-A341)</f>
        <v>682.918887</v>
      </c>
      <c r="H342" s="52">
        <f t="shared" ref="H342:L342" si="391">H341</f>
        <v>0</v>
      </c>
      <c r="I342" s="52">
        <f t="shared" si="391"/>
        <v>0</v>
      </c>
      <c r="J342" s="51">
        <f t="shared" si="391"/>
        <v>25</v>
      </c>
      <c r="K342" s="52">
        <f t="shared" si="391"/>
        <v>0</v>
      </c>
      <c r="L342" s="52">
        <f t="shared" si="391"/>
        <v>0</v>
      </c>
      <c r="M342" s="52"/>
      <c r="N342" s="85">
        <f>SUM('AP04'!$F342:$L342)</f>
        <v>848.5383656</v>
      </c>
      <c r="O342" s="51"/>
      <c r="P342" s="51">
        <f>Q341*('AP04'!$R342-1)</f>
        <v>0</v>
      </c>
      <c r="Q342" s="51">
        <f>(Q341*'AP04'!$R342)-'AP04'!$G342</f>
        <v>21853.40439</v>
      </c>
      <c r="R342" s="53">
        <f t="shared" si="149"/>
        <v>1</v>
      </c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56">
        <f t="shared" si="2"/>
        <v>329</v>
      </c>
      <c r="B343" s="50">
        <f t="shared" si="5"/>
        <v>53256</v>
      </c>
      <c r="C343" s="116">
        <f t="shared" si="126"/>
        <v>0.0775</v>
      </c>
      <c r="D343" s="116">
        <f>((1+'AP04'!$C343)^(1/12))-1</f>
        <v>0.006239681461</v>
      </c>
      <c r="E343" s="51">
        <f t="shared" si="127"/>
        <v>2089.154398</v>
      </c>
      <c r="F343" s="51">
        <f>(Q342*'AP04'!$R343)*'AP04'!$D343</f>
        <v>136.3582822</v>
      </c>
      <c r="G343" s="51">
        <f>(Q342*'AP04'!$R343)/($I$5-A342)</f>
        <v>682.918887</v>
      </c>
      <c r="H343" s="52">
        <f t="shared" ref="H343:L343" si="392">H342</f>
        <v>0</v>
      </c>
      <c r="I343" s="52">
        <f t="shared" si="392"/>
        <v>0</v>
      </c>
      <c r="J343" s="51">
        <f t="shared" si="392"/>
        <v>25</v>
      </c>
      <c r="K343" s="52">
        <f t="shared" si="392"/>
        <v>0</v>
      </c>
      <c r="L343" s="52">
        <f t="shared" si="392"/>
        <v>0</v>
      </c>
      <c r="M343" s="52"/>
      <c r="N343" s="85">
        <f>SUM('AP04'!$F343:$L343)</f>
        <v>844.2771693</v>
      </c>
      <c r="O343" s="51"/>
      <c r="P343" s="51">
        <f>Q342*('AP04'!$R343-1)</f>
        <v>0</v>
      </c>
      <c r="Q343" s="51">
        <f>(Q342*'AP04'!$R343)-'AP04'!$G343</f>
        <v>21170.4855</v>
      </c>
      <c r="R343" s="53">
        <f t="shared" si="149"/>
        <v>1</v>
      </c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56">
        <f t="shared" si="2"/>
        <v>330</v>
      </c>
      <c r="B344" s="50">
        <f t="shared" si="5"/>
        <v>53287</v>
      </c>
      <c r="C344" s="116">
        <f t="shared" si="126"/>
        <v>0.0775</v>
      </c>
      <c r="D344" s="116">
        <f>((1+'AP04'!$C344)^(1/12))-1</f>
        <v>0.006239681461</v>
      </c>
      <c r="E344" s="51">
        <f t="shared" si="127"/>
        <v>2089.154398</v>
      </c>
      <c r="F344" s="51">
        <f>(Q343*'AP04'!$R344)*'AP04'!$D344</f>
        <v>132.0970859</v>
      </c>
      <c r="G344" s="51">
        <f>(Q343*'AP04'!$R344)/($I$5-A343)</f>
        <v>682.918887</v>
      </c>
      <c r="H344" s="52">
        <f t="shared" ref="H344:L344" si="393">H343</f>
        <v>0</v>
      </c>
      <c r="I344" s="52">
        <f t="shared" si="393"/>
        <v>0</v>
      </c>
      <c r="J344" s="51">
        <f t="shared" si="393"/>
        <v>25</v>
      </c>
      <c r="K344" s="52">
        <f t="shared" si="393"/>
        <v>0</v>
      </c>
      <c r="L344" s="52">
        <f t="shared" si="393"/>
        <v>0</v>
      </c>
      <c r="M344" s="52"/>
      <c r="N344" s="85">
        <f>SUM('AP04'!$F344:$L344)</f>
        <v>840.0159729</v>
      </c>
      <c r="O344" s="51"/>
      <c r="P344" s="51">
        <f>Q343*('AP04'!$R344-1)</f>
        <v>0</v>
      </c>
      <c r="Q344" s="51">
        <f>(Q343*'AP04'!$R344)-'AP04'!$G344</f>
        <v>20487.56661</v>
      </c>
      <c r="R344" s="53">
        <f t="shared" si="149"/>
        <v>1</v>
      </c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56">
        <f t="shared" si="2"/>
        <v>331</v>
      </c>
      <c r="B345" s="50">
        <f t="shared" si="5"/>
        <v>53317</v>
      </c>
      <c r="C345" s="116">
        <f t="shared" si="126"/>
        <v>0.0775</v>
      </c>
      <c r="D345" s="116">
        <f>((1+'AP04'!$C345)^(1/12))-1</f>
        <v>0.006239681461</v>
      </c>
      <c r="E345" s="51">
        <f t="shared" si="127"/>
        <v>2089.154398</v>
      </c>
      <c r="F345" s="51">
        <f>(Q344*'AP04'!$R345)*'AP04'!$D345</f>
        <v>127.8358896</v>
      </c>
      <c r="G345" s="51">
        <f>(Q344*'AP04'!$R345)/($I$5-A344)</f>
        <v>682.918887</v>
      </c>
      <c r="H345" s="52">
        <f t="shared" ref="H345:L345" si="394">H344</f>
        <v>0</v>
      </c>
      <c r="I345" s="52">
        <f t="shared" si="394"/>
        <v>0</v>
      </c>
      <c r="J345" s="51">
        <f t="shared" si="394"/>
        <v>25</v>
      </c>
      <c r="K345" s="52">
        <f t="shared" si="394"/>
        <v>0</v>
      </c>
      <c r="L345" s="52">
        <f t="shared" si="394"/>
        <v>0</v>
      </c>
      <c r="M345" s="52"/>
      <c r="N345" s="85">
        <f>SUM('AP04'!$F345:$L345)</f>
        <v>835.7547766</v>
      </c>
      <c r="O345" s="51"/>
      <c r="P345" s="51">
        <f>Q344*('AP04'!$R345-1)</f>
        <v>0</v>
      </c>
      <c r="Q345" s="51">
        <f>(Q344*'AP04'!$R345)-'AP04'!$G345</f>
        <v>19804.64772</v>
      </c>
      <c r="R345" s="53">
        <f t="shared" si="149"/>
        <v>1</v>
      </c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56">
        <f t="shared" si="2"/>
        <v>332</v>
      </c>
      <c r="B346" s="50">
        <f t="shared" si="5"/>
        <v>53348</v>
      </c>
      <c r="C346" s="116">
        <f t="shared" si="126"/>
        <v>0.0775</v>
      </c>
      <c r="D346" s="116">
        <f>((1+'AP04'!$C346)^(1/12))-1</f>
        <v>0.006239681461</v>
      </c>
      <c r="E346" s="51">
        <f t="shared" si="127"/>
        <v>2089.154398</v>
      </c>
      <c r="F346" s="51">
        <f>(Q345*'AP04'!$R346)*'AP04'!$D346</f>
        <v>123.5746933</v>
      </c>
      <c r="G346" s="51">
        <f>(Q345*'AP04'!$R346)/($I$5-A345)</f>
        <v>682.918887</v>
      </c>
      <c r="H346" s="52">
        <f t="shared" ref="H346:L346" si="395">H345</f>
        <v>0</v>
      </c>
      <c r="I346" s="52">
        <f t="shared" si="395"/>
        <v>0</v>
      </c>
      <c r="J346" s="51">
        <f t="shared" si="395"/>
        <v>25</v>
      </c>
      <c r="K346" s="52">
        <f t="shared" si="395"/>
        <v>0</v>
      </c>
      <c r="L346" s="52">
        <f t="shared" si="395"/>
        <v>0</v>
      </c>
      <c r="M346" s="52"/>
      <c r="N346" s="85">
        <f>SUM('AP04'!$F346:$L346)</f>
        <v>831.4935803</v>
      </c>
      <c r="O346" s="51"/>
      <c r="P346" s="51">
        <f>Q345*('AP04'!$R346-1)</f>
        <v>0</v>
      </c>
      <c r="Q346" s="51">
        <f>(Q345*'AP04'!$R346)-'AP04'!$G346</f>
        <v>19121.72884</v>
      </c>
      <c r="R346" s="53">
        <f t="shared" si="149"/>
        <v>1</v>
      </c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56">
        <f t="shared" si="2"/>
        <v>333</v>
      </c>
      <c r="B347" s="50">
        <f t="shared" si="5"/>
        <v>53379</v>
      </c>
      <c r="C347" s="116">
        <f t="shared" si="126"/>
        <v>0.0775</v>
      </c>
      <c r="D347" s="116">
        <f>((1+'AP04'!$C347)^(1/12))-1</f>
        <v>0.006239681461</v>
      </c>
      <c r="E347" s="51">
        <f t="shared" si="127"/>
        <v>2089.154398</v>
      </c>
      <c r="F347" s="51">
        <f>(Q346*'AP04'!$R347)*'AP04'!$D347</f>
        <v>119.3134969</v>
      </c>
      <c r="G347" s="51">
        <f>(Q346*'AP04'!$R347)/($I$5-A346)</f>
        <v>682.918887</v>
      </c>
      <c r="H347" s="52">
        <f t="shared" ref="H347:L347" si="396">H346</f>
        <v>0</v>
      </c>
      <c r="I347" s="52">
        <f t="shared" si="396"/>
        <v>0</v>
      </c>
      <c r="J347" s="51">
        <f t="shared" si="396"/>
        <v>25</v>
      </c>
      <c r="K347" s="52">
        <f t="shared" si="396"/>
        <v>0</v>
      </c>
      <c r="L347" s="52">
        <f t="shared" si="396"/>
        <v>0</v>
      </c>
      <c r="M347" s="52"/>
      <c r="N347" s="85">
        <f>SUM('AP04'!$F347:$L347)</f>
        <v>827.232384</v>
      </c>
      <c r="O347" s="51"/>
      <c r="P347" s="51">
        <f>Q346*('AP04'!$R347-1)</f>
        <v>0</v>
      </c>
      <c r="Q347" s="51">
        <f>(Q346*'AP04'!$R347)-'AP04'!$G347</f>
        <v>18438.80995</v>
      </c>
      <c r="R347" s="53">
        <f t="shared" si="149"/>
        <v>1</v>
      </c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56">
        <f t="shared" si="2"/>
        <v>334</v>
      </c>
      <c r="B348" s="50">
        <f t="shared" si="5"/>
        <v>53407</v>
      </c>
      <c r="C348" s="116">
        <f t="shared" si="126"/>
        <v>0.0775</v>
      </c>
      <c r="D348" s="116">
        <f>((1+'AP04'!$C348)^(1/12))-1</f>
        <v>0.006239681461</v>
      </c>
      <c r="E348" s="51">
        <f t="shared" si="127"/>
        <v>2089.154398</v>
      </c>
      <c r="F348" s="51">
        <f>(Q347*'AP04'!$R348)*'AP04'!$D348</f>
        <v>115.0523006</v>
      </c>
      <c r="G348" s="51">
        <f>(Q347*'AP04'!$R348)/($I$5-A347)</f>
        <v>682.918887</v>
      </c>
      <c r="H348" s="52">
        <f t="shared" ref="H348:L348" si="397">H347</f>
        <v>0</v>
      </c>
      <c r="I348" s="52">
        <f t="shared" si="397"/>
        <v>0</v>
      </c>
      <c r="J348" s="51">
        <f t="shared" si="397"/>
        <v>25</v>
      </c>
      <c r="K348" s="52">
        <f t="shared" si="397"/>
        <v>0</v>
      </c>
      <c r="L348" s="52">
        <f t="shared" si="397"/>
        <v>0</v>
      </c>
      <c r="M348" s="52"/>
      <c r="N348" s="85">
        <f>SUM('AP04'!$F348:$L348)</f>
        <v>822.9711877</v>
      </c>
      <c r="O348" s="51"/>
      <c r="P348" s="51">
        <f>Q347*('AP04'!$R348-1)</f>
        <v>0</v>
      </c>
      <c r="Q348" s="51">
        <f>(Q347*'AP04'!$R348)-'AP04'!$G348</f>
        <v>17755.89106</v>
      </c>
      <c r="R348" s="53">
        <f t="shared" si="149"/>
        <v>1</v>
      </c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56">
        <f t="shared" si="2"/>
        <v>335</v>
      </c>
      <c r="B349" s="50">
        <f t="shared" si="5"/>
        <v>53438</v>
      </c>
      <c r="C349" s="116">
        <f t="shared" si="126"/>
        <v>0.0775</v>
      </c>
      <c r="D349" s="116">
        <f>((1+'AP04'!$C349)^(1/12))-1</f>
        <v>0.006239681461</v>
      </c>
      <c r="E349" s="51">
        <f t="shared" si="127"/>
        <v>2089.154398</v>
      </c>
      <c r="F349" s="51">
        <f>(Q348*'AP04'!$R349)*'AP04'!$D349</f>
        <v>110.7911043</v>
      </c>
      <c r="G349" s="51">
        <f>(Q348*'AP04'!$R349)/($I$5-A348)</f>
        <v>682.918887</v>
      </c>
      <c r="H349" s="52">
        <f t="shared" ref="H349:L349" si="398">H348</f>
        <v>0</v>
      </c>
      <c r="I349" s="52">
        <f t="shared" si="398"/>
        <v>0</v>
      </c>
      <c r="J349" s="51">
        <f t="shared" si="398"/>
        <v>25</v>
      </c>
      <c r="K349" s="52">
        <f t="shared" si="398"/>
        <v>0</v>
      </c>
      <c r="L349" s="52">
        <f t="shared" si="398"/>
        <v>0</v>
      </c>
      <c r="M349" s="52"/>
      <c r="N349" s="85">
        <f>SUM('AP04'!$F349:$L349)</f>
        <v>818.7099913</v>
      </c>
      <c r="O349" s="51"/>
      <c r="P349" s="51">
        <f>Q348*('AP04'!$R349-1)</f>
        <v>0</v>
      </c>
      <c r="Q349" s="51">
        <f>(Q348*'AP04'!$R349)-'AP04'!$G349</f>
        <v>17072.97218</v>
      </c>
      <c r="R349" s="53">
        <f t="shared" si="149"/>
        <v>1</v>
      </c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56">
        <f t="shared" si="2"/>
        <v>336</v>
      </c>
      <c r="B350" s="50">
        <f t="shared" si="5"/>
        <v>53468</v>
      </c>
      <c r="C350" s="116">
        <f t="shared" si="126"/>
        <v>0.0775</v>
      </c>
      <c r="D350" s="116">
        <f>((1+'AP04'!$C350)^(1/12))-1</f>
        <v>0.006239681461</v>
      </c>
      <c r="E350" s="51">
        <f t="shared" si="127"/>
        <v>2089.154398</v>
      </c>
      <c r="F350" s="51">
        <f>(Q349*'AP04'!$R350)*'AP04'!$D350</f>
        <v>106.529908</v>
      </c>
      <c r="G350" s="51">
        <f>(Q349*'AP04'!$R350)/($I$5-A349)</f>
        <v>682.918887</v>
      </c>
      <c r="H350" s="52">
        <f t="shared" ref="H350:L350" si="399">H349</f>
        <v>0</v>
      </c>
      <c r="I350" s="52">
        <f t="shared" si="399"/>
        <v>0</v>
      </c>
      <c r="J350" s="51">
        <f t="shared" si="399"/>
        <v>25</v>
      </c>
      <c r="K350" s="52">
        <f t="shared" si="399"/>
        <v>0</v>
      </c>
      <c r="L350" s="52">
        <f t="shared" si="399"/>
        <v>0</v>
      </c>
      <c r="M350" s="52"/>
      <c r="N350" s="85">
        <f>SUM('AP04'!$F350:$L350)</f>
        <v>814.448795</v>
      </c>
      <c r="O350" s="51"/>
      <c r="P350" s="51">
        <f>Q349*('AP04'!$R350-1)</f>
        <v>0</v>
      </c>
      <c r="Q350" s="51">
        <f>(Q349*'AP04'!$R350)-'AP04'!$G350</f>
        <v>16390.05329</v>
      </c>
      <c r="R350" s="53">
        <f t="shared" si="149"/>
        <v>1</v>
      </c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56">
        <f t="shared" si="2"/>
        <v>337</v>
      </c>
      <c r="B351" s="50">
        <f t="shared" si="5"/>
        <v>53499</v>
      </c>
      <c r="C351" s="116">
        <f t="shared" si="126"/>
        <v>0.0775</v>
      </c>
      <c r="D351" s="116">
        <f>((1+'AP04'!$C351)^(1/12))-1</f>
        <v>0.006239681461</v>
      </c>
      <c r="E351" s="51">
        <f t="shared" si="127"/>
        <v>2089.154398</v>
      </c>
      <c r="F351" s="51">
        <f>(Q350*'AP04'!$R351)*'AP04'!$D351</f>
        <v>102.2687117</v>
      </c>
      <c r="G351" s="51">
        <f>(Q350*'AP04'!$R351)/($I$5-A350)</f>
        <v>682.918887</v>
      </c>
      <c r="H351" s="52">
        <f t="shared" ref="H351:L351" si="400">H350</f>
        <v>0</v>
      </c>
      <c r="I351" s="52">
        <f t="shared" si="400"/>
        <v>0</v>
      </c>
      <c r="J351" s="51">
        <f t="shared" si="400"/>
        <v>25</v>
      </c>
      <c r="K351" s="52">
        <f t="shared" si="400"/>
        <v>0</v>
      </c>
      <c r="L351" s="52">
        <f t="shared" si="400"/>
        <v>0</v>
      </c>
      <c r="M351" s="52"/>
      <c r="N351" s="85">
        <f>SUM('AP04'!$F351:$L351)</f>
        <v>810.1875987</v>
      </c>
      <c r="O351" s="51"/>
      <c r="P351" s="51">
        <f>Q350*('AP04'!$R351-1)</f>
        <v>0</v>
      </c>
      <c r="Q351" s="51">
        <f>(Q350*'AP04'!$R351)-'AP04'!$G351</f>
        <v>15707.1344</v>
      </c>
      <c r="R351" s="53">
        <f t="shared" si="149"/>
        <v>1</v>
      </c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56">
        <f t="shared" si="2"/>
        <v>338</v>
      </c>
      <c r="B352" s="50">
        <f t="shared" si="5"/>
        <v>53529</v>
      </c>
      <c r="C352" s="116">
        <f t="shared" si="126"/>
        <v>0.0775</v>
      </c>
      <c r="D352" s="116">
        <f>((1+'AP04'!$C352)^(1/12))-1</f>
        <v>0.006239681461</v>
      </c>
      <c r="E352" s="51">
        <f t="shared" si="127"/>
        <v>2089.154398</v>
      </c>
      <c r="F352" s="51">
        <f>(Q351*'AP04'!$R352)*'AP04'!$D352</f>
        <v>98.00751534</v>
      </c>
      <c r="G352" s="51">
        <f>(Q351*'AP04'!$R352)/($I$5-A351)</f>
        <v>682.918887</v>
      </c>
      <c r="H352" s="52">
        <f t="shared" ref="H352:L352" si="401">H351</f>
        <v>0</v>
      </c>
      <c r="I352" s="52">
        <f t="shared" si="401"/>
        <v>0</v>
      </c>
      <c r="J352" s="51">
        <f t="shared" si="401"/>
        <v>25</v>
      </c>
      <c r="K352" s="52">
        <f t="shared" si="401"/>
        <v>0</v>
      </c>
      <c r="L352" s="52">
        <f t="shared" si="401"/>
        <v>0</v>
      </c>
      <c r="M352" s="52"/>
      <c r="N352" s="85">
        <f>SUM('AP04'!$F352:$L352)</f>
        <v>805.9264024</v>
      </c>
      <c r="O352" s="51"/>
      <c r="P352" s="51">
        <f>Q351*('AP04'!$R352-1)</f>
        <v>0</v>
      </c>
      <c r="Q352" s="51">
        <f>(Q351*'AP04'!$R352)-'AP04'!$G352</f>
        <v>15024.21551</v>
      </c>
      <c r="R352" s="53">
        <f t="shared" si="149"/>
        <v>1</v>
      </c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56">
        <f t="shared" si="2"/>
        <v>339</v>
      </c>
      <c r="B353" s="50">
        <f t="shared" si="5"/>
        <v>53560</v>
      </c>
      <c r="C353" s="116">
        <f t="shared" si="126"/>
        <v>0.0775</v>
      </c>
      <c r="D353" s="116">
        <f>((1+'AP04'!$C353)^(1/12))-1</f>
        <v>0.006239681461</v>
      </c>
      <c r="E353" s="51">
        <f t="shared" si="127"/>
        <v>2089.154398</v>
      </c>
      <c r="F353" s="51">
        <f>(Q352*'AP04'!$R353)*'AP04'!$D353</f>
        <v>93.74631902</v>
      </c>
      <c r="G353" s="51">
        <f>(Q352*'AP04'!$R353)/($I$5-A352)</f>
        <v>682.918887</v>
      </c>
      <c r="H353" s="52">
        <f t="shared" ref="H353:L353" si="402">H352</f>
        <v>0</v>
      </c>
      <c r="I353" s="52">
        <f t="shared" si="402"/>
        <v>0</v>
      </c>
      <c r="J353" s="51">
        <f t="shared" si="402"/>
        <v>25</v>
      </c>
      <c r="K353" s="52">
        <f t="shared" si="402"/>
        <v>0</v>
      </c>
      <c r="L353" s="52">
        <f t="shared" si="402"/>
        <v>0</v>
      </c>
      <c r="M353" s="52"/>
      <c r="N353" s="85">
        <f>SUM('AP04'!$F353:$L353)</f>
        <v>801.6652061</v>
      </c>
      <c r="O353" s="51"/>
      <c r="P353" s="51">
        <f>Q352*('AP04'!$R353-1)</f>
        <v>0</v>
      </c>
      <c r="Q353" s="51">
        <f>(Q352*'AP04'!$R353)-'AP04'!$G353</f>
        <v>14341.29663</v>
      </c>
      <c r="R353" s="53">
        <f t="shared" si="149"/>
        <v>1</v>
      </c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56">
        <f t="shared" si="2"/>
        <v>340</v>
      </c>
      <c r="B354" s="50">
        <f t="shared" si="5"/>
        <v>53591</v>
      </c>
      <c r="C354" s="116">
        <f t="shared" si="126"/>
        <v>0.0775</v>
      </c>
      <c r="D354" s="116">
        <f>((1+'AP04'!$C354)^(1/12))-1</f>
        <v>0.006239681461</v>
      </c>
      <c r="E354" s="51">
        <f t="shared" si="127"/>
        <v>2089.154398</v>
      </c>
      <c r="F354" s="51">
        <f>(Q353*'AP04'!$R354)*'AP04'!$D354</f>
        <v>89.4851227</v>
      </c>
      <c r="G354" s="51">
        <f>(Q353*'AP04'!$R354)/($I$5-A353)</f>
        <v>682.918887</v>
      </c>
      <c r="H354" s="52">
        <f t="shared" ref="H354:L354" si="403">H353</f>
        <v>0</v>
      </c>
      <c r="I354" s="52">
        <f t="shared" si="403"/>
        <v>0</v>
      </c>
      <c r="J354" s="51">
        <f t="shared" si="403"/>
        <v>25</v>
      </c>
      <c r="K354" s="52">
        <f t="shared" si="403"/>
        <v>0</v>
      </c>
      <c r="L354" s="52">
        <f t="shared" si="403"/>
        <v>0</v>
      </c>
      <c r="M354" s="52"/>
      <c r="N354" s="85">
        <f>SUM('AP04'!$F354:$L354)</f>
        <v>797.4040097</v>
      </c>
      <c r="O354" s="51"/>
      <c r="P354" s="51">
        <f>Q353*('AP04'!$R354-1)</f>
        <v>0</v>
      </c>
      <c r="Q354" s="51">
        <f>(Q353*'AP04'!$R354)-'AP04'!$G354</f>
        <v>13658.37774</v>
      </c>
      <c r="R354" s="53">
        <f t="shared" si="149"/>
        <v>1</v>
      </c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56">
        <f t="shared" si="2"/>
        <v>341</v>
      </c>
      <c r="B355" s="50">
        <f t="shared" si="5"/>
        <v>53621</v>
      </c>
      <c r="C355" s="116">
        <f t="shared" si="126"/>
        <v>0.0775</v>
      </c>
      <c r="D355" s="116">
        <f>((1+'AP04'!$C355)^(1/12))-1</f>
        <v>0.006239681461</v>
      </c>
      <c r="E355" s="51">
        <f t="shared" si="127"/>
        <v>2089.154398</v>
      </c>
      <c r="F355" s="51">
        <f>(Q354*'AP04'!$R355)*'AP04'!$D355</f>
        <v>85.22392638</v>
      </c>
      <c r="G355" s="51">
        <f>(Q354*'AP04'!$R355)/($I$5-A354)</f>
        <v>682.918887</v>
      </c>
      <c r="H355" s="52">
        <f t="shared" ref="H355:L355" si="404">H354</f>
        <v>0</v>
      </c>
      <c r="I355" s="52">
        <f t="shared" si="404"/>
        <v>0</v>
      </c>
      <c r="J355" s="51">
        <f t="shared" si="404"/>
        <v>25</v>
      </c>
      <c r="K355" s="52">
        <f t="shared" si="404"/>
        <v>0</v>
      </c>
      <c r="L355" s="52">
        <f t="shared" si="404"/>
        <v>0</v>
      </c>
      <c r="M355" s="52"/>
      <c r="N355" s="85">
        <f>SUM('AP04'!$F355:$L355)</f>
        <v>793.1428134</v>
      </c>
      <c r="O355" s="51"/>
      <c r="P355" s="51">
        <f>Q354*('AP04'!$R355-1)</f>
        <v>0</v>
      </c>
      <c r="Q355" s="51">
        <f>(Q354*'AP04'!$R355)-'AP04'!$G355</f>
        <v>12975.45885</v>
      </c>
      <c r="R355" s="53">
        <f t="shared" si="149"/>
        <v>1</v>
      </c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56">
        <f t="shared" si="2"/>
        <v>342</v>
      </c>
      <c r="B356" s="50">
        <f t="shared" si="5"/>
        <v>53652</v>
      </c>
      <c r="C356" s="116">
        <f t="shared" si="126"/>
        <v>0.0775</v>
      </c>
      <c r="D356" s="116">
        <f>((1+'AP04'!$C356)^(1/12))-1</f>
        <v>0.006239681461</v>
      </c>
      <c r="E356" s="51">
        <f t="shared" si="127"/>
        <v>2089.154398</v>
      </c>
      <c r="F356" s="51">
        <f>(Q355*'AP04'!$R356)*'AP04'!$D356</f>
        <v>80.96273006</v>
      </c>
      <c r="G356" s="51">
        <f>(Q355*'AP04'!$R356)/($I$5-A355)</f>
        <v>682.918887</v>
      </c>
      <c r="H356" s="52">
        <f t="shared" ref="H356:L356" si="405">H355</f>
        <v>0</v>
      </c>
      <c r="I356" s="52">
        <f t="shared" si="405"/>
        <v>0</v>
      </c>
      <c r="J356" s="51">
        <f t="shared" si="405"/>
        <v>25</v>
      </c>
      <c r="K356" s="52">
        <f t="shared" si="405"/>
        <v>0</v>
      </c>
      <c r="L356" s="52">
        <f t="shared" si="405"/>
        <v>0</v>
      </c>
      <c r="M356" s="52"/>
      <c r="N356" s="85">
        <f>SUM('AP04'!$F356:$L356)</f>
        <v>788.8816171</v>
      </c>
      <c r="O356" s="51"/>
      <c r="P356" s="51">
        <f>Q355*('AP04'!$R356-1)</f>
        <v>0</v>
      </c>
      <c r="Q356" s="51">
        <f>(Q355*'AP04'!$R356)-'AP04'!$G356</f>
        <v>12292.53997</v>
      </c>
      <c r="R356" s="53">
        <f t="shared" si="149"/>
        <v>1</v>
      </c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56">
        <f t="shared" si="2"/>
        <v>343</v>
      </c>
      <c r="B357" s="50">
        <f t="shared" si="5"/>
        <v>53682</v>
      </c>
      <c r="C357" s="116">
        <f t="shared" si="126"/>
        <v>0.0775</v>
      </c>
      <c r="D357" s="116">
        <f>((1+'AP04'!$C357)^(1/12))-1</f>
        <v>0.006239681461</v>
      </c>
      <c r="E357" s="51">
        <f t="shared" si="127"/>
        <v>2089.154398</v>
      </c>
      <c r="F357" s="51">
        <f>(Q356*'AP04'!$R357)*'AP04'!$D357</f>
        <v>76.70153374</v>
      </c>
      <c r="G357" s="51">
        <f>(Q356*'AP04'!$R357)/($I$5-A356)</f>
        <v>682.918887</v>
      </c>
      <c r="H357" s="52">
        <f t="shared" ref="H357:L357" si="406">H356</f>
        <v>0</v>
      </c>
      <c r="I357" s="52">
        <f t="shared" si="406"/>
        <v>0</v>
      </c>
      <c r="J357" s="51">
        <f t="shared" si="406"/>
        <v>25</v>
      </c>
      <c r="K357" s="52">
        <f t="shared" si="406"/>
        <v>0</v>
      </c>
      <c r="L357" s="52">
        <f t="shared" si="406"/>
        <v>0</v>
      </c>
      <c r="M357" s="52"/>
      <c r="N357" s="85">
        <f>SUM('AP04'!$F357:$L357)</f>
        <v>784.6204208</v>
      </c>
      <c r="O357" s="51"/>
      <c r="P357" s="51">
        <f>Q356*('AP04'!$R357-1)</f>
        <v>0</v>
      </c>
      <c r="Q357" s="51">
        <f>(Q356*'AP04'!$R357)-'AP04'!$G357</f>
        <v>11609.62108</v>
      </c>
      <c r="R357" s="53">
        <f t="shared" si="149"/>
        <v>1</v>
      </c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56">
        <f t="shared" si="2"/>
        <v>344</v>
      </c>
      <c r="B358" s="50">
        <f t="shared" si="5"/>
        <v>53713</v>
      </c>
      <c r="C358" s="116">
        <f t="shared" si="126"/>
        <v>0.0775</v>
      </c>
      <c r="D358" s="116">
        <f>((1+'AP04'!$C358)^(1/12))-1</f>
        <v>0.006239681461</v>
      </c>
      <c r="E358" s="51">
        <f t="shared" si="127"/>
        <v>2089.154398</v>
      </c>
      <c r="F358" s="51">
        <f>(Q357*'AP04'!$R358)*'AP04'!$D358</f>
        <v>72.44033742</v>
      </c>
      <c r="G358" s="51">
        <f>(Q357*'AP04'!$R358)/($I$5-A357)</f>
        <v>682.918887</v>
      </c>
      <c r="H358" s="52">
        <f t="shared" ref="H358:L358" si="407">H357</f>
        <v>0</v>
      </c>
      <c r="I358" s="52">
        <f t="shared" si="407"/>
        <v>0</v>
      </c>
      <c r="J358" s="51">
        <f t="shared" si="407"/>
        <v>25</v>
      </c>
      <c r="K358" s="52">
        <f t="shared" si="407"/>
        <v>0</v>
      </c>
      <c r="L358" s="52">
        <f t="shared" si="407"/>
        <v>0</v>
      </c>
      <c r="M358" s="52"/>
      <c r="N358" s="85">
        <f>SUM('AP04'!$F358:$L358)</f>
        <v>780.3592245</v>
      </c>
      <c r="O358" s="51"/>
      <c r="P358" s="51">
        <f>Q357*('AP04'!$R358-1)</f>
        <v>0</v>
      </c>
      <c r="Q358" s="51">
        <f>(Q357*'AP04'!$R358)-'AP04'!$G358</f>
        <v>10926.70219</v>
      </c>
      <c r="R358" s="53">
        <f t="shared" si="149"/>
        <v>1</v>
      </c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56">
        <f t="shared" si="2"/>
        <v>345</v>
      </c>
      <c r="B359" s="50">
        <f t="shared" si="5"/>
        <v>53744</v>
      </c>
      <c r="C359" s="116">
        <f t="shared" si="126"/>
        <v>0.0775</v>
      </c>
      <c r="D359" s="116">
        <f>((1+'AP04'!$C359)^(1/12))-1</f>
        <v>0.006239681461</v>
      </c>
      <c r="E359" s="51">
        <f t="shared" si="127"/>
        <v>2089.154398</v>
      </c>
      <c r="F359" s="51">
        <f>(Q358*'AP04'!$R359)*'AP04'!$D359</f>
        <v>68.1791411</v>
      </c>
      <c r="G359" s="51">
        <f>(Q358*'AP04'!$R359)/($I$5-A358)</f>
        <v>682.918887</v>
      </c>
      <c r="H359" s="52">
        <f t="shared" ref="H359:L359" si="408">H358</f>
        <v>0</v>
      </c>
      <c r="I359" s="52">
        <f t="shared" si="408"/>
        <v>0</v>
      </c>
      <c r="J359" s="51">
        <f t="shared" si="408"/>
        <v>25</v>
      </c>
      <c r="K359" s="52">
        <f t="shared" si="408"/>
        <v>0</v>
      </c>
      <c r="L359" s="52">
        <f t="shared" si="408"/>
        <v>0</v>
      </c>
      <c r="M359" s="52"/>
      <c r="N359" s="85">
        <f>SUM('AP04'!$F359:$L359)</f>
        <v>776.0980281</v>
      </c>
      <c r="O359" s="51"/>
      <c r="P359" s="51">
        <f>Q358*('AP04'!$R359-1)</f>
        <v>0</v>
      </c>
      <c r="Q359" s="51">
        <f>(Q358*'AP04'!$R359)-'AP04'!$G359</f>
        <v>10243.78331</v>
      </c>
      <c r="R359" s="53">
        <f t="shared" si="149"/>
        <v>1</v>
      </c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56">
        <f t="shared" si="2"/>
        <v>346</v>
      </c>
      <c r="B360" s="50">
        <f t="shared" si="5"/>
        <v>53772</v>
      </c>
      <c r="C360" s="116">
        <f t="shared" si="126"/>
        <v>0.0775</v>
      </c>
      <c r="D360" s="116">
        <f>((1+'AP04'!$C360)^(1/12))-1</f>
        <v>0.006239681461</v>
      </c>
      <c r="E360" s="51">
        <f t="shared" si="127"/>
        <v>2089.154398</v>
      </c>
      <c r="F360" s="51">
        <f>(Q359*'AP04'!$R360)*'AP04'!$D360</f>
        <v>63.91794479</v>
      </c>
      <c r="G360" s="51">
        <f>(Q359*'AP04'!$R360)/($I$5-A359)</f>
        <v>682.918887</v>
      </c>
      <c r="H360" s="52">
        <f t="shared" ref="H360:L360" si="409">H359</f>
        <v>0</v>
      </c>
      <c r="I360" s="52">
        <f t="shared" si="409"/>
        <v>0</v>
      </c>
      <c r="J360" s="51">
        <f t="shared" si="409"/>
        <v>25</v>
      </c>
      <c r="K360" s="52">
        <f t="shared" si="409"/>
        <v>0</v>
      </c>
      <c r="L360" s="52">
        <f t="shared" si="409"/>
        <v>0</v>
      </c>
      <c r="M360" s="52"/>
      <c r="N360" s="85">
        <f>SUM('AP04'!$F360:$L360)</f>
        <v>771.8368318</v>
      </c>
      <c r="O360" s="51"/>
      <c r="P360" s="51">
        <f>Q359*('AP04'!$R360-1)</f>
        <v>0</v>
      </c>
      <c r="Q360" s="51">
        <f>(Q359*'AP04'!$R360)-'AP04'!$G360</f>
        <v>9560.864419</v>
      </c>
      <c r="R360" s="53">
        <f t="shared" si="149"/>
        <v>1</v>
      </c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56">
        <f t="shared" si="2"/>
        <v>347</v>
      </c>
      <c r="B361" s="50">
        <f t="shared" si="5"/>
        <v>53803</v>
      </c>
      <c r="C361" s="116">
        <f t="shared" si="126"/>
        <v>0.0775</v>
      </c>
      <c r="D361" s="116">
        <f>((1+'AP04'!$C361)^(1/12))-1</f>
        <v>0.006239681461</v>
      </c>
      <c r="E361" s="51">
        <f t="shared" si="127"/>
        <v>2089.154398</v>
      </c>
      <c r="F361" s="51">
        <f>(Q360*'AP04'!$R361)*'AP04'!$D361</f>
        <v>59.65674847</v>
      </c>
      <c r="G361" s="51">
        <f>(Q360*'AP04'!$R361)/($I$5-A360)</f>
        <v>682.918887</v>
      </c>
      <c r="H361" s="52">
        <f t="shared" ref="H361:L361" si="410">H360</f>
        <v>0</v>
      </c>
      <c r="I361" s="52">
        <f t="shared" si="410"/>
        <v>0</v>
      </c>
      <c r="J361" s="51">
        <f t="shared" si="410"/>
        <v>25</v>
      </c>
      <c r="K361" s="52">
        <f t="shared" si="410"/>
        <v>0</v>
      </c>
      <c r="L361" s="52">
        <f t="shared" si="410"/>
        <v>0</v>
      </c>
      <c r="M361" s="52"/>
      <c r="N361" s="85">
        <f>SUM('AP04'!$F361:$L361)</f>
        <v>767.5756355</v>
      </c>
      <c r="O361" s="51"/>
      <c r="P361" s="51">
        <f>Q360*('AP04'!$R361-1)</f>
        <v>0</v>
      </c>
      <c r="Q361" s="51">
        <f>(Q360*'AP04'!$R361)-'AP04'!$G361</f>
        <v>8877.945532</v>
      </c>
      <c r="R361" s="53">
        <f t="shared" si="149"/>
        <v>1</v>
      </c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56">
        <f t="shared" si="2"/>
        <v>348</v>
      </c>
      <c r="B362" s="50">
        <f t="shared" si="5"/>
        <v>53833</v>
      </c>
      <c r="C362" s="116">
        <f t="shared" si="126"/>
        <v>0.0775</v>
      </c>
      <c r="D362" s="116">
        <f>((1+'AP04'!$C362)^(1/12))-1</f>
        <v>0.006239681461</v>
      </c>
      <c r="E362" s="51">
        <f t="shared" si="127"/>
        <v>2089.154398</v>
      </c>
      <c r="F362" s="51">
        <f>(Q361*'AP04'!$R362)*'AP04'!$D362</f>
        <v>55.39555215</v>
      </c>
      <c r="G362" s="51">
        <f>(Q361*'AP04'!$R362)/($I$5-A361)</f>
        <v>682.918887</v>
      </c>
      <c r="H362" s="52">
        <f t="shared" ref="H362:L362" si="411">H361</f>
        <v>0</v>
      </c>
      <c r="I362" s="52">
        <f t="shared" si="411"/>
        <v>0</v>
      </c>
      <c r="J362" s="51">
        <f t="shared" si="411"/>
        <v>25</v>
      </c>
      <c r="K362" s="52">
        <f t="shared" si="411"/>
        <v>0</v>
      </c>
      <c r="L362" s="52">
        <f t="shared" si="411"/>
        <v>0</v>
      </c>
      <c r="M362" s="52"/>
      <c r="N362" s="85">
        <f>SUM('AP04'!$F362:$L362)</f>
        <v>763.3144392</v>
      </c>
      <c r="O362" s="51"/>
      <c r="P362" s="51">
        <f>Q361*('AP04'!$R362-1)</f>
        <v>0</v>
      </c>
      <c r="Q362" s="51">
        <f>(Q361*'AP04'!$R362)-'AP04'!$G362</f>
        <v>8195.026645</v>
      </c>
      <c r="R362" s="53">
        <f t="shared" si="149"/>
        <v>1</v>
      </c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56">
        <f t="shared" si="2"/>
        <v>349</v>
      </c>
      <c r="B363" s="50">
        <f t="shared" si="5"/>
        <v>53864</v>
      </c>
      <c r="C363" s="116">
        <f t="shared" si="126"/>
        <v>0.0775</v>
      </c>
      <c r="D363" s="116">
        <f>((1+'AP04'!$C363)^(1/12))-1</f>
        <v>0.006239681461</v>
      </c>
      <c r="E363" s="51">
        <f t="shared" si="127"/>
        <v>2089.154398</v>
      </c>
      <c r="F363" s="51">
        <f>(Q362*'AP04'!$R363)*'AP04'!$D363</f>
        <v>51.13435583</v>
      </c>
      <c r="G363" s="51">
        <f>(Q362*'AP04'!$R363)/($I$5-A362)</f>
        <v>682.918887</v>
      </c>
      <c r="H363" s="52">
        <f t="shared" ref="H363:L363" si="412">H362</f>
        <v>0</v>
      </c>
      <c r="I363" s="52">
        <f t="shared" si="412"/>
        <v>0</v>
      </c>
      <c r="J363" s="51">
        <f t="shared" si="412"/>
        <v>25</v>
      </c>
      <c r="K363" s="52">
        <f t="shared" si="412"/>
        <v>0</v>
      </c>
      <c r="L363" s="52">
        <f t="shared" si="412"/>
        <v>0</v>
      </c>
      <c r="M363" s="52"/>
      <c r="N363" s="85">
        <f>SUM('AP04'!$F363:$L363)</f>
        <v>759.0532429</v>
      </c>
      <c r="O363" s="51"/>
      <c r="P363" s="51">
        <f>Q362*('AP04'!$R363-1)</f>
        <v>0</v>
      </c>
      <c r="Q363" s="51">
        <f>(Q362*'AP04'!$R363)-'AP04'!$G363</f>
        <v>7512.107757</v>
      </c>
      <c r="R363" s="53">
        <f t="shared" si="149"/>
        <v>1</v>
      </c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56">
        <f t="shared" si="2"/>
        <v>350</v>
      </c>
      <c r="B364" s="50">
        <f t="shared" si="5"/>
        <v>53894</v>
      </c>
      <c r="C364" s="116">
        <f t="shared" si="126"/>
        <v>0.0775</v>
      </c>
      <c r="D364" s="116">
        <f>((1+'AP04'!$C364)^(1/12))-1</f>
        <v>0.006239681461</v>
      </c>
      <c r="E364" s="51">
        <f t="shared" si="127"/>
        <v>2089.154398</v>
      </c>
      <c r="F364" s="51">
        <f>(Q363*'AP04'!$R364)*'AP04'!$D364</f>
        <v>46.87315951</v>
      </c>
      <c r="G364" s="51">
        <f>(Q363*'AP04'!$R364)/($I$5-A363)</f>
        <v>682.918887</v>
      </c>
      <c r="H364" s="52">
        <f t="shared" ref="H364:L364" si="413">H363</f>
        <v>0</v>
      </c>
      <c r="I364" s="52">
        <f t="shared" si="413"/>
        <v>0</v>
      </c>
      <c r="J364" s="51">
        <f t="shared" si="413"/>
        <v>25</v>
      </c>
      <c r="K364" s="52">
        <f t="shared" si="413"/>
        <v>0</v>
      </c>
      <c r="L364" s="52">
        <f t="shared" si="413"/>
        <v>0</v>
      </c>
      <c r="M364" s="52"/>
      <c r="N364" s="85">
        <f>SUM('AP04'!$F364:$L364)</f>
        <v>754.7920466</v>
      </c>
      <c r="O364" s="51"/>
      <c r="P364" s="51">
        <f>Q363*('AP04'!$R364-1)</f>
        <v>0</v>
      </c>
      <c r="Q364" s="51">
        <f>(Q363*'AP04'!$R364)-'AP04'!$G364</f>
        <v>6829.18887</v>
      </c>
      <c r="R364" s="53">
        <f t="shared" si="149"/>
        <v>1</v>
      </c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56">
        <f t="shared" si="2"/>
        <v>351</v>
      </c>
      <c r="B365" s="50">
        <f t="shared" si="5"/>
        <v>53925</v>
      </c>
      <c r="C365" s="116">
        <f t="shared" si="126"/>
        <v>0.0775</v>
      </c>
      <c r="D365" s="116">
        <f>((1+'AP04'!$C365)^(1/12))-1</f>
        <v>0.006239681461</v>
      </c>
      <c r="E365" s="51">
        <f t="shared" si="127"/>
        <v>2089.154398</v>
      </c>
      <c r="F365" s="51">
        <f>(Q364*'AP04'!$R365)*'AP04'!$D365</f>
        <v>42.61196319</v>
      </c>
      <c r="G365" s="51">
        <f>(Q364*'AP04'!$R365)/($I$5-A364)</f>
        <v>682.918887</v>
      </c>
      <c r="H365" s="52">
        <f t="shared" ref="H365:L365" si="414">H364</f>
        <v>0</v>
      </c>
      <c r="I365" s="52">
        <f t="shared" si="414"/>
        <v>0</v>
      </c>
      <c r="J365" s="51">
        <f t="shared" si="414"/>
        <v>25</v>
      </c>
      <c r="K365" s="52">
        <f t="shared" si="414"/>
        <v>0</v>
      </c>
      <c r="L365" s="52">
        <f t="shared" si="414"/>
        <v>0</v>
      </c>
      <c r="M365" s="52"/>
      <c r="N365" s="85">
        <f>SUM('AP04'!$F365:$L365)</f>
        <v>750.5308502</v>
      </c>
      <c r="O365" s="51"/>
      <c r="P365" s="51">
        <f>Q364*('AP04'!$R365-1)</f>
        <v>0</v>
      </c>
      <c r="Q365" s="51">
        <f>(Q364*'AP04'!$R365)-'AP04'!$G365</f>
        <v>6146.269983</v>
      </c>
      <c r="R365" s="53">
        <f t="shared" si="149"/>
        <v>1</v>
      </c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56">
        <f t="shared" si="2"/>
        <v>352</v>
      </c>
      <c r="B366" s="50">
        <f t="shared" si="5"/>
        <v>53956</v>
      </c>
      <c r="C366" s="116">
        <f t="shared" si="126"/>
        <v>0.0775</v>
      </c>
      <c r="D366" s="116">
        <f>((1+'AP04'!$C366)^(1/12))-1</f>
        <v>0.006239681461</v>
      </c>
      <c r="E366" s="51">
        <f t="shared" si="127"/>
        <v>2089.154398</v>
      </c>
      <c r="F366" s="51">
        <f>(Q365*'AP04'!$R366)*'AP04'!$D366</f>
        <v>38.35076687</v>
      </c>
      <c r="G366" s="51">
        <f>(Q365*'AP04'!$R366)/($I$5-A365)</f>
        <v>682.918887</v>
      </c>
      <c r="H366" s="52">
        <f t="shared" ref="H366:L366" si="415">H365</f>
        <v>0</v>
      </c>
      <c r="I366" s="52">
        <f t="shared" si="415"/>
        <v>0</v>
      </c>
      <c r="J366" s="51">
        <f t="shared" si="415"/>
        <v>25</v>
      </c>
      <c r="K366" s="52">
        <f t="shared" si="415"/>
        <v>0</v>
      </c>
      <c r="L366" s="52">
        <f t="shared" si="415"/>
        <v>0</v>
      </c>
      <c r="M366" s="52"/>
      <c r="N366" s="85">
        <f>SUM('AP04'!$F366:$L366)</f>
        <v>746.2696539</v>
      </c>
      <c r="O366" s="51"/>
      <c r="P366" s="51">
        <f>Q365*('AP04'!$R366-1)</f>
        <v>0</v>
      </c>
      <c r="Q366" s="51">
        <f>(Q365*'AP04'!$R366)-'AP04'!$G366</f>
        <v>5463.351096</v>
      </c>
      <c r="R366" s="53">
        <f t="shared" si="149"/>
        <v>1</v>
      </c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56">
        <f t="shared" si="2"/>
        <v>353</v>
      </c>
      <c r="B367" s="50">
        <f t="shared" si="5"/>
        <v>53986</v>
      </c>
      <c r="C367" s="116">
        <f t="shared" si="126"/>
        <v>0.0775</v>
      </c>
      <c r="D367" s="116">
        <f>((1+'AP04'!$C367)^(1/12))-1</f>
        <v>0.006239681461</v>
      </c>
      <c r="E367" s="51">
        <f t="shared" si="127"/>
        <v>2089.154398</v>
      </c>
      <c r="F367" s="51">
        <f>(Q366*'AP04'!$R367)*'AP04'!$D367</f>
        <v>34.08957055</v>
      </c>
      <c r="G367" s="51">
        <f>(Q366*'AP04'!$R367)/($I$5-A366)</f>
        <v>682.918887</v>
      </c>
      <c r="H367" s="52">
        <f t="shared" ref="H367:L367" si="416">H366</f>
        <v>0</v>
      </c>
      <c r="I367" s="52">
        <f t="shared" si="416"/>
        <v>0</v>
      </c>
      <c r="J367" s="51">
        <f t="shared" si="416"/>
        <v>25</v>
      </c>
      <c r="K367" s="52">
        <f t="shared" si="416"/>
        <v>0</v>
      </c>
      <c r="L367" s="52">
        <f t="shared" si="416"/>
        <v>0</v>
      </c>
      <c r="M367" s="52"/>
      <c r="N367" s="85">
        <f>SUM('AP04'!$F367:$L367)</f>
        <v>742.0084576</v>
      </c>
      <c r="O367" s="51"/>
      <c r="P367" s="51">
        <f>Q366*('AP04'!$R367-1)</f>
        <v>0</v>
      </c>
      <c r="Q367" s="51">
        <f>(Q366*'AP04'!$R367)-'AP04'!$G367</f>
        <v>4780.432209</v>
      </c>
      <c r="R367" s="53">
        <f t="shared" si="149"/>
        <v>1</v>
      </c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56">
        <f t="shared" si="2"/>
        <v>354</v>
      </c>
      <c r="B368" s="50">
        <f t="shared" si="5"/>
        <v>54017</v>
      </c>
      <c r="C368" s="116">
        <f t="shared" si="126"/>
        <v>0.0775</v>
      </c>
      <c r="D368" s="116">
        <f>((1+'AP04'!$C368)^(1/12))-1</f>
        <v>0.006239681461</v>
      </c>
      <c r="E368" s="51">
        <f t="shared" si="127"/>
        <v>2089.154398</v>
      </c>
      <c r="F368" s="51">
        <f>(Q367*'AP04'!$R368)*'AP04'!$D368</f>
        <v>29.82837423</v>
      </c>
      <c r="G368" s="51">
        <f>(Q367*'AP04'!$R368)/($I$5-A367)</f>
        <v>682.918887</v>
      </c>
      <c r="H368" s="52">
        <f t="shared" ref="H368:L368" si="417">H367</f>
        <v>0</v>
      </c>
      <c r="I368" s="52">
        <f t="shared" si="417"/>
        <v>0</v>
      </c>
      <c r="J368" s="51">
        <f t="shared" si="417"/>
        <v>25</v>
      </c>
      <c r="K368" s="52">
        <f t="shared" si="417"/>
        <v>0</v>
      </c>
      <c r="L368" s="52">
        <f t="shared" si="417"/>
        <v>0</v>
      </c>
      <c r="M368" s="52"/>
      <c r="N368" s="85">
        <f>SUM('AP04'!$F368:$L368)</f>
        <v>737.7472613</v>
      </c>
      <c r="O368" s="51"/>
      <c r="P368" s="51">
        <f>Q367*('AP04'!$R368-1)</f>
        <v>0</v>
      </c>
      <c r="Q368" s="51">
        <f>(Q367*'AP04'!$R368)-'AP04'!$G368</f>
        <v>4097.513322</v>
      </c>
      <c r="R368" s="53">
        <f t="shared" si="149"/>
        <v>1</v>
      </c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56">
        <f t="shared" si="2"/>
        <v>355</v>
      </c>
      <c r="B369" s="50">
        <f t="shared" si="5"/>
        <v>54047</v>
      </c>
      <c r="C369" s="116">
        <f t="shared" si="126"/>
        <v>0.0775</v>
      </c>
      <c r="D369" s="116">
        <f>((1+'AP04'!$C369)^(1/12))-1</f>
        <v>0.006239681461</v>
      </c>
      <c r="E369" s="51">
        <f t="shared" si="127"/>
        <v>2089.154398</v>
      </c>
      <c r="F369" s="51">
        <f>(Q368*'AP04'!$R369)*'AP04'!$D369</f>
        <v>25.56717791</v>
      </c>
      <c r="G369" s="51">
        <f>(Q368*'AP04'!$R369)/($I$5-A368)</f>
        <v>682.918887</v>
      </c>
      <c r="H369" s="52">
        <f t="shared" ref="H369:L369" si="418">H368</f>
        <v>0</v>
      </c>
      <c r="I369" s="52">
        <f t="shared" si="418"/>
        <v>0</v>
      </c>
      <c r="J369" s="51">
        <f t="shared" si="418"/>
        <v>25</v>
      </c>
      <c r="K369" s="52">
        <f t="shared" si="418"/>
        <v>0</v>
      </c>
      <c r="L369" s="52">
        <f t="shared" si="418"/>
        <v>0</v>
      </c>
      <c r="M369" s="52"/>
      <c r="N369" s="85">
        <f>SUM('AP04'!$F369:$L369)</f>
        <v>733.486065</v>
      </c>
      <c r="O369" s="51"/>
      <c r="P369" s="51">
        <f>Q368*('AP04'!$R369-1)</f>
        <v>0</v>
      </c>
      <c r="Q369" s="51">
        <f>(Q368*'AP04'!$R369)-'AP04'!$G369</f>
        <v>3414.594435</v>
      </c>
      <c r="R369" s="53">
        <f t="shared" si="149"/>
        <v>1</v>
      </c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56">
        <f t="shared" si="2"/>
        <v>356</v>
      </c>
      <c r="B370" s="50">
        <f t="shared" si="5"/>
        <v>54078</v>
      </c>
      <c r="C370" s="116">
        <f t="shared" si="126"/>
        <v>0.0775</v>
      </c>
      <c r="D370" s="116">
        <f>((1+'AP04'!$C370)^(1/12))-1</f>
        <v>0.006239681461</v>
      </c>
      <c r="E370" s="51">
        <f t="shared" si="127"/>
        <v>2089.154398</v>
      </c>
      <c r="F370" s="51">
        <f>(Q369*'AP04'!$R370)*'AP04'!$D370</f>
        <v>21.3059816</v>
      </c>
      <c r="G370" s="51">
        <f>(Q369*'AP04'!$R370)/($I$5-A369)</f>
        <v>682.918887</v>
      </c>
      <c r="H370" s="52">
        <f t="shared" ref="H370:L370" si="419">H369</f>
        <v>0</v>
      </c>
      <c r="I370" s="52">
        <f t="shared" si="419"/>
        <v>0</v>
      </c>
      <c r="J370" s="51">
        <f t="shared" si="419"/>
        <v>25</v>
      </c>
      <c r="K370" s="52">
        <f t="shared" si="419"/>
        <v>0</v>
      </c>
      <c r="L370" s="52">
        <f t="shared" si="419"/>
        <v>0</v>
      </c>
      <c r="M370" s="52"/>
      <c r="N370" s="85">
        <f>SUM('AP04'!$F370:$L370)</f>
        <v>729.2248686</v>
      </c>
      <c r="O370" s="51"/>
      <c r="P370" s="51">
        <f>Q369*('AP04'!$R370-1)</f>
        <v>0</v>
      </c>
      <c r="Q370" s="51">
        <f>(Q369*'AP04'!$R370)-'AP04'!$G370</f>
        <v>2731.675548</v>
      </c>
      <c r="R370" s="53">
        <f t="shared" si="149"/>
        <v>1</v>
      </c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56">
        <f t="shared" si="2"/>
        <v>357</v>
      </c>
      <c r="B371" s="50">
        <f t="shared" si="5"/>
        <v>54109</v>
      </c>
      <c r="C371" s="116">
        <f t="shared" si="126"/>
        <v>0.0775</v>
      </c>
      <c r="D371" s="116">
        <f>((1+'AP04'!$C371)^(1/12))-1</f>
        <v>0.006239681461</v>
      </c>
      <c r="E371" s="51">
        <f t="shared" si="127"/>
        <v>2089.154398</v>
      </c>
      <c r="F371" s="51">
        <f>(Q370*'AP04'!$R371)*'AP04'!$D371</f>
        <v>17.04478528</v>
      </c>
      <c r="G371" s="51">
        <f>(Q370*'AP04'!$R371)/($I$5-A370)</f>
        <v>682.918887</v>
      </c>
      <c r="H371" s="52">
        <f t="shared" ref="H371:L371" si="420">H370</f>
        <v>0</v>
      </c>
      <c r="I371" s="52">
        <f t="shared" si="420"/>
        <v>0</v>
      </c>
      <c r="J371" s="51">
        <f t="shared" si="420"/>
        <v>25</v>
      </c>
      <c r="K371" s="52">
        <f t="shared" si="420"/>
        <v>0</v>
      </c>
      <c r="L371" s="52">
        <f t="shared" si="420"/>
        <v>0</v>
      </c>
      <c r="M371" s="52"/>
      <c r="N371" s="85">
        <f>SUM('AP04'!$F371:$L371)</f>
        <v>724.9636723</v>
      </c>
      <c r="O371" s="51"/>
      <c r="P371" s="51">
        <f>Q370*('AP04'!$R371-1)</f>
        <v>0</v>
      </c>
      <c r="Q371" s="51">
        <f>(Q370*'AP04'!$R371)-'AP04'!$G371</f>
        <v>2048.756661</v>
      </c>
      <c r="R371" s="53">
        <f t="shared" si="149"/>
        <v>1</v>
      </c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56">
        <f t="shared" si="2"/>
        <v>358</v>
      </c>
      <c r="B372" s="50">
        <f t="shared" si="5"/>
        <v>54138</v>
      </c>
      <c r="C372" s="116">
        <f t="shared" si="126"/>
        <v>0.0775</v>
      </c>
      <c r="D372" s="116">
        <f>((1+'AP04'!$C372)^(1/12))-1</f>
        <v>0.006239681461</v>
      </c>
      <c r="E372" s="51">
        <f t="shared" si="127"/>
        <v>2089.154398</v>
      </c>
      <c r="F372" s="51">
        <f>(Q371*'AP04'!$R372)*'AP04'!$D372</f>
        <v>12.78358896</v>
      </c>
      <c r="G372" s="51">
        <f>(Q371*'AP04'!$R372)/($I$5-A371)</f>
        <v>682.918887</v>
      </c>
      <c r="H372" s="52">
        <f t="shared" ref="H372:L372" si="421">H371</f>
        <v>0</v>
      </c>
      <c r="I372" s="52">
        <f t="shared" si="421"/>
        <v>0</v>
      </c>
      <c r="J372" s="51">
        <f t="shared" si="421"/>
        <v>25</v>
      </c>
      <c r="K372" s="52">
        <f t="shared" si="421"/>
        <v>0</v>
      </c>
      <c r="L372" s="52">
        <f t="shared" si="421"/>
        <v>0</v>
      </c>
      <c r="M372" s="52"/>
      <c r="N372" s="85">
        <f>SUM('AP04'!$F372:$L372)</f>
        <v>720.702476</v>
      </c>
      <c r="O372" s="51"/>
      <c r="P372" s="51">
        <f>Q371*('AP04'!$R372-1)</f>
        <v>0</v>
      </c>
      <c r="Q372" s="51">
        <f>(Q371*'AP04'!$R372)-'AP04'!$G372</f>
        <v>1365.837774</v>
      </c>
      <c r="R372" s="53">
        <f t="shared" si="149"/>
        <v>1</v>
      </c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56">
        <f t="shared" si="2"/>
        <v>359</v>
      </c>
      <c r="B373" s="50">
        <f t="shared" si="5"/>
        <v>54169</v>
      </c>
      <c r="C373" s="116">
        <f t="shared" si="126"/>
        <v>0.0775</v>
      </c>
      <c r="D373" s="116">
        <f>((1+'AP04'!$C373)^(1/12))-1</f>
        <v>0.006239681461</v>
      </c>
      <c r="E373" s="51">
        <f t="shared" si="127"/>
        <v>2089.154398</v>
      </c>
      <c r="F373" s="51">
        <f>(Q372*'AP04'!$R373)*'AP04'!$D373</f>
        <v>8.522392638</v>
      </c>
      <c r="G373" s="51">
        <f>(Q372*'AP04'!$R373)/($I$5-A372)</f>
        <v>682.918887</v>
      </c>
      <c r="H373" s="52">
        <f t="shared" ref="H373:L373" si="422">H372</f>
        <v>0</v>
      </c>
      <c r="I373" s="52">
        <f t="shared" si="422"/>
        <v>0</v>
      </c>
      <c r="J373" s="51">
        <f t="shared" si="422"/>
        <v>25</v>
      </c>
      <c r="K373" s="52">
        <f t="shared" si="422"/>
        <v>0</v>
      </c>
      <c r="L373" s="52">
        <f t="shared" si="422"/>
        <v>0</v>
      </c>
      <c r="M373" s="52"/>
      <c r="N373" s="85">
        <f>SUM('AP04'!$F373:$L373)</f>
        <v>716.4412797</v>
      </c>
      <c r="O373" s="51"/>
      <c r="P373" s="51">
        <f>Q372*('AP04'!$R373-1)</f>
        <v>0</v>
      </c>
      <c r="Q373" s="51">
        <f>(Q372*'AP04'!$R373)-'AP04'!$G373</f>
        <v>682.918887</v>
      </c>
      <c r="R373" s="53">
        <f t="shared" si="149"/>
        <v>1</v>
      </c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56">
        <f t="shared" si="2"/>
        <v>360</v>
      </c>
      <c r="B374" s="50">
        <f t="shared" si="5"/>
        <v>54199</v>
      </c>
      <c r="C374" s="116">
        <f t="shared" si="126"/>
        <v>0.0775</v>
      </c>
      <c r="D374" s="116">
        <f>((1+'AP04'!$C374)^(1/12))-1</f>
        <v>0.006239681461</v>
      </c>
      <c r="E374" s="51">
        <f t="shared" si="127"/>
        <v>2089.154398</v>
      </c>
      <c r="F374" s="51">
        <f>(Q373*'AP04'!$R374)*'AP04'!$D374</f>
        <v>4.261196319</v>
      </c>
      <c r="G374" s="51">
        <f>(Q373*'AP04'!$R374)/($I$5-A373)</f>
        <v>682.918887</v>
      </c>
      <c r="H374" s="52">
        <f t="shared" ref="H374:L374" si="423">H373</f>
        <v>0</v>
      </c>
      <c r="I374" s="52">
        <f t="shared" si="423"/>
        <v>0</v>
      </c>
      <c r="J374" s="51">
        <f t="shared" si="423"/>
        <v>25</v>
      </c>
      <c r="K374" s="52">
        <f t="shared" si="423"/>
        <v>0</v>
      </c>
      <c r="L374" s="52">
        <f t="shared" si="423"/>
        <v>0</v>
      </c>
      <c r="M374" s="52"/>
      <c r="N374" s="85">
        <f>SUM('AP04'!$F374:$L374)</f>
        <v>712.1800834</v>
      </c>
      <c r="O374" s="51"/>
      <c r="P374" s="51">
        <f>Q373*('AP04'!$R374-1)</f>
        <v>0</v>
      </c>
      <c r="Q374" s="85">
        <f>(Q373*'AP04'!$R374)-'AP04'!$G374</f>
        <v>0</v>
      </c>
      <c r="R374" s="53">
        <f t="shared" si="149"/>
        <v>1</v>
      </c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7.75" customHeight="1">
      <c r="A376" s="86" t="s">
        <v>80</v>
      </c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8"/>
      <c r="S376" s="4"/>
      <c r="T376" s="4"/>
      <c r="U376" s="4"/>
      <c r="V376" s="4"/>
      <c r="W376" s="4"/>
      <c r="X376" s="4"/>
      <c r="Y376" s="4"/>
      <c r="Z376" s="4"/>
    </row>
    <row r="377" ht="27.75" customHeight="1">
      <c r="A377" s="89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1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R1"/>
    <mergeCell ref="A376:R377"/>
  </mergeCells>
  <printOptions horizontalCentered="1"/>
  <pageMargins bottom="1.020625" footer="0.0" header="0.0" left="0.5118110236220472" right="0.5118110236220472" top="0.9540625"/>
  <pageSetup paperSize="9" scale="71" orientation="landscape"/>
  <headerFooter>
    <oddHeader/>
    <oddFooter>&amp;RPágina &amp;P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3.43"/>
    <col customWidth="1" min="3" max="3" width="12.14"/>
    <col customWidth="1" min="4" max="4" width="12.57"/>
    <col customWidth="1" min="5" max="5" width="11.14"/>
    <col customWidth="1" min="6" max="6" width="10.71"/>
    <col customWidth="1" min="7" max="7" width="13.57"/>
    <col customWidth="1" min="8" max="8" width="8.43"/>
    <col customWidth="1" min="9" max="9" width="10.14"/>
    <col customWidth="1" min="10" max="10" width="6.86"/>
    <col customWidth="1" min="11" max="11" width="7.14"/>
    <col customWidth="1" min="12" max="12" width="6.43"/>
    <col customWidth="1" min="13" max="13" width="9.71"/>
    <col customWidth="1" min="14" max="14" width="11.0"/>
    <col customWidth="1" min="15" max="15" width="13.86"/>
    <col customWidth="1" min="16" max="16" width="11.43"/>
    <col customWidth="1" min="17" max="17" width="14.57"/>
    <col customWidth="1" min="18" max="18" width="10.71"/>
    <col customWidth="1" min="19" max="19" width="9.14"/>
    <col customWidth="1" min="20" max="20" width="12.71"/>
    <col customWidth="1" min="21" max="21" width="9.14"/>
    <col customWidth="1" min="22" max="22" width="12.43"/>
    <col customWidth="1" min="23" max="25" width="9.14"/>
    <col customWidth="1" min="26" max="26" width="8.71"/>
  </cols>
  <sheetData>
    <row r="1" ht="18.7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tr">
        <f>'AP01'!A3</f>
        <v>Requerente: ADRIANA MELO DE OLIVEIRA</v>
      </c>
      <c r="B3" s="6"/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 t="str">
        <f>'AP01'!A4</f>
        <v>Requerido: ITAÚ UNIBANCO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1" t="s">
        <v>3</v>
      </c>
      <c r="B5" s="12"/>
      <c r="C5" s="12"/>
      <c r="D5" s="13">
        <f>'AP01'!D5</f>
        <v>432000</v>
      </c>
      <c r="E5" s="14"/>
      <c r="F5" s="12" t="s">
        <v>4</v>
      </c>
      <c r="G5" s="14"/>
      <c r="H5" s="14"/>
      <c r="I5" s="15">
        <f>'AP01'!I5</f>
        <v>360</v>
      </c>
      <c r="J5" s="4"/>
      <c r="K5" s="4"/>
      <c r="L5" s="4"/>
      <c r="M5" s="4"/>
      <c r="N5" s="4"/>
      <c r="O5" s="4"/>
      <c r="P5" s="4"/>
      <c r="Q5" s="4"/>
      <c r="R5" s="16"/>
      <c r="S5" s="4"/>
      <c r="T5" s="4"/>
      <c r="U5" s="4"/>
      <c r="V5" s="4"/>
      <c r="W5" s="4"/>
      <c r="X5" s="4"/>
      <c r="Y5" s="4"/>
      <c r="Z5" s="4"/>
    </row>
    <row r="6" ht="18.75" customHeight="1">
      <c r="A6" s="18" t="s">
        <v>5</v>
      </c>
      <c r="B6" s="19"/>
      <c r="C6" s="19"/>
      <c r="D6" s="20">
        <f>'AP01'!D6</f>
        <v>129600</v>
      </c>
      <c r="E6" s="4"/>
      <c r="F6" s="101" t="s">
        <v>51</v>
      </c>
      <c r="G6" s="102"/>
      <c r="H6" s="102"/>
      <c r="I6" s="103">
        <v>0.0062</v>
      </c>
      <c r="J6" s="4"/>
      <c r="K6" s="4"/>
      <c r="L6" s="4"/>
      <c r="M6" s="4"/>
      <c r="N6" s="4"/>
      <c r="O6" s="4"/>
      <c r="P6" s="4"/>
      <c r="Q6" s="4"/>
      <c r="R6" s="23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7</v>
      </c>
      <c r="B7" s="19"/>
      <c r="C7" s="19"/>
      <c r="D7" s="20">
        <f>D5-D6</f>
        <v>302400</v>
      </c>
      <c r="E7" s="4"/>
      <c r="F7" s="101" t="s">
        <v>54</v>
      </c>
      <c r="G7" s="102"/>
      <c r="H7" s="102"/>
      <c r="I7" s="103">
        <v>0.0775</v>
      </c>
      <c r="J7" s="4"/>
      <c r="K7" s="4"/>
      <c r="L7" s="4"/>
      <c r="M7" s="4"/>
      <c r="N7" s="4"/>
      <c r="O7" s="4"/>
      <c r="P7" s="4"/>
      <c r="Q7" s="4"/>
      <c r="R7" s="23"/>
      <c r="S7" s="4"/>
      <c r="T7" s="4"/>
      <c r="U7" s="4"/>
      <c r="V7" s="4"/>
      <c r="W7" s="4"/>
      <c r="X7" s="4"/>
      <c r="Y7" s="4"/>
      <c r="Z7" s="4"/>
    </row>
    <row r="8" ht="18.75" customHeight="1">
      <c r="A8" s="18" t="s">
        <v>10</v>
      </c>
      <c r="B8" s="19"/>
      <c r="C8" s="19"/>
      <c r="D8" s="26">
        <f>'AP01'!D8</f>
        <v>43241</v>
      </c>
      <c r="E8" s="4"/>
      <c r="F8" s="21" t="s">
        <v>8</v>
      </c>
      <c r="G8" s="4"/>
      <c r="H8" s="4"/>
      <c r="I8" s="22">
        <f>'AP01'!I7</f>
        <v>0.117</v>
      </c>
      <c r="J8" s="4"/>
      <c r="K8" s="4"/>
      <c r="L8" s="4"/>
      <c r="M8" s="4"/>
      <c r="N8" s="4"/>
      <c r="O8" s="4"/>
      <c r="P8" s="4"/>
      <c r="Q8" s="4"/>
      <c r="R8" s="28"/>
      <c r="S8" s="4"/>
      <c r="T8" s="4"/>
      <c r="U8" s="4"/>
      <c r="V8" s="4"/>
      <c r="W8" s="4"/>
      <c r="X8" s="4"/>
      <c r="Y8" s="4"/>
      <c r="Z8" s="4"/>
    </row>
    <row r="9" ht="18.75" customHeight="1">
      <c r="A9" s="18" t="s">
        <v>12</v>
      </c>
      <c r="B9" s="19"/>
      <c r="C9" s="19"/>
      <c r="D9" s="26">
        <f>'AP01'!D9</f>
        <v>43272</v>
      </c>
      <c r="E9" s="4"/>
      <c r="F9" s="108" t="s">
        <v>58</v>
      </c>
      <c r="G9" s="109"/>
      <c r="H9" s="109"/>
      <c r="I9" s="110">
        <f>(I8/I7)-1</f>
        <v>0.5096774194</v>
      </c>
      <c r="J9" s="4"/>
      <c r="K9" s="4"/>
      <c r="L9" s="4"/>
      <c r="M9" s="4"/>
      <c r="N9" s="4"/>
      <c r="O9" s="4"/>
      <c r="P9" s="4"/>
      <c r="Q9" s="4"/>
      <c r="R9" s="28"/>
      <c r="S9" s="4"/>
      <c r="T9" s="4"/>
      <c r="U9" s="4"/>
      <c r="V9" s="4"/>
      <c r="W9" s="4"/>
      <c r="X9" s="4"/>
      <c r="Y9" s="4"/>
      <c r="Z9" s="4"/>
    </row>
    <row r="10" ht="18.75" customHeight="1">
      <c r="A10" s="18" t="s">
        <v>14</v>
      </c>
      <c r="B10" s="19"/>
      <c r="C10" s="19"/>
      <c r="D10" s="16" t="str">
        <f>'AP01'!D10</f>
        <v>SAC</v>
      </c>
      <c r="E10" s="4"/>
      <c r="F10" s="19" t="s">
        <v>16</v>
      </c>
      <c r="G10" s="4"/>
      <c r="H10" s="4"/>
      <c r="I10" s="29">
        <f>'AP01'!I10</f>
        <v>2549.813565</v>
      </c>
      <c r="J10" s="4"/>
      <c r="K10" s="4"/>
      <c r="L10" s="4"/>
      <c r="M10" s="4"/>
      <c r="N10" s="4"/>
      <c r="O10" s="4"/>
      <c r="P10" s="4"/>
      <c r="Q10" s="4"/>
      <c r="R10" s="20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31" t="s">
        <v>17</v>
      </c>
      <c r="B11" s="32"/>
      <c r="C11" s="32"/>
      <c r="D11" s="33" t="str">
        <f>'AP01'!D11</f>
        <v>TR</v>
      </c>
      <c r="E11" s="34"/>
      <c r="F11" s="32" t="s">
        <v>19</v>
      </c>
      <c r="G11" s="34"/>
      <c r="H11" s="34"/>
      <c r="I11" s="35" t="str">
        <f>'AP01'!I11</f>
        <v>SFH</v>
      </c>
      <c r="J11" s="4"/>
      <c r="K11" s="4"/>
      <c r="L11" s="4"/>
      <c r="M11" s="4"/>
      <c r="N11" s="4"/>
      <c r="O11" s="4"/>
      <c r="P11" s="4"/>
      <c r="Q11" s="4"/>
      <c r="R11" s="19"/>
      <c r="S11" s="4"/>
      <c r="T11" s="4"/>
      <c r="U11" s="4"/>
      <c r="V11" s="4"/>
      <c r="W11" s="4"/>
      <c r="X11" s="4"/>
      <c r="Y11" s="4"/>
      <c r="Z11" s="4"/>
    </row>
    <row r="12" ht="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6"/>
      <c r="R12" s="36"/>
      <c r="S12" s="4"/>
      <c r="T12" s="4"/>
      <c r="U12" s="4"/>
      <c r="V12" s="4"/>
      <c r="W12" s="4"/>
      <c r="X12" s="4"/>
      <c r="Y12" s="4"/>
      <c r="Z12" s="4"/>
    </row>
    <row r="13" ht="54.0" customHeight="1">
      <c r="A13" s="37" t="s">
        <v>21</v>
      </c>
      <c r="B13" s="38" t="s">
        <v>22</v>
      </c>
      <c r="C13" s="39" t="s">
        <v>23</v>
      </c>
      <c r="D13" s="39" t="s">
        <v>24</v>
      </c>
      <c r="E13" s="39" t="s">
        <v>25</v>
      </c>
      <c r="F13" s="40" t="s">
        <v>26</v>
      </c>
      <c r="G13" s="40" t="s">
        <v>75</v>
      </c>
      <c r="H13" s="40" t="s">
        <v>28</v>
      </c>
      <c r="I13" s="40" t="s">
        <v>29</v>
      </c>
      <c r="J13" s="40" t="s">
        <v>30</v>
      </c>
      <c r="K13" s="40" t="s">
        <v>31</v>
      </c>
      <c r="L13" s="40" t="s">
        <v>32</v>
      </c>
      <c r="M13" s="40" t="s">
        <v>76</v>
      </c>
      <c r="N13" s="40" t="s">
        <v>77</v>
      </c>
      <c r="O13" s="40" t="s">
        <v>78</v>
      </c>
      <c r="P13" s="40" t="s">
        <v>34</v>
      </c>
      <c r="Q13" s="40" t="s">
        <v>82</v>
      </c>
      <c r="R13" s="40" t="s">
        <v>17</v>
      </c>
      <c r="S13" s="4"/>
      <c r="T13" s="4"/>
      <c r="U13" s="4"/>
      <c r="V13" s="4"/>
      <c r="W13" s="4"/>
      <c r="X13" s="4"/>
      <c r="Y13" s="4"/>
      <c r="Z13" s="4"/>
    </row>
    <row r="14" ht="18.75" customHeight="1">
      <c r="A14" s="41">
        <v>0.0</v>
      </c>
      <c r="B14" s="42">
        <f t="shared" ref="B14:B15" si="1">D8</f>
        <v>43241</v>
      </c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4"/>
      <c r="O14" s="136"/>
      <c r="P14" s="43"/>
      <c r="Q14" s="45">
        <f>D7</f>
        <v>302400</v>
      </c>
      <c r="R14" s="45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9">
        <f t="shared" ref="A15:A374" si="2">A14+1</f>
        <v>1</v>
      </c>
      <c r="B15" s="50">
        <f t="shared" si="1"/>
        <v>43272</v>
      </c>
      <c r="C15" s="47">
        <v>0.07</v>
      </c>
      <c r="D15" s="47">
        <v>0.005654</v>
      </c>
      <c r="E15" s="51">
        <f>'AP05'!$F15+'AP05'!$G15</f>
        <v>2549.7696</v>
      </c>
      <c r="F15" s="51">
        <f>(Q14*'AP05'!$R15)*'AP05'!$D15</f>
        <v>1709.7696</v>
      </c>
      <c r="G15" s="51">
        <f>(Q14*'AP05'!$R15)/($I$5-A14)</f>
        <v>840</v>
      </c>
      <c r="H15" s="52">
        <v>0.0</v>
      </c>
      <c r="I15" s="52">
        <v>0.0</v>
      </c>
      <c r="J15" s="51">
        <v>25.0</v>
      </c>
      <c r="K15" s="52">
        <v>0.0</v>
      </c>
      <c r="L15" s="52">
        <v>0.0</v>
      </c>
      <c r="M15" s="51">
        <f>'AP03'!D8</f>
        <v>2714.96</v>
      </c>
      <c r="N15" s="51">
        <f>SUM('AP05'!$F15:$L15)</f>
        <v>2574.7696</v>
      </c>
      <c r="O15" s="137">
        <f>'AP05'!$M15-'AP05'!$N15</f>
        <v>140.1904</v>
      </c>
      <c r="P15" s="51">
        <f>Q14*('AP05'!$R15-1)</f>
        <v>0</v>
      </c>
      <c r="Q15" s="51">
        <f>(Q14*'AP05'!$R15)-'AP05'!$G15-'AP05'!$O15</f>
        <v>301419.8096</v>
      </c>
      <c r="R15" s="53">
        <v>1.0</v>
      </c>
      <c r="S15" s="4"/>
      <c r="T15" s="112"/>
      <c r="U15" s="4"/>
      <c r="V15" s="84"/>
      <c r="W15" s="4"/>
      <c r="X15" s="84"/>
      <c r="Y15" s="54"/>
      <c r="Z15" s="4"/>
    </row>
    <row r="16" ht="18.75" customHeight="1">
      <c r="A16" s="49">
        <f t="shared" si="2"/>
        <v>2</v>
      </c>
      <c r="B16" s="50">
        <f t="shared" ref="B16:B374" si="5">EDATE(B15,1)</f>
        <v>43302</v>
      </c>
      <c r="C16" s="47">
        <f t="shared" ref="C16:D16" si="3">C15</f>
        <v>0.07</v>
      </c>
      <c r="D16" s="47">
        <f t="shared" si="3"/>
        <v>0.005654</v>
      </c>
      <c r="E16" s="51">
        <f>'AP05'!$F16+'AP05'!$G16</f>
        <v>2543.837101</v>
      </c>
      <c r="F16" s="51">
        <f>(Q15*'AP05'!$R16)*'AP05'!$D16</f>
        <v>1704.227603</v>
      </c>
      <c r="G16" s="51">
        <f>(Q15*'AP05'!$R16)/($I$5-A15)</f>
        <v>839.6094975</v>
      </c>
      <c r="H16" s="52">
        <f t="shared" ref="H16:L16" si="4">H15</f>
        <v>0</v>
      </c>
      <c r="I16" s="52">
        <f t="shared" si="4"/>
        <v>0</v>
      </c>
      <c r="J16" s="51">
        <f t="shared" si="4"/>
        <v>25</v>
      </c>
      <c r="K16" s="52">
        <f t="shared" si="4"/>
        <v>0</v>
      </c>
      <c r="L16" s="52">
        <f t="shared" si="4"/>
        <v>0</v>
      </c>
      <c r="M16" s="51">
        <f>'AP03'!D9</f>
        <v>2640.04</v>
      </c>
      <c r="N16" s="51">
        <f>SUM('AP05'!$F16:$L16)</f>
        <v>2568.837101</v>
      </c>
      <c r="O16" s="137">
        <f>'AP05'!$M16-'AP05'!$N16</f>
        <v>71.20289903</v>
      </c>
      <c r="P16" s="51">
        <f>Q15*('AP05'!$R16-1)</f>
        <v>0</v>
      </c>
      <c r="Q16" s="51">
        <f>(Q15*'AP05'!$R16)-'AP05'!$G16-'AP05'!$O16</f>
        <v>300508.9972</v>
      </c>
      <c r="R16" s="53">
        <f t="shared" ref="R16:R57" si="8">R15</f>
        <v>1</v>
      </c>
      <c r="S16" s="4"/>
      <c r="T16" s="4"/>
      <c r="U16" s="4"/>
      <c r="V16" s="4"/>
      <c r="W16" s="4"/>
      <c r="X16" s="4"/>
      <c r="Y16" s="4"/>
      <c r="Z16" s="4"/>
    </row>
    <row r="17" ht="18.75" customHeight="1">
      <c r="A17" s="49">
        <f t="shared" si="2"/>
        <v>3</v>
      </c>
      <c r="B17" s="50">
        <f t="shared" si="5"/>
        <v>43333</v>
      </c>
      <c r="C17" s="47">
        <f t="shared" ref="C17:D17" si="6">C16</f>
        <v>0.07</v>
      </c>
      <c r="D17" s="47">
        <f t="shared" si="6"/>
        <v>0.005654</v>
      </c>
      <c r="E17" s="51">
        <f>'AP05'!$F17+'AP05'!$G17</f>
        <v>2538.488477</v>
      </c>
      <c r="F17" s="51">
        <f>(Q16*'AP05'!$R17)*'AP05'!$D17</f>
        <v>1699.07787</v>
      </c>
      <c r="G17" s="51">
        <f>(Q16*'AP05'!$R17)/($I$5-A16)</f>
        <v>839.4106067</v>
      </c>
      <c r="H17" s="52">
        <f t="shared" ref="H17:L17" si="7">H16</f>
        <v>0</v>
      </c>
      <c r="I17" s="52">
        <f t="shared" si="7"/>
        <v>0</v>
      </c>
      <c r="J17" s="51">
        <f t="shared" si="7"/>
        <v>25</v>
      </c>
      <c r="K17" s="52">
        <f t="shared" si="7"/>
        <v>0</v>
      </c>
      <c r="L17" s="52">
        <f t="shared" si="7"/>
        <v>0</v>
      </c>
      <c r="M17" s="51">
        <f>'AP03'!D10</f>
        <v>2635.2</v>
      </c>
      <c r="N17" s="51">
        <f>SUM('AP05'!$F17:$L17)</f>
        <v>2563.488477</v>
      </c>
      <c r="O17" s="137">
        <f>'AP05'!$M17-'AP05'!$N17</f>
        <v>71.7115231</v>
      </c>
      <c r="P17" s="51">
        <f>Q16*('AP05'!$R17-1)</f>
        <v>0</v>
      </c>
      <c r="Q17" s="51">
        <f>(Q16*'AP05'!$R17)-'AP05'!$G17-'AP05'!$O17</f>
        <v>299597.8751</v>
      </c>
      <c r="R17" s="53">
        <f t="shared" si="8"/>
        <v>1</v>
      </c>
      <c r="S17" s="4"/>
      <c r="T17" s="4"/>
      <c r="U17" s="4"/>
      <c r="V17" s="4"/>
      <c r="W17" s="4"/>
      <c r="X17" s="4"/>
      <c r="Y17" s="4"/>
      <c r="Z17" s="4"/>
    </row>
    <row r="18" ht="18.75" customHeight="1">
      <c r="A18" s="49">
        <f t="shared" si="2"/>
        <v>4</v>
      </c>
      <c r="B18" s="50">
        <f t="shared" si="5"/>
        <v>43364</v>
      </c>
      <c r="C18" s="47">
        <f t="shared" ref="C18:D18" si="9">C17</f>
        <v>0.07</v>
      </c>
      <c r="D18" s="47">
        <f t="shared" si="9"/>
        <v>0.005654</v>
      </c>
      <c r="E18" s="51">
        <f>'AP05'!$F18+'AP05'!$G18</f>
        <v>2533.13612</v>
      </c>
      <c r="F18" s="51">
        <f>(Q17*'AP05'!$R18)*'AP05'!$D18</f>
        <v>1693.926386</v>
      </c>
      <c r="G18" s="51">
        <f>(Q17*'AP05'!$R18)/($I$5-A17)</f>
        <v>839.2097341</v>
      </c>
      <c r="H18" s="52">
        <f t="shared" ref="H18:L18" si="10">H17</f>
        <v>0</v>
      </c>
      <c r="I18" s="52">
        <f t="shared" si="10"/>
        <v>0</v>
      </c>
      <c r="J18" s="51">
        <f t="shared" si="10"/>
        <v>25</v>
      </c>
      <c r="K18" s="52">
        <f t="shared" si="10"/>
        <v>0</v>
      </c>
      <c r="L18" s="52">
        <f t="shared" si="10"/>
        <v>0</v>
      </c>
      <c r="M18" s="51">
        <f>'AP03'!D11</f>
        <v>2630.36</v>
      </c>
      <c r="N18" s="51">
        <f>SUM('AP05'!$F18:$L18)</f>
        <v>2558.13612</v>
      </c>
      <c r="O18" s="137">
        <f>'AP05'!$M18-'AP05'!$N18</f>
        <v>72.22388023</v>
      </c>
      <c r="P18" s="51">
        <f>Q17*('AP05'!$R18-1)</f>
        <v>0</v>
      </c>
      <c r="Q18" s="51">
        <f>(Q17*'AP05'!$R18)-'AP05'!$G18-'AP05'!$O18</f>
        <v>298686.4415</v>
      </c>
      <c r="R18" s="53">
        <f t="shared" si="8"/>
        <v>1</v>
      </c>
      <c r="S18" s="4"/>
      <c r="T18" s="4"/>
      <c r="U18" s="4"/>
      <c r="V18" s="4"/>
      <c r="W18" s="4"/>
      <c r="X18" s="4"/>
      <c r="Y18" s="4"/>
      <c r="Z18" s="4"/>
    </row>
    <row r="19" ht="18.75" customHeight="1">
      <c r="A19" s="49">
        <f t="shared" si="2"/>
        <v>5</v>
      </c>
      <c r="B19" s="50">
        <f t="shared" si="5"/>
        <v>43394</v>
      </c>
      <c r="C19" s="47">
        <f t="shared" ref="C19:D19" si="11">C18</f>
        <v>0.07</v>
      </c>
      <c r="D19" s="47">
        <f t="shared" si="11"/>
        <v>0.005654</v>
      </c>
      <c r="E19" s="51">
        <f>'AP05'!$F19+'AP05'!$G19</f>
        <v>2527.779998</v>
      </c>
      <c r="F19" s="51">
        <f>(Q18*'AP05'!$R19)*'AP05'!$D19</f>
        <v>1688.77314</v>
      </c>
      <c r="G19" s="51">
        <f>(Q18*'AP05'!$R19)/($I$5-A18)</f>
        <v>839.006858</v>
      </c>
      <c r="H19" s="52">
        <f t="shared" ref="H19:L19" si="12">H18</f>
        <v>0</v>
      </c>
      <c r="I19" s="52">
        <f t="shared" si="12"/>
        <v>0</v>
      </c>
      <c r="J19" s="51">
        <f t="shared" si="12"/>
        <v>25</v>
      </c>
      <c r="K19" s="52">
        <f t="shared" si="12"/>
        <v>0</v>
      </c>
      <c r="L19" s="52">
        <f t="shared" si="12"/>
        <v>0</v>
      </c>
      <c r="M19" s="51">
        <f>'AP03'!D12</f>
        <v>2625.52</v>
      </c>
      <c r="N19" s="51">
        <f>SUM('AP05'!$F19:$L19)</f>
        <v>2552.779998</v>
      </c>
      <c r="O19" s="137">
        <f>'AP05'!$M19-'AP05'!$N19</f>
        <v>72.74000196</v>
      </c>
      <c r="P19" s="51">
        <f>Q18*('AP05'!$R19-1)</f>
        <v>0</v>
      </c>
      <c r="Q19" s="51">
        <f>(Q18*'AP05'!$R19)-'AP05'!$G19-'AP05'!$O19</f>
        <v>297774.6946</v>
      </c>
      <c r="R19" s="53">
        <f t="shared" si="8"/>
        <v>1</v>
      </c>
      <c r="S19" s="4"/>
      <c r="T19" s="4"/>
      <c r="U19" s="4"/>
      <c r="V19" s="4"/>
      <c r="W19" s="4"/>
      <c r="X19" s="4"/>
      <c r="Y19" s="4"/>
      <c r="Z19" s="4"/>
    </row>
    <row r="20" ht="18.75" customHeight="1">
      <c r="A20" s="49">
        <f t="shared" si="2"/>
        <v>6</v>
      </c>
      <c r="B20" s="50">
        <f t="shared" si="5"/>
        <v>43425</v>
      </c>
      <c r="C20" s="47">
        <f t="shared" ref="C20:D20" si="13">C19</f>
        <v>0.07</v>
      </c>
      <c r="D20" s="47">
        <f t="shared" si="13"/>
        <v>0.005654</v>
      </c>
      <c r="E20" s="51">
        <f>'AP05'!$F20+'AP05'!$G20</f>
        <v>2522.42008</v>
      </c>
      <c r="F20" s="51">
        <f>(Q19*'AP05'!$R20)*'AP05'!$D20</f>
        <v>1683.618123</v>
      </c>
      <c r="G20" s="51">
        <f>(Q19*'AP05'!$R20)/($I$5-A19)</f>
        <v>838.8019566</v>
      </c>
      <c r="H20" s="52">
        <f t="shared" ref="H20:L20" si="14">H19</f>
        <v>0</v>
      </c>
      <c r="I20" s="52">
        <f t="shared" si="14"/>
        <v>0</v>
      </c>
      <c r="J20" s="51">
        <f t="shared" si="14"/>
        <v>25</v>
      </c>
      <c r="K20" s="52">
        <f t="shared" si="14"/>
        <v>0</v>
      </c>
      <c r="L20" s="52">
        <f t="shared" si="14"/>
        <v>0</v>
      </c>
      <c r="M20" s="51">
        <f>'AP03'!D13</f>
        <v>2620.69</v>
      </c>
      <c r="N20" s="51">
        <f>SUM('AP05'!$F20:$L20)</f>
        <v>2547.42008</v>
      </c>
      <c r="O20" s="137">
        <f>'AP05'!$M20-'AP05'!$N20</f>
        <v>73.26992012</v>
      </c>
      <c r="P20" s="51">
        <f>Q19*('AP05'!$R20-1)</f>
        <v>0</v>
      </c>
      <c r="Q20" s="51">
        <f>(Q19*'AP05'!$R20)-'AP05'!$G20-'AP05'!$O20</f>
        <v>296862.6227</v>
      </c>
      <c r="R20" s="53">
        <f t="shared" si="8"/>
        <v>1</v>
      </c>
      <c r="S20" s="4"/>
      <c r="T20" s="4"/>
      <c r="U20" s="4"/>
      <c r="V20" s="4"/>
      <c r="W20" s="4"/>
      <c r="X20" s="4"/>
      <c r="Y20" s="4"/>
      <c r="Z20" s="4"/>
    </row>
    <row r="21" ht="18.75" customHeight="1">
      <c r="A21" s="49">
        <f t="shared" si="2"/>
        <v>7</v>
      </c>
      <c r="B21" s="50">
        <f t="shared" si="5"/>
        <v>43455</v>
      </c>
      <c r="C21" s="47">
        <f t="shared" ref="C21:D21" si="15">C20</f>
        <v>0.07</v>
      </c>
      <c r="D21" s="47">
        <f t="shared" si="15"/>
        <v>0.005654</v>
      </c>
      <c r="E21" s="51">
        <f>'AP05'!$F21+'AP05'!$G21</f>
        <v>2517.056248</v>
      </c>
      <c r="F21" s="51">
        <f>(Q20*'AP05'!$R21)*'AP05'!$D21</f>
        <v>1678.461269</v>
      </c>
      <c r="G21" s="51">
        <f>(Q20*'AP05'!$R21)/($I$5-A20)</f>
        <v>838.5949794</v>
      </c>
      <c r="H21" s="52">
        <f t="shared" ref="H21:L21" si="16">H20</f>
        <v>0</v>
      </c>
      <c r="I21" s="52">
        <f t="shared" si="16"/>
        <v>0</v>
      </c>
      <c r="J21" s="51">
        <f t="shared" si="16"/>
        <v>25</v>
      </c>
      <c r="K21" s="52">
        <f t="shared" si="16"/>
        <v>0</v>
      </c>
      <c r="L21" s="52">
        <f t="shared" si="16"/>
        <v>0</v>
      </c>
      <c r="M21" s="51">
        <f>'AP03'!D14</f>
        <v>2616.41</v>
      </c>
      <c r="N21" s="51">
        <f>SUM('AP05'!$F21:$L21)</f>
        <v>2542.056248</v>
      </c>
      <c r="O21" s="137">
        <f>'AP05'!$M21-'AP05'!$N21</f>
        <v>74.35375168</v>
      </c>
      <c r="P21" s="51">
        <f>Q20*('AP05'!$R21-1)</f>
        <v>0</v>
      </c>
      <c r="Q21" s="51">
        <f>(Q20*'AP05'!$R21)-'AP05'!$G21-'AP05'!$O21</f>
        <v>295949.674</v>
      </c>
      <c r="R21" s="53">
        <f t="shared" si="8"/>
        <v>1</v>
      </c>
      <c r="S21" s="4"/>
      <c r="T21" s="4"/>
      <c r="U21" s="4"/>
      <c r="V21" s="4"/>
      <c r="W21" s="4"/>
      <c r="X21" s="4"/>
      <c r="Y21" s="4"/>
      <c r="Z21" s="4"/>
    </row>
    <row r="22" ht="18.75" customHeight="1">
      <c r="A22" s="49">
        <f t="shared" si="2"/>
        <v>8</v>
      </c>
      <c r="B22" s="50">
        <f t="shared" si="5"/>
        <v>43486</v>
      </c>
      <c r="C22" s="47">
        <f t="shared" ref="C22:D22" si="17">C21</f>
        <v>0.07</v>
      </c>
      <c r="D22" s="47">
        <f t="shared" si="17"/>
        <v>0.005654</v>
      </c>
      <c r="E22" s="51">
        <f>'AP05'!$F22+'AP05'!$G22</f>
        <v>2511.683802</v>
      </c>
      <c r="F22" s="51">
        <f>(Q21*'AP05'!$R22)*'AP05'!$D22</f>
        <v>1673.299457</v>
      </c>
      <c r="G22" s="51">
        <f>(Q21*'AP05'!$R22)/($I$5-A21)</f>
        <v>838.3843456</v>
      </c>
      <c r="H22" s="52">
        <f t="shared" ref="H22:L22" si="18">H21</f>
        <v>0</v>
      </c>
      <c r="I22" s="52">
        <f t="shared" si="18"/>
        <v>0</v>
      </c>
      <c r="J22" s="51">
        <f t="shared" si="18"/>
        <v>25</v>
      </c>
      <c r="K22" s="52">
        <f t="shared" si="18"/>
        <v>0</v>
      </c>
      <c r="L22" s="52">
        <f t="shared" si="18"/>
        <v>0</v>
      </c>
      <c r="M22" s="51">
        <f>'AP03'!D15</f>
        <v>2611.57</v>
      </c>
      <c r="N22" s="51">
        <f>SUM('AP05'!$F22:$L22)</f>
        <v>2536.683802</v>
      </c>
      <c r="O22" s="137">
        <f>'AP05'!$M22-'AP05'!$N22</f>
        <v>74.88619767</v>
      </c>
      <c r="P22" s="51">
        <f>Q21*('AP05'!$R22-1)</f>
        <v>0</v>
      </c>
      <c r="Q22" s="51">
        <f>(Q21*'AP05'!$R22)-'AP05'!$G22-'AP05'!$O22</f>
        <v>295036.4034</v>
      </c>
      <c r="R22" s="53">
        <f t="shared" si="8"/>
        <v>1</v>
      </c>
      <c r="S22" s="4"/>
      <c r="T22" s="4"/>
      <c r="U22" s="4"/>
      <c r="V22" s="4"/>
      <c r="W22" s="4"/>
      <c r="X22" s="4"/>
      <c r="Y22" s="4"/>
      <c r="Z22" s="4"/>
    </row>
    <row r="23" ht="18.75" customHeight="1">
      <c r="A23" s="49">
        <f t="shared" si="2"/>
        <v>9</v>
      </c>
      <c r="B23" s="50">
        <f t="shared" si="5"/>
        <v>43517</v>
      </c>
      <c r="C23" s="47">
        <f t="shared" ref="C23:D23" si="19">C22</f>
        <v>0.07</v>
      </c>
      <c r="D23" s="47">
        <f t="shared" si="19"/>
        <v>0.005654</v>
      </c>
      <c r="E23" s="51">
        <f>'AP05'!$F23+'AP05'!$G23</f>
        <v>2506.307426</v>
      </c>
      <c r="F23" s="51">
        <f>(Q22*'AP05'!$R23)*'AP05'!$D23</f>
        <v>1668.135825</v>
      </c>
      <c r="G23" s="51">
        <f>(Q22*'AP05'!$R23)/($I$5-A22)</f>
        <v>838.1716007</v>
      </c>
      <c r="H23" s="52">
        <f t="shared" ref="H23:L23" si="20">H22</f>
        <v>0</v>
      </c>
      <c r="I23" s="52">
        <f t="shared" si="20"/>
        <v>0</v>
      </c>
      <c r="J23" s="51">
        <f t="shared" si="20"/>
        <v>25</v>
      </c>
      <c r="K23" s="52">
        <f t="shared" si="20"/>
        <v>0</v>
      </c>
      <c r="L23" s="52">
        <f t="shared" si="20"/>
        <v>0</v>
      </c>
      <c r="M23" s="51">
        <f>'AP03'!D16</f>
        <v>2606.73</v>
      </c>
      <c r="N23" s="51">
        <f>SUM('AP05'!$F23:$L23)</f>
        <v>2531.307426</v>
      </c>
      <c r="O23" s="137">
        <f>'AP05'!$M23-'AP05'!$N23</f>
        <v>75.4225742</v>
      </c>
      <c r="P23" s="51">
        <f>Q22*('AP05'!$R23-1)</f>
        <v>0</v>
      </c>
      <c r="Q23" s="51">
        <f>(Q22*'AP05'!$R23)-'AP05'!$G23-'AP05'!$O23</f>
        <v>294122.8093</v>
      </c>
      <c r="R23" s="53">
        <f t="shared" si="8"/>
        <v>1</v>
      </c>
      <c r="S23" s="4"/>
      <c r="T23" s="4"/>
      <c r="U23" s="4"/>
      <c r="V23" s="4"/>
      <c r="W23" s="4"/>
      <c r="X23" s="4"/>
      <c r="Y23" s="4"/>
      <c r="Z23" s="4"/>
    </row>
    <row r="24" ht="18.75" customHeight="1">
      <c r="A24" s="49">
        <f t="shared" si="2"/>
        <v>10</v>
      </c>
      <c r="B24" s="50">
        <f t="shared" si="5"/>
        <v>43545</v>
      </c>
      <c r="C24" s="47">
        <f t="shared" ref="C24:D24" si="21">C23</f>
        <v>0.07</v>
      </c>
      <c r="D24" s="47">
        <f t="shared" si="21"/>
        <v>0.005654</v>
      </c>
      <c r="E24" s="51">
        <f>'AP05'!$F24+'AP05'!$G24</f>
        <v>2500.927085</v>
      </c>
      <c r="F24" s="51">
        <f>(Q23*'AP05'!$R24)*'AP05'!$D24</f>
        <v>1662.970364</v>
      </c>
      <c r="G24" s="51">
        <f>(Q23*'AP05'!$R24)/($I$5-A23)</f>
        <v>837.9567216</v>
      </c>
      <c r="H24" s="52">
        <f t="shared" ref="H24:L24" si="22">H23</f>
        <v>0</v>
      </c>
      <c r="I24" s="52">
        <f t="shared" si="22"/>
        <v>0</v>
      </c>
      <c r="J24" s="51">
        <f t="shared" si="22"/>
        <v>25</v>
      </c>
      <c r="K24" s="52">
        <f t="shared" si="22"/>
        <v>0</v>
      </c>
      <c r="L24" s="52">
        <f t="shared" si="22"/>
        <v>0</v>
      </c>
      <c r="M24" s="51">
        <f>'AP03'!D17</f>
        <v>2601.89</v>
      </c>
      <c r="N24" s="51">
        <f>SUM('AP05'!$F24:$L24)</f>
        <v>2525.927085</v>
      </c>
      <c r="O24" s="137">
        <f>'AP05'!$M24-'AP05'!$N24</f>
        <v>75.96291479</v>
      </c>
      <c r="P24" s="51">
        <f>Q23*('AP05'!$R24-1)</f>
        <v>0</v>
      </c>
      <c r="Q24" s="51">
        <f>(Q23*'AP05'!$R24)-'AP05'!$G24-'AP05'!$O24</f>
        <v>293208.8896</v>
      </c>
      <c r="R24" s="53">
        <f t="shared" si="8"/>
        <v>1</v>
      </c>
      <c r="S24" s="4"/>
      <c r="T24" s="4"/>
      <c r="U24" s="4"/>
      <c r="V24" s="4"/>
      <c r="W24" s="4"/>
      <c r="X24" s="4"/>
      <c r="Y24" s="4"/>
      <c r="Z24" s="4"/>
    </row>
    <row r="25" ht="18.75" customHeight="1">
      <c r="A25" s="49">
        <f t="shared" si="2"/>
        <v>11</v>
      </c>
      <c r="B25" s="50">
        <f t="shared" si="5"/>
        <v>43576</v>
      </c>
      <c r="C25" s="47">
        <f t="shared" ref="C25:D25" si="23">C24</f>
        <v>0.07</v>
      </c>
      <c r="D25" s="47">
        <f t="shared" si="23"/>
        <v>0.005654</v>
      </c>
      <c r="E25" s="51">
        <f>'AP05'!$F25+'AP05'!$G25</f>
        <v>2495.542747</v>
      </c>
      <c r="F25" s="51">
        <f>(Q24*'AP05'!$R25)*'AP05'!$D25</f>
        <v>1657.803062</v>
      </c>
      <c r="G25" s="51">
        <f>(Q24*'AP05'!$R25)/($I$5-A24)</f>
        <v>837.7396847</v>
      </c>
      <c r="H25" s="52">
        <f t="shared" ref="H25:L25" si="24">H24</f>
        <v>0</v>
      </c>
      <c r="I25" s="52">
        <f t="shared" si="24"/>
        <v>0</v>
      </c>
      <c r="J25" s="51">
        <f t="shared" si="24"/>
        <v>25</v>
      </c>
      <c r="K25" s="52">
        <f t="shared" si="24"/>
        <v>0</v>
      </c>
      <c r="L25" s="52">
        <f t="shared" si="24"/>
        <v>0</v>
      </c>
      <c r="M25" s="51">
        <f>'AP03'!D18</f>
        <v>2597.05</v>
      </c>
      <c r="N25" s="51">
        <f>SUM('AP05'!$F25:$L25)</f>
        <v>2520.542747</v>
      </c>
      <c r="O25" s="137">
        <f>'AP05'!$M25-'AP05'!$N25</f>
        <v>76.50725332</v>
      </c>
      <c r="P25" s="51">
        <f>Q24*('AP05'!$R25-1)</f>
        <v>0</v>
      </c>
      <c r="Q25" s="51">
        <f>(Q24*'AP05'!$R25)-'AP05'!$G25-'AP05'!$O25</f>
        <v>292294.6427</v>
      </c>
      <c r="R25" s="53">
        <f t="shared" si="8"/>
        <v>1</v>
      </c>
      <c r="S25" s="4"/>
      <c r="T25" s="4"/>
      <c r="U25" s="4"/>
      <c r="V25" s="4"/>
      <c r="W25" s="4"/>
      <c r="X25" s="4"/>
      <c r="Y25" s="4"/>
      <c r="Z25" s="4"/>
    </row>
    <row r="26" ht="18.75" customHeight="1">
      <c r="A26" s="49">
        <f t="shared" si="2"/>
        <v>12</v>
      </c>
      <c r="B26" s="50">
        <f t="shared" si="5"/>
        <v>43606</v>
      </c>
      <c r="C26" s="47">
        <f t="shared" ref="C26:D26" si="25">C25</f>
        <v>0.07</v>
      </c>
      <c r="D26" s="47">
        <f t="shared" si="25"/>
        <v>0.005654</v>
      </c>
      <c r="E26" s="51">
        <f>'AP05'!$F26+'AP05'!$G26</f>
        <v>2490.154376</v>
      </c>
      <c r="F26" s="51">
        <f>(Q25*'AP05'!$R26)*'AP05'!$D26</f>
        <v>1652.63391</v>
      </c>
      <c r="G26" s="51">
        <f>(Q25*'AP05'!$R26)/($I$5-A25)</f>
        <v>837.5204662</v>
      </c>
      <c r="H26" s="52">
        <f t="shared" ref="H26:L26" si="26">H25</f>
        <v>0</v>
      </c>
      <c r="I26" s="52">
        <f t="shared" si="26"/>
        <v>0</v>
      </c>
      <c r="J26" s="51">
        <f t="shared" si="26"/>
        <v>25</v>
      </c>
      <c r="K26" s="52">
        <f t="shared" si="26"/>
        <v>0</v>
      </c>
      <c r="L26" s="52">
        <f t="shared" si="26"/>
        <v>0</v>
      </c>
      <c r="M26" s="51">
        <f>'AP03'!D19</f>
        <v>2592.21</v>
      </c>
      <c r="N26" s="51">
        <f>SUM('AP05'!$F26:$L26)</f>
        <v>2515.154376</v>
      </c>
      <c r="O26" s="137">
        <f>'AP05'!$M26-'AP05'!$N26</f>
        <v>77.05562399</v>
      </c>
      <c r="P26" s="51">
        <f>Q25*('AP05'!$R26-1)</f>
        <v>0</v>
      </c>
      <c r="Q26" s="51">
        <f>(Q25*'AP05'!$R26)-'AP05'!$G26-'AP05'!$O26</f>
        <v>291380.0666</v>
      </c>
      <c r="R26" s="53">
        <f t="shared" si="8"/>
        <v>1</v>
      </c>
      <c r="S26" s="4"/>
      <c r="T26" s="4"/>
      <c r="U26" s="4"/>
      <c r="V26" s="4"/>
      <c r="W26" s="4"/>
      <c r="X26" s="4"/>
      <c r="Y26" s="4"/>
      <c r="Z26" s="4"/>
    </row>
    <row r="27" ht="18.75" customHeight="1">
      <c r="A27" s="49">
        <f t="shared" si="2"/>
        <v>13</v>
      </c>
      <c r="B27" s="50">
        <f t="shared" si="5"/>
        <v>43637</v>
      </c>
      <c r="C27" s="47">
        <f t="shared" ref="C27:D27" si="27">C26</f>
        <v>0.07</v>
      </c>
      <c r="D27" s="47">
        <f t="shared" si="27"/>
        <v>0.005654</v>
      </c>
      <c r="E27" s="51">
        <f>'AP05'!$F27+'AP05'!$G27</f>
        <v>2484.761939</v>
      </c>
      <c r="F27" s="51">
        <f>(Q26*'AP05'!$R27)*'AP05'!$D27</f>
        <v>1647.462897</v>
      </c>
      <c r="G27" s="51">
        <f>(Q26*'AP05'!$R27)/($I$5-A26)</f>
        <v>837.299042</v>
      </c>
      <c r="H27" s="52">
        <f t="shared" ref="H27:L27" si="28">H26</f>
        <v>0</v>
      </c>
      <c r="I27" s="52">
        <f t="shared" si="28"/>
        <v>0</v>
      </c>
      <c r="J27" s="51">
        <f t="shared" si="28"/>
        <v>25</v>
      </c>
      <c r="K27" s="52">
        <f t="shared" si="28"/>
        <v>0</v>
      </c>
      <c r="L27" s="52">
        <f t="shared" si="28"/>
        <v>0</v>
      </c>
      <c r="M27" s="51">
        <f>'AP03'!D20</f>
        <v>2587.38</v>
      </c>
      <c r="N27" s="51">
        <f>SUM('AP05'!$F27:$L27)</f>
        <v>2509.761939</v>
      </c>
      <c r="O27" s="137">
        <f>'AP05'!$M27-'AP05'!$N27</f>
        <v>77.61806141</v>
      </c>
      <c r="P27" s="51">
        <f>Q26*('AP05'!$R27-1)</f>
        <v>0</v>
      </c>
      <c r="Q27" s="51">
        <f>(Q26*'AP05'!$R27)-'AP05'!$G27-'AP05'!$O27</f>
        <v>290465.1495</v>
      </c>
      <c r="R27" s="53">
        <f t="shared" si="8"/>
        <v>1</v>
      </c>
      <c r="S27" s="4"/>
      <c r="T27" s="4"/>
      <c r="U27" s="4"/>
      <c r="V27" s="4"/>
      <c r="W27" s="4"/>
      <c r="X27" s="4"/>
      <c r="Y27" s="4"/>
      <c r="Z27" s="4"/>
    </row>
    <row r="28" ht="18.75" customHeight="1">
      <c r="A28" s="49">
        <f t="shared" si="2"/>
        <v>14</v>
      </c>
      <c r="B28" s="50">
        <f t="shared" si="5"/>
        <v>43667</v>
      </c>
      <c r="C28" s="47">
        <f t="shared" ref="C28:D28" si="29">C27</f>
        <v>0.07</v>
      </c>
      <c r="D28" s="47">
        <f t="shared" si="29"/>
        <v>0.005654</v>
      </c>
      <c r="E28" s="51">
        <f>'AP05'!$F28+'AP05'!$G28</f>
        <v>2479.365314</v>
      </c>
      <c r="F28" s="51">
        <f>(Q27*'AP05'!$R28)*'AP05'!$D28</f>
        <v>1642.289955</v>
      </c>
      <c r="G28" s="51">
        <f>(Q27*'AP05'!$R28)/($I$5-A27)</f>
        <v>837.0753588</v>
      </c>
      <c r="H28" s="52">
        <f t="shared" ref="H28:L28" si="30">H27</f>
        <v>0</v>
      </c>
      <c r="I28" s="52">
        <f t="shared" si="30"/>
        <v>0</v>
      </c>
      <c r="J28" s="51">
        <f t="shared" si="30"/>
        <v>25</v>
      </c>
      <c r="K28" s="52">
        <f t="shared" si="30"/>
        <v>0</v>
      </c>
      <c r="L28" s="52">
        <f t="shared" si="30"/>
        <v>0</v>
      </c>
      <c r="M28" s="51">
        <f>'AP03'!D21</f>
        <v>2582.54</v>
      </c>
      <c r="N28" s="51">
        <f>SUM('AP05'!$F28:$L28)</f>
        <v>2504.365314</v>
      </c>
      <c r="O28" s="137">
        <f>'AP05'!$M28-'AP05'!$N28</f>
        <v>78.17468589</v>
      </c>
      <c r="P28" s="51">
        <f>Q27*('AP05'!$R28-1)</f>
        <v>0</v>
      </c>
      <c r="Q28" s="51">
        <f>(Q27*'AP05'!$R28)-'AP05'!$G28-'AP05'!$O28</f>
        <v>289549.8995</v>
      </c>
      <c r="R28" s="53">
        <f t="shared" si="8"/>
        <v>1</v>
      </c>
      <c r="S28" s="4"/>
      <c r="T28" s="4"/>
      <c r="U28" s="4"/>
      <c r="V28" s="4"/>
      <c r="W28" s="4"/>
      <c r="X28" s="4"/>
      <c r="Y28" s="4"/>
      <c r="Z28" s="4"/>
    </row>
    <row r="29" ht="18.75" customHeight="1">
      <c r="A29" s="49">
        <f t="shared" si="2"/>
        <v>15</v>
      </c>
      <c r="B29" s="50">
        <f t="shared" si="5"/>
        <v>43698</v>
      </c>
      <c r="C29" s="47">
        <f t="shared" ref="C29:D29" si="31">C28</f>
        <v>0.07</v>
      </c>
      <c r="D29" s="47">
        <f t="shared" si="31"/>
        <v>0.005654</v>
      </c>
      <c r="E29" s="51">
        <f>'AP05'!$F29+'AP05'!$G29</f>
        <v>2473.964552</v>
      </c>
      <c r="F29" s="51">
        <f>(Q28*'AP05'!$R29)*'AP05'!$D29</f>
        <v>1637.115132</v>
      </c>
      <c r="G29" s="51">
        <f>(Q28*'AP05'!$R29)/($I$5-A28)</f>
        <v>836.8494204</v>
      </c>
      <c r="H29" s="52">
        <f t="shared" ref="H29:L29" si="32">H28</f>
        <v>0</v>
      </c>
      <c r="I29" s="52">
        <f t="shared" si="32"/>
        <v>0</v>
      </c>
      <c r="J29" s="51">
        <f t="shared" si="32"/>
        <v>25</v>
      </c>
      <c r="K29" s="52">
        <f t="shared" si="32"/>
        <v>0</v>
      </c>
      <c r="L29" s="52">
        <f t="shared" si="32"/>
        <v>0</v>
      </c>
      <c r="M29" s="51">
        <f>'AP03'!D22</f>
        <v>2577.7</v>
      </c>
      <c r="N29" s="51">
        <f>SUM('AP05'!$F29:$L29)</f>
        <v>2498.964552</v>
      </c>
      <c r="O29" s="137">
        <f>'AP05'!$M29-'AP05'!$N29</f>
        <v>78.73544804</v>
      </c>
      <c r="P29" s="51">
        <f>Q28*('AP05'!$R29-1)</f>
        <v>0</v>
      </c>
      <c r="Q29" s="51">
        <f>(Q28*'AP05'!$R29)-'AP05'!$G29-'AP05'!$O29</f>
        <v>288634.3146</v>
      </c>
      <c r="R29" s="53">
        <f t="shared" si="8"/>
        <v>1</v>
      </c>
      <c r="S29" s="4"/>
      <c r="T29" s="4"/>
      <c r="U29" s="4"/>
      <c r="V29" s="4"/>
      <c r="W29" s="4"/>
      <c r="X29" s="4"/>
      <c r="Y29" s="4"/>
      <c r="Z29" s="4"/>
    </row>
    <row r="30" ht="18.75" customHeight="1">
      <c r="A30" s="49">
        <f t="shared" si="2"/>
        <v>16</v>
      </c>
      <c r="B30" s="50">
        <f t="shared" si="5"/>
        <v>43729</v>
      </c>
      <c r="C30" s="47">
        <f t="shared" ref="C30:D30" si="33">C29</f>
        <v>0.07</v>
      </c>
      <c r="D30" s="47">
        <f t="shared" si="33"/>
        <v>0.005654</v>
      </c>
      <c r="E30" s="51">
        <f>'AP05'!$F30+'AP05'!$G30</f>
        <v>2468.559616</v>
      </c>
      <c r="F30" s="51">
        <f>(Q29*'AP05'!$R30)*'AP05'!$D30</f>
        <v>1631.938415</v>
      </c>
      <c r="G30" s="51">
        <f>(Q29*'AP05'!$R30)/($I$5-A29)</f>
        <v>836.6212017</v>
      </c>
      <c r="H30" s="52">
        <f t="shared" ref="H30:L30" si="34">H29</f>
        <v>0</v>
      </c>
      <c r="I30" s="52">
        <f t="shared" si="34"/>
        <v>0</v>
      </c>
      <c r="J30" s="51">
        <f t="shared" si="34"/>
        <v>25</v>
      </c>
      <c r="K30" s="52">
        <f t="shared" si="34"/>
        <v>0</v>
      </c>
      <c r="L30" s="52">
        <f t="shared" si="34"/>
        <v>0</v>
      </c>
      <c r="M30" s="51">
        <f>'AP03'!D23</f>
        <v>2572.86</v>
      </c>
      <c r="N30" s="51">
        <f>SUM('AP05'!$F30:$L30)</f>
        <v>2493.559616</v>
      </c>
      <c r="O30" s="137">
        <f>'AP05'!$M30-'AP05'!$N30</f>
        <v>79.30038358</v>
      </c>
      <c r="P30" s="51">
        <f>Q29*('AP05'!$R30-1)</f>
        <v>0</v>
      </c>
      <c r="Q30" s="51">
        <f>(Q29*'AP05'!$R30)-'AP05'!$G30-'AP05'!$O30</f>
        <v>287718.393</v>
      </c>
      <c r="R30" s="53">
        <f t="shared" si="8"/>
        <v>1</v>
      </c>
      <c r="S30" s="4"/>
      <c r="T30" s="4"/>
      <c r="U30" s="4"/>
      <c r="V30" s="4"/>
      <c r="W30" s="4"/>
      <c r="X30" s="4"/>
      <c r="Y30" s="4"/>
      <c r="Z30" s="4"/>
    </row>
    <row r="31" ht="18.75" customHeight="1">
      <c r="A31" s="49">
        <f t="shared" si="2"/>
        <v>17</v>
      </c>
      <c r="B31" s="50">
        <f t="shared" si="5"/>
        <v>43759</v>
      </c>
      <c r="C31" s="47">
        <f t="shared" ref="C31:D31" si="35">C30</f>
        <v>0.07</v>
      </c>
      <c r="D31" s="47">
        <f t="shared" si="35"/>
        <v>0.005654</v>
      </c>
      <c r="E31" s="51">
        <f>'AP05'!$F31+'AP05'!$G31</f>
        <v>2463.150471</v>
      </c>
      <c r="F31" s="51">
        <f>(Q30*'AP05'!$R31)*'AP05'!$D31</f>
        <v>1626.759794</v>
      </c>
      <c r="G31" s="51">
        <f>(Q30*'AP05'!$R31)/($I$5-A30)</f>
        <v>836.3906773</v>
      </c>
      <c r="H31" s="52">
        <f t="shared" ref="H31:L31" si="36">H30</f>
        <v>0</v>
      </c>
      <c r="I31" s="52">
        <f t="shared" si="36"/>
        <v>0</v>
      </c>
      <c r="J31" s="51">
        <f t="shared" si="36"/>
        <v>25</v>
      </c>
      <c r="K31" s="52">
        <f t="shared" si="36"/>
        <v>0</v>
      </c>
      <c r="L31" s="52">
        <f t="shared" si="36"/>
        <v>0</v>
      </c>
      <c r="M31" s="51">
        <f>'AP03'!D24</f>
        <v>2568.02</v>
      </c>
      <c r="N31" s="51">
        <f>SUM('AP05'!$F31:$L31)</f>
        <v>2488.150471</v>
      </c>
      <c r="O31" s="137">
        <f>'AP05'!$M31-'AP05'!$N31</f>
        <v>79.86952859</v>
      </c>
      <c r="P31" s="51">
        <f>Q30*('AP05'!$R31-1)</f>
        <v>0</v>
      </c>
      <c r="Q31" s="51">
        <f>(Q30*'AP05'!$R31)-'AP05'!$G31-'AP05'!$O31</f>
        <v>286802.1328</v>
      </c>
      <c r="R31" s="53">
        <f t="shared" si="8"/>
        <v>1</v>
      </c>
      <c r="S31" s="4"/>
      <c r="T31" s="4"/>
      <c r="U31" s="4"/>
      <c r="V31" s="4"/>
      <c r="W31" s="4"/>
      <c r="X31" s="4"/>
      <c r="Y31" s="4"/>
      <c r="Z31" s="4"/>
    </row>
    <row r="32" ht="18.75" customHeight="1">
      <c r="A32" s="49">
        <f t="shared" si="2"/>
        <v>18</v>
      </c>
      <c r="B32" s="50">
        <f t="shared" si="5"/>
        <v>43790</v>
      </c>
      <c r="C32" s="47">
        <f t="shared" ref="C32:D32" si="37">C31</f>
        <v>0.07</v>
      </c>
      <c r="D32" s="47">
        <f t="shared" si="37"/>
        <v>0.005654</v>
      </c>
      <c r="E32" s="51">
        <f>'AP05'!$F32+'AP05'!$G32</f>
        <v>2457.73708</v>
      </c>
      <c r="F32" s="51">
        <f>(Q31*'AP05'!$R32)*'AP05'!$D32</f>
        <v>1621.579259</v>
      </c>
      <c r="G32" s="51">
        <f>(Q31*'AP05'!$R32)/($I$5-A31)</f>
        <v>836.1578216</v>
      </c>
      <c r="H32" s="52">
        <f t="shared" ref="H32:L32" si="38">H31</f>
        <v>0</v>
      </c>
      <c r="I32" s="52">
        <f t="shared" si="38"/>
        <v>0</v>
      </c>
      <c r="J32" s="51">
        <f t="shared" si="38"/>
        <v>25</v>
      </c>
      <c r="K32" s="52">
        <f t="shared" si="38"/>
        <v>0</v>
      </c>
      <c r="L32" s="52">
        <f t="shared" si="38"/>
        <v>0</v>
      </c>
      <c r="M32" s="51">
        <f>'AP03'!D25</f>
        <v>2563.19</v>
      </c>
      <c r="N32" s="51">
        <f>SUM('AP05'!$F32:$L32)</f>
        <v>2482.73708</v>
      </c>
      <c r="O32" s="137">
        <f>'AP05'!$M32-'AP05'!$N32</f>
        <v>80.45291957</v>
      </c>
      <c r="P32" s="51">
        <f>Q31*('AP05'!$R32-1)</f>
        <v>0</v>
      </c>
      <c r="Q32" s="51">
        <f>(Q31*'AP05'!$R32)-'AP05'!$G32-'AP05'!$O32</f>
        <v>285885.5221</v>
      </c>
      <c r="R32" s="53">
        <f t="shared" si="8"/>
        <v>1</v>
      </c>
      <c r="S32" s="4"/>
      <c r="T32" s="4"/>
      <c r="U32" s="4"/>
      <c r="V32" s="4"/>
      <c r="W32" s="4"/>
      <c r="X32" s="4"/>
      <c r="Y32" s="4"/>
      <c r="Z32" s="4"/>
    </row>
    <row r="33" ht="18.75" customHeight="1">
      <c r="A33" s="49">
        <f t="shared" si="2"/>
        <v>19</v>
      </c>
      <c r="B33" s="50">
        <f t="shared" si="5"/>
        <v>43820</v>
      </c>
      <c r="C33" s="47">
        <f t="shared" ref="C33:D33" si="39">C32</f>
        <v>0.07</v>
      </c>
      <c r="D33" s="47">
        <f t="shared" si="39"/>
        <v>0.005654</v>
      </c>
      <c r="E33" s="51">
        <f>'AP05'!$F33+'AP05'!$G33</f>
        <v>2452.319321</v>
      </c>
      <c r="F33" s="51">
        <f>(Q32*'AP05'!$R33)*'AP05'!$D33</f>
        <v>1616.396742</v>
      </c>
      <c r="G33" s="51">
        <f>(Q32*'AP05'!$R33)/($I$5-A32)</f>
        <v>835.9225791</v>
      </c>
      <c r="H33" s="52">
        <f t="shared" ref="H33:L33" si="40">H32</f>
        <v>0</v>
      </c>
      <c r="I33" s="52">
        <f t="shared" si="40"/>
        <v>0</v>
      </c>
      <c r="J33" s="51">
        <f t="shared" si="40"/>
        <v>25</v>
      </c>
      <c r="K33" s="52">
        <f t="shared" si="40"/>
        <v>0</v>
      </c>
      <c r="L33" s="52">
        <f t="shared" si="40"/>
        <v>0</v>
      </c>
      <c r="M33" s="51">
        <f>'AP03'!D26</f>
        <v>2558.98</v>
      </c>
      <c r="N33" s="51">
        <f>SUM('AP05'!$F33:$L33)</f>
        <v>2477.319321</v>
      </c>
      <c r="O33" s="137">
        <f>'AP05'!$M33-'AP05'!$N33</f>
        <v>81.66067915</v>
      </c>
      <c r="P33" s="51">
        <f>Q32*('AP05'!$R33-1)</f>
        <v>0</v>
      </c>
      <c r="Q33" s="51">
        <f>(Q32*'AP05'!$R33)-'AP05'!$G33-'AP05'!$O33</f>
        <v>284967.9388</v>
      </c>
      <c r="R33" s="53">
        <f t="shared" si="8"/>
        <v>1</v>
      </c>
      <c r="S33" s="4"/>
      <c r="T33" s="4"/>
      <c r="U33" s="4"/>
      <c r="V33" s="4"/>
      <c r="W33" s="4"/>
      <c r="X33" s="4"/>
      <c r="Y33" s="4"/>
      <c r="Z33" s="4"/>
    </row>
    <row r="34" ht="18.75" customHeight="1">
      <c r="A34" s="49">
        <f t="shared" si="2"/>
        <v>20</v>
      </c>
      <c r="B34" s="50">
        <f t="shared" si="5"/>
        <v>43851</v>
      </c>
      <c r="C34" s="47">
        <f t="shared" ref="C34:D34" si="41">C33</f>
        <v>0.07</v>
      </c>
      <c r="D34" s="47">
        <f t="shared" si="41"/>
        <v>0.005654</v>
      </c>
      <c r="E34" s="51">
        <f>'AP05'!$F34+'AP05'!$G34</f>
        <v>2446.891831</v>
      </c>
      <c r="F34" s="51">
        <f>(Q33*'AP05'!$R34)*'AP05'!$D34</f>
        <v>1611.208726</v>
      </c>
      <c r="G34" s="51">
        <f>(Q33*'AP05'!$R34)/($I$5-A33)</f>
        <v>835.683105</v>
      </c>
      <c r="H34" s="52">
        <f t="shared" ref="H34:L34" si="42">H33</f>
        <v>0</v>
      </c>
      <c r="I34" s="52">
        <f t="shared" si="42"/>
        <v>0</v>
      </c>
      <c r="J34" s="51">
        <f t="shared" si="42"/>
        <v>25</v>
      </c>
      <c r="K34" s="52">
        <f t="shared" si="42"/>
        <v>0</v>
      </c>
      <c r="L34" s="52">
        <f t="shared" si="42"/>
        <v>0</v>
      </c>
      <c r="M34" s="51">
        <f>'AP03'!D27</f>
        <v>2554.14</v>
      </c>
      <c r="N34" s="51">
        <f>SUM('AP05'!$F34:$L34)</f>
        <v>2471.891831</v>
      </c>
      <c r="O34" s="137">
        <f>'AP05'!$M34-'AP05'!$N34</f>
        <v>82.24816903</v>
      </c>
      <c r="P34" s="51">
        <f>Q33*('AP05'!$R34-1)</f>
        <v>0</v>
      </c>
      <c r="Q34" s="51">
        <f>(Q33*'AP05'!$R34)-'AP05'!$G34-'AP05'!$O34</f>
        <v>284050.0075</v>
      </c>
      <c r="R34" s="53">
        <f t="shared" si="8"/>
        <v>1</v>
      </c>
      <c r="S34" s="4"/>
      <c r="T34" s="4"/>
      <c r="U34" s="4"/>
      <c r="V34" s="4"/>
      <c r="W34" s="4"/>
      <c r="X34" s="4"/>
      <c r="Y34" s="4"/>
      <c r="Z34" s="4"/>
    </row>
    <row r="35" ht="18.75" customHeight="1">
      <c r="A35" s="49">
        <f t="shared" si="2"/>
        <v>21</v>
      </c>
      <c r="B35" s="50">
        <f t="shared" si="5"/>
        <v>43882</v>
      </c>
      <c r="C35" s="47">
        <f t="shared" ref="C35:D35" si="43">C34</f>
        <v>0.07</v>
      </c>
      <c r="D35" s="47">
        <f t="shared" si="43"/>
        <v>0.005654</v>
      </c>
      <c r="E35" s="51">
        <f>'AP05'!$F35+'AP05'!$G35</f>
        <v>2441.459941</v>
      </c>
      <c r="F35" s="51">
        <f>(Q34*'AP05'!$R35)*'AP05'!$D35</f>
        <v>1606.018743</v>
      </c>
      <c r="G35" s="51">
        <f>(Q34*'AP05'!$R35)/($I$5-A34)</f>
        <v>835.4411986</v>
      </c>
      <c r="H35" s="52">
        <f t="shared" ref="H35:L35" si="44">H34</f>
        <v>0</v>
      </c>
      <c r="I35" s="52">
        <f t="shared" si="44"/>
        <v>0</v>
      </c>
      <c r="J35" s="51">
        <f t="shared" si="44"/>
        <v>25</v>
      </c>
      <c r="K35" s="52">
        <f t="shared" si="44"/>
        <v>0</v>
      </c>
      <c r="L35" s="52">
        <f t="shared" si="44"/>
        <v>0</v>
      </c>
      <c r="M35" s="51">
        <f>'AP03'!D28</f>
        <v>2558.55</v>
      </c>
      <c r="N35" s="51">
        <f>SUM('AP05'!$F35:$L35)</f>
        <v>2466.459941</v>
      </c>
      <c r="O35" s="137">
        <f>'AP05'!$M35-'AP05'!$N35</f>
        <v>92.09005883</v>
      </c>
      <c r="P35" s="51">
        <f>Q34*('AP05'!$R35-1)</f>
        <v>0</v>
      </c>
      <c r="Q35" s="51">
        <f>(Q34*'AP05'!$R35)-'AP05'!$G35-'AP05'!$O35</f>
        <v>283122.4763</v>
      </c>
      <c r="R35" s="53">
        <f t="shared" si="8"/>
        <v>1</v>
      </c>
      <c r="S35" s="4"/>
      <c r="T35" s="4"/>
      <c r="U35" s="4"/>
      <c r="V35" s="4"/>
      <c r="W35" s="4"/>
      <c r="X35" s="4"/>
      <c r="Y35" s="4"/>
      <c r="Z35" s="4"/>
    </row>
    <row r="36" ht="18.75" customHeight="1">
      <c r="A36" s="49">
        <f t="shared" si="2"/>
        <v>22</v>
      </c>
      <c r="B36" s="50">
        <f t="shared" si="5"/>
        <v>43911</v>
      </c>
      <c r="C36" s="47">
        <v>0.062</v>
      </c>
      <c r="D36" s="47">
        <v>0.005025</v>
      </c>
      <c r="E36" s="51">
        <f>'AP05'!$F36+'AP05'!$G36</f>
        <v>2257.85999</v>
      </c>
      <c r="F36" s="51">
        <f>(Q35*'AP05'!$R36)*'AP05'!$D36</f>
        <v>1422.690443</v>
      </c>
      <c r="G36" s="51">
        <f>(Q35*'AP05'!$R36)/($I$5-A35)</f>
        <v>835.1695465</v>
      </c>
      <c r="H36" s="52">
        <f t="shared" ref="H36:L36" si="45">H35</f>
        <v>0</v>
      </c>
      <c r="I36" s="52">
        <f t="shared" si="45"/>
        <v>0</v>
      </c>
      <c r="J36" s="51">
        <f t="shared" si="45"/>
        <v>25</v>
      </c>
      <c r="K36" s="52">
        <f t="shared" si="45"/>
        <v>0</v>
      </c>
      <c r="L36" s="52">
        <f t="shared" si="45"/>
        <v>0</v>
      </c>
      <c r="M36" s="51">
        <f>'AP03'!D29</f>
        <v>2374.56</v>
      </c>
      <c r="N36" s="51">
        <f>SUM('AP05'!$F36:$L36)</f>
        <v>2282.85999</v>
      </c>
      <c r="O36" s="137">
        <f>'AP05'!$M36-'AP05'!$N36</f>
        <v>91.70001022</v>
      </c>
      <c r="P36" s="51">
        <f>Q35*('AP05'!$R36-1)</f>
        <v>0</v>
      </c>
      <c r="Q36" s="51">
        <f>(Q35*'AP05'!$R36)-'AP05'!$G36-'AP05'!$O36</f>
        <v>282195.6067</v>
      </c>
      <c r="R36" s="53">
        <f t="shared" si="8"/>
        <v>1</v>
      </c>
      <c r="S36" s="4"/>
      <c r="T36" s="4"/>
      <c r="U36" s="4"/>
      <c r="V36" s="4"/>
      <c r="W36" s="4"/>
      <c r="X36" s="4"/>
      <c r="Y36" s="4"/>
      <c r="Z36" s="4"/>
    </row>
    <row r="37" ht="18.75" customHeight="1">
      <c r="A37" s="49">
        <f t="shared" si="2"/>
        <v>23</v>
      </c>
      <c r="B37" s="50">
        <f t="shared" si="5"/>
        <v>43942</v>
      </c>
      <c r="C37" s="47">
        <v>0.062</v>
      </c>
      <c r="D37" s="47">
        <f t="shared" ref="D37:D41" si="47">D36</f>
        <v>0.005025</v>
      </c>
      <c r="E37" s="51">
        <f>'AP05'!$F37+'AP05'!$G37</f>
        <v>2252.931168</v>
      </c>
      <c r="F37" s="51">
        <f>(Q36*'AP05'!$R37)*'AP05'!$D37</f>
        <v>1418.032924</v>
      </c>
      <c r="G37" s="51">
        <f>(Q36*'AP05'!$R37)/($I$5-A36)</f>
        <v>834.8982447</v>
      </c>
      <c r="H37" s="52">
        <f t="shared" ref="H37:L37" si="46">H36</f>
        <v>0</v>
      </c>
      <c r="I37" s="52">
        <f t="shared" si="46"/>
        <v>0</v>
      </c>
      <c r="J37" s="51">
        <f t="shared" si="46"/>
        <v>25</v>
      </c>
      <c r="K37" s="52">
        <f t="shared" si="46"/>
        <v>0</v>
      </c>
      <c r="L37" s="52">
        <f t="shared" si="46"/>
        <v>0</v>
      </c>
      <c r="M37" s="51">
        <f>'AP03'!D30</f>
        <v>2370.23</v>
      </c>
      <c r="N37" s="51">
        <f>SUM('AP05'!$F37:$L37)</f>
        <v>2277.931168</v>
      </c>
      <c r="O37" s="137">
        <f>'AP05'!$M37-'AP05'!$N37</f>
        <v>92.29883155</v>
      </c>
      <c r="P37" s="51">
        <f>Q36*('AP05'!$R37-1)</f>
        <v>0</v>
      </c>
      <c r="Q37" s="51">
        <f>(Q36*'AP05'!$R37)-'AP05'!$G37-'AP05'!$O37</f>
        <v>281268.4096</v>
      </c>
      <c r="R37" s="53">
        <f t="shared" si="8"/>
        <v>1</v>
      </c>
      <c r="S37" s="4"/>
      <c r="T37" s="4"/>
      <c r="U37" s="4"/>
      <c r="V37" s="4"/>
      <c r="W37" s="4"/>
      <c r="X37" s="4"/>
      <c r="Y37" s="4"/>
      <c r="Z37" s="4"/>
    </row>
    <row r="38" ht="18.75" customHeight="1">
      <c r="A38" s="56">
        <f t="shared" si="2"/>
        <v>24</v>
      </c>
      <c r="B38" s="50">
        <f t="shared" si="5"/>
        <v>43972</v>
      </c>
      <c r="C38" s="47">
        <v>0.062</v>
      </c>
      <c r="D38" s="47">
        <f t="shared" si="47"/>
        <v>0.005025</v>
      </c>
      <c r="E38" s="51">
        <f>'AP05'!$F38+'AP05'!$G38</f>
        <v>2247.998119</v>
      </c>
      <c r="F38" s="51">
        <f>(Q37*'AP05'!$R38)*'AP05'!$D38</f>
        <v>1413.373758</v>
      </c>
      <c r="G38" s="51">
        <f>(Q37*'AP05'!$R38)/($I$5-A37)</f>
        <v>834.6243609</v>
      </c>
      <c r="H38" s="52">
        <f t="shared" ref="H38:L38" si="48">H37</f>
        <v>0</v>
      </c>
      <c r="I38" s="52">
        <f t="shared" si="48"/>
        <v>0</v>
      </c>
      <c r="J38" s="51">
        <f t="shared" si="48"/>
        <v>25</v>
      </c>
      <c r="K38" s="52">
        <f t="shared" si="48"/>
        <v>0</v>
      </c>
      <c r="L38" s="52">
        <f t="shared" si="48"/>
        <v>0</v>
      </c>
      <c r="M38" s="51">
        <f>'AP03'!D31</f>
        <v>2365.89</v>
      </c>
      <c r="N38" s="51">
        <f>SUM('AP05'!$F38:$L38)</f>
        <v>2272.998119</v>
      </c>
      <c r="O38" s="137">
        <f>'AP05'!$M38-'AP05'!$N38</f>
        <v>92.89188063</v>
      </c>
      <c r="P38" s="51">
        <f>Q37*('AP05'!$R38-1)</f>
        <v>0</v>
      </c>
      <c r="Q38" s="51">
        <f>(Q37*'AP05'!$R38)-'AP05'!$G38-'AP05'!$O38</f>
        <v>280340.8934</v>
      </c>
      <c r="R38" s="53">
        <f t="shared" si="8"/>
        <v>1</v>
      </c>
      <c r="S38" s="4"/>
      <c r="T38" s="4"/>
      <c r="U38" s="4"/>
      <c r="V38" s="4"/>
      <c r="W38" s="4"/>
      <c r="X38" s="4"/>
      <c r="Y38" s="4"/>
      <c r="Z38" s="4"/>
    </row>
    <row r="39" ht="18.75" customHeight="1">
      <c r="A39" s="56">
        <f t="shared" si="2"/>
        <v>25</v>
      </c>
      <c r="B39" s="50">
        <f t="shared" si="5"/>
        <v>44003</v>
      </c>
      <c r="C39" s="47">
        <v>0.062</v>
      </c>
      <c r="D39" s="47">
        <f t="shared" si="47"/>
        <v>0.005025</v>
      </c>
      <c r="E39" s="51">
        <f>'AP05'!$F39+'AP05'!$G39</f>
        <v>2243.060886</v>
      </c>
      <c r="F39" s="51">
        <f>(Q38*'AP05'!$R39)*'AP05'!$D39</f>
        <v>1408.712989</v>
      </c>
      <c r="G39" s="51">
        <f>(Q38*'AP05'!$R39)/($I$5-A38)</f>
        <v>834.347897</v>
      </c>
      <c r="H39" s="52">
        <f t="shared" ref="H39:L39" si="49">H38</f>
        <v>0</v>
      </c>
      <c r="I39" s="52">
        <f t="shared" si="49"/>
        <v>0</v>
      </c>
      <c r="J39" s="51">
        <f t="shared" si="49"/>
        <v>25</v>
      </c>
      <c r="K39" s="52">
        <f t="shared" si="49"/>
        <v>0</v>
      </c>
      <c r="L39" s="52">
        <f t="shared" si="49"/>
        <v>0</v>
      </c>
      <c r="M39" s="51">
        <f>'AP03'!D32</f>
        <v>2361.55</v>
      </c>
      <c r="N39" s="51">
        <f>SUM('AP05'!$F39:$L39)</f>
        <v>2268.060886</v>
      </c>
      <c r="O39" s="137">
        <f>'AP05'!$M39-'AP05'!$N39</f>
        <v>93.48911368</v>
      </c>
      <c r="P39" s="51">
        <f>Q38*('AP05'!$R39-1)</f>
        <v>0</v>
      </c>
      <c r="Q39" s="51">
        <f>(Q38*'AP05'!$R39)-'AP05'!$G39-'AP05'!$O39</f>
        <v>279413.0564</v>
      </c>
      <c r="R39" s="53">
        <f t="shared" si="8"/>
        <v>1</v>
      </c>
      <c r="S39" s="4"/>
      <c r="T39" s="4"/>
      <c r="U39" s="4"/>
      <c r="V39" s="4"/>
      <c r="W39" s="4"/>
      <c r="X39" s="4"/>
      <c r="Y39" s="4"/>
      <c r="Z39" s="4"/>
    </row>
    <row r="40" ht="18.75" customHeight="1">
      <c r="A40" s="56">
        <f t="shared" si="2"/>
        <v>26</v>
      </c>
      <c r="B40" s="50">
        <f t="shared" si="5"/>
        <v>44033</v>
      </c>
      <c r="C40" s="47">
        <v>0.062</v>
      </c>
      <c r="D40" s="47">
        <f t="shared" si="47"/>
        <v>0.005025</v>
      </c>
      <c r="E40" s="51">
        <f>'AP05'!$F40+'AP05'!$G40</f>
        <v>2238.119433</v>
      </c>
      <c r="F40" s="51">
        <f>(Q39*'AP05'!$R40)*'AP05'!$D40</f>
        <v>1404.050608</v>
      </c>
      <c r="G40" s="51">
        <f>(Q39*'AP05'!$R40)/($I$5-A39)</f>
        <v>834.068825</v>
      </c>
      <c r="H40" s="52">
        <f t="shared" ref="H40:L40" si="50">H39</f>
        <v>0</v>
      </c>
      <c r="I40" s="52">
        <f t="shared" si="50"/>
        <v>0</v>
      </c>
      <c r="J40" s="51">
        <f t="shared" si="50"/>
        <v>25</v>
      </c>
      <c r="K40" s="52">
        <f t="shared" si="50"/>
        <v>0</v>
      </c>
      <c r="L40" s="52">
        <f t="shared" si="50"/>
        <v>0</v>
      </c>
      <c r="M40" s="51">
        <f>'AP03'!D33</f>
        <v>2357.21</v>
      </c>
      <c r="N40" s="51">
        <f>SUM('AP05'!$F40:$L40)</f>
        <v>2263.119433</v>
      </c>
      <c r="O40" s="137">
        <f>'AP05'!$M40-'AP05'!$N40</f>
        <v>94.09056664</v>
      </c>
      <c r="P40" s="51">
        <f>Q39*('AP05'!$R40-1)</f>
        <v>0</v>
      </c>
      <c r="Q40" s="51">
        <f>(Q39*'AP05'!$R40)-'AP05'!$G40-'AP05'!$O40</f>
        <v>278484.897</v>
      </c>
      <c r="R40" s="53">
        <f t="shared" si="8"/>
        <v>1</v>
      </c>
      <c r="S40" s="4"/>
      <c r="T40" s="4"/>
      <c r="U40" s="4"/>
      <c r="V40" s="4"/>
      <c r="W40" s="4"/>
      <c r="X40" s="4"/>
      <c r="Y40" s="4"/>
      <c r="Z40" s="4"/>
    </row>
    <row r="41" ht="18.75" customHeight="1">
      <c r="A41" s="56">
        <f t="shared" si="2"/>
        <v>27</v>
      </c>
      <c r="B41" s="50">
        <f t="shared" si="5"/>
        <v>44064</v>
      </c>
      <c r="C41" s="47">
        <v>0.062</v>
      </c>
      <c r="D41" s="47">
        <f t="shared" si="47"/>
        <v>0.005025</v>
      </c>
      <c r="E41" s="51">
        <f>'AP05'!$F41+'AP05'!$G41</f>
        <v>2233.173724</v>
      </c>
      <c r="F41" s="51">
        <f>(Q40*'AP05'!$R41)*'AP05'!$D41</f>
        <v>1399.386607</v>
      </c>
      <c r="G41" s="51">
        <f>(Q40*'AP05'!$R41)/($I$5-A40)</f>
        <v>833.7871167</v>
      </c>
      <c r="H41" s="52">
        <f t="shared" ref="H41:L41" si="51">H40</f>
        <v>0</v>
      </c>
      <c r="I41" s="52">
        <f t="shared" si="51"/>
        <v>0</v>
      </c>
      <c r="J41" s="51">
        <f t="shared" si="51"/>
        <v>25</v>
      </c>
      <c r="K41" s="52">
        <f t="shared" si="51"/>
        <v>0</v>
      </c>
      <c r="L41" s="52">
        <f t="shared" si="51"/>
        <v>0</v>
      </c>
      <c r="M41" s="51">
        <f>'AP03'!D34</f>
        <v>2352.88</v>
      </c>
      <c r="N41" s="51">
        <f>SUM('AP05'!$F41:$L41)</f>
        <v>2258.173724</v>
      </c>
      <c r="O41" s="137">
        <f>'AP05'!$M41-'AP05'!$N41</f>
        <v>94.70627586</v>
      </c>
      <c r="P41" s="51">
        <f>Q40*('AP05'!$R41-1)</f>
        <v>0</v>
      </c>
      <c r="Q41" s="51">
        <f>(Q40*'AP05'!$R41)-'AP05'!$G41-'AP05'!$O41</f>
        <v>277556.4036</v>
      </c>
      <c r="R41" s="53">
        <f t="shared" si="8"/>
        <v>1</v>
      </c>
      <c r="S41" s="4"/>
      <c r="T41" s="4"/>
      <c r="U41" s="4"/>
      <c r="V41" s="4"/>
      <c r="W41" s="4"/>
      <c r="X41" s="4"/>
      <c r="Y41" s="4"/>
      <c r="Z41" s="4"/>
    </row>
    <row r="42" ht="18.75" customHeight="1">
      <c r="A42" s="56">
        <f t="shared" si="2"/>
        <v>28</v>
      </c>
      <c r="B42" s="50">
        <f t="shared" si="5"/>
        <v>44095</v>
      </c>
      <c r="C42" s="47">
        <f t="shared" ref="C42:D42" si="52">C41</f>
        <v>0.062</v>
      </c>
      <c r="D42" s="47">
        <f t="shared" si="52"/>
        <v>0.005025</v>
      </c>
      <c r="E42" s="51">
        <f>'AP05'!$F42+'AP05'!$G42</f>
        <v>2228.223642</v>
      </c>
      <c r="F42" s="51">
        <f>(Q41*'AP05'!$R42)*'AP05'!$D42</f>
        <v>1394.720928</v>
      </c>
      <c r="G42" s="51">
        <f>(Q41*'AP05'!$R42)/($I$5-A41)</f>
        <v>833.5027135</v>
      </c>
      <c r="H42" s="52">
        <f t="shared" ref="H42:L42" si="53">H41</f>
        <v>0</v>
      </c>
      <c r="I42" s="52">
        <f t="shared" si="53"/>
        <v>0</v>
      </c>
      <c r="J42" s="51">
        <f t="shared" si="53"/>
        <v>25</v>
      </c>
      <c r="K42" s="52">
        <f t="shared" si="53"/>
        <v>0</v>
      </c>
      <c r="L42" s="52">
        <f t="shared" si="53"/>
        <v>0</v>
      </c>
      <c r="M42" s="51">
        <f>'AP03'!D35</f>
        <v>2348.54</v>
      </c>
      <c r="N42" s="51">
        <f>SUM('AP05'!$F42:$L42)</f>
        <v>2253.223642</v>
      </c>
      <c r="O42" s="137">
        <f>'AP05'!$M42-'AP05'!$N42</f>
        <v>95.31635839</v>
      </c>
      <c r="P42" s="51">
        <f>Q41*('AP05'!$R42-1)</f>
        <v>0</v>
      </c>
      <c r="Q42" s="51">
        <f>(Q41*'AP05'!$R42)-'AP05'!$G42-'AP05'!$O42</f>
        <v>276627.5845</v>
      </c>
      <c r="R42" s="53">
        <f t="shared" si="8"/>
        <v>1</v>
      </c>
      <c r="S42" s="4"/>
      <c r="T42" s="4"/>
      <c r="U42" s="4"/>
      <c r="V42" s="4"/>
      <c r="W42" s="4"/>
      <c r="X42" s="4"/>
      <c r="Y42" s="4"/>
      <c r="Z42" s="4"/>
    </row>
    <row r="43" ht="18.75" customHeight="1">
      <c r="A43" s="56">
        <f t="shared" si="2"/>
        <v>29</v>
      </c>
      <c r="B43" s="50">
        <f t="shared" si="5"/>
        <v>44125</v>
      </c>
      <c r="C43" s="47">
        <f t="shared" ref="C43:D43" si="54">C42</f>
        <v>0.062</v>
      </c>
      <c r="D43" s="47">
        <f t="shared" si="54"/>
        <v>0.005025</v>
      </c>
      <c r="E43" s="51">
        <f>'AP05'!$F43+'AP05'!$G43</f>
        <v>2223.269228</v>
      </c>
      <c r="F43" s="51">
        <f>(Q42*'AP05'!$R43)*'AP05'!$D43</f>
        <v>1390.053612</v>
      </c>
      <c r="G43" s="51">
        <f>(Q42*'AP05'!$R43)/($I$5-A42)</f>
        <v>833.2156161</v>
      </c>
      <c r="H43" s="52">
        <f t="shared" ref="H43:L43" si="55">H42</f>
        <v>0</v>
      </c>
      <c r="I43" s="52">
        <f t="shared" si="55"/>
        <v>0</v>
      </c>
      <c r="J43" s="51">
        <f t="shared" si="55"/>
        <v>25</v>
      </c>
      <c r="K43" s="52">
        <f t="shared" si="55"/>
        <v>0</v>
      </c>
      <c r="L43" s="52">
        <f t="shared" si="55"/>
        <v>0</v>
      </c>
      <c r="M43" s="51">
        <f>'AP03'!D36</f>
        <v>2344.34</v>
      </c>
      <c r="N43" s="51">
        <f>SUM('AP05'!$F43:$L43)</f>
        <v>2248.269228</v>
      </c>
      <c r="O43" s="137">
        <f>'AP05'!$M43-'AP05'!$N43</f>
        <v>96.07077169</v>
      </c>
      <c r="P43" s="51">
        <f>Q42*('AP05'!$R43-1)</f>
        <v>0</v>
      </c>
      <c r="Q43" s="51">
        <f>(Q42*'AP05'!$R43)-'AP05'!$G43-'AP05'!$O43</f>
        <v>275698.2981</v>
      </c>
      <c r="R43" s="53">
        <f t="shared" si="8"/>
        <v>1</v>
      </c>
      <c r="S43" s="4"/>
      <c r="T43" s="4"/>
      <c r="U43" s="4"/>
      <c r="V43" s="4"/>
      <c r="W43" s="4"/>
      <c r="X43" s="4"/>
      <c r="Y43" s="4"/>
      <c r="Z43" s="4"/>
    </row>
    <row r="44" ht="18.75" customHeight="1">
      <c r="A44" s="56">
        <f t="shared" si="2"/>
        <v>30</v>
      </c>
      <c r="B44" s="50">
        <f t="shared" si="5"/>
        <v>44156</v>
      </c>
      <c r="C44" s="47">
        <f t="shared" ref="C44:D44" si="56">C43</f>
        <v>0.062</v>
      </c>
      <c r="D44" s="47">
        <f t="shared" si="56"/>
        <v>0.005025</v>
      </c>
      <c r="E44" s="51">
        <f>'AP05'!$F44+'AP05'!$G44</f>
        <v>2218.30932</v>
      </c>
      <c r="F44" s="51">
        <f>(Q43*'AP05'!$R44)*'AP05'!$D44</f>
        <v>1385.383948</v>
      </c>
      <c r="G44" s="51">
        <f>(Q43*'AP05'!$R44)/($I$5-A43)</f>
        <v>832.925372</v>
      </c>
      <c r="H44" s="52">
        <f t="shared" ref="H44:L44" si="57">H43</f>
        <v>0</v>
      </c>
      <c r="I44" s="52">
        <f t="shared" si="57"/>
        <v>0</v>
      </c>
      <c r="J44" s="51">
        <f t="shared" si="57"/>
        <v>25</v>
      </c>
      <c r="K44" s="52">
        <f t="shared" si="57"/>
        <v>0</v>
      </c>
      <c r="L44" s="52">
        <f t="shared" si="57"/>
        <v>0</v>
      </c>
      <c r="M44" s="51">
        <f>'AP03'!D37</f>
        <v>2340</v>
      </c>
      <c r="N44" s="51">
        <f>SUM('AP05'!$F44:$L44)</f>
        <v>2243.30932</v>
      </c>
      <c r="O44" s="137">
        <f>'AP05'!$M44-'AP05'!$N44</f>
        <v>96.69067981</v>
      </c>
      <c r="P44" s="51">
        <f>Q43*('AP05'!$R44-1)</f>
        <v>0</v>
      </c>
      <c r="Q44" s="51">
        <f>(Q43*'AP05'!$R44)-'AP05'!$G44-'AP05'!$O44</f>
        <v>274768.6821</v>
      </c>
      <c r="R44" s="53">
        <f t="shared" si="8"/>
        <v>1</v>
      </c>
      <c r="S44" s="4"/>
      <c r="T44" s="4"/>
      <c r="U44" s="4"/>
      <c r="V44" s="4"/>
      <c r="W44" s="4"/>
      <c r="X44" s="4"/>
      <c r="Y44" s="4"/>
      <c r="Z44" s="4"/>
    </row>
    <row r="45" ht="18.75" customHeight="1">
      <c r="A45" s="56">
        <f t="shared" si="2"/>
        <v>31</v>
      </c>
      <c r="B45" s="50">
        <f t="shared" si="5"/>
        <v>44186</v>
      </c>
      <c r="C45" s="47">
        <f t="shared" ref="C45:D45" si="58">C44</f>
        <v>0.062</v>
      </c>
      <c r="D45" s="47">
        <f t="shared" si="58"/>
        <v>0.005025</v>
      </c>
      <c r="E45" s="51">
        <f>'AP05'!$F45+'AP05'!$G45</f>
        <v>2213.344997</v>
      </c>
      <c r="F45" s="51">
        <f>(Q44*'AP05'!$R45)*'AP05'!$D45</f>
        <v>1380.712627</v>
      </c>
      <c r="G45" s="51">
        <f>(Q44*'AP05'!$R45)/($I$5-A44)</f>
        <v>832.63237</v>
      </c>
      <c r="H45" s="52">
        <f t="shared" ref="H45:L45" si="59">H44</f>
        <v>0</v>
      </c>
      <c r="I45" s="52">
        <f t="shared" si="59"/>
        <v>0</v>
      </c>
      <c r="J45" s="51">
        <f t="shared" si="59"/>
        <v>25</v>
      </c>
      <c r="K45" s="52">
        <f t="shared" si="59"/>
        <v>0</v>
      </c>
      <c r="L45" s="52">
        <f t="shared" si="59"/>
        <v>0</v>
      </c>
      <c r="M45" s="51">
        <f>'AP03'!D38</f>
        <v>2336.59</v>
      </c>
      <c r="N45" s="51">
        <f>SUM('AP05'!$F45:$L45)</f>
        <v>2238.344997</v>
      </c>
      <c r="O45" s="137">
        <f>'AP05'!$M45-'AP05'!$N45</f>
        <v>98.24500254</v>
      </c>
      <c r="P45" s="51">
        <f>Q44*('AP05'!$R45-1)</f>
        <v>0</v>
      </c>
      <c r="Q45" s="51">
        <f>(Q44*'AP05'!$R45)-'AP05'!$G45-'AP05'!$O45</f>
        <v>273837.8047</v>
      </c>
      <c r="R45" s="53">
        <f t="shared" si="8"/>
        <v>1</v>
      </c>
      <c r="S45" s="4"/>
      <c r="T45" s="4"/>
      <c r="U45" s="4"/>
      <c r="V45" s="4"/>
      <c r="W45" s="4"/>
      <c r="X45" s="4"/>
      <c r="Y45" s="4"/>
      <c r="Z45" s="4"/>
    </row>
    <row r="46" ht="18.75" customHeight="1">
      <c r="A46" s="56">
        <f t="shared" si="2"/>
        <v>32</v>
      </c>
      <c r="B46" s="50">
        <f t="shared" si="5"/>
        <v>44217</v>
      </c>
      <c r="C46" s="47">
        <f t="shared" ref="C46:D46" si="60">C45</f>
        <v>0.062</v>
      </c>
      <c r="D46" s="47">
        <f t="shared" si="60"/>
        <v>0.005025</v>
      </c>
      <c r="E46" s="51">
        <f>'AP05'!$F46+'AP05'!$G46</f>
        <v>2208.368722</v>
      </c>
      <c r="F46" s="51">
        <f>(Q45*'AP05'!$R46)*'AP05'!$D46</f>
        <v>1376.034969</v>
      </c>
      <c r="G46" s="51">
        <f>(Q45*'AP05'!$R46)/($I$5-A45)</f>
        <v>832.3337529</v>
      </c>
      <c r="H46" s="52">
        <f t="shared" ref="H46:L46" si="61">H45</f>
        <v>0</v>
      </c>
      <c r="I46" s="52">
        <f t="shared" si="61"/>
        <v>0</v>
      </c>
      <c r="J46" s="51">
        <f t="shared" si="61"/>
        <v>25</v>
      </c>
      <c r="K46" s="52">
        <f t="shared" si="61"/>
        <v>0</v>
      </c>
      <c r="L46" s="52">
        <f t="shared" si="61"/>
        <v>0</v>
      </c>
      <c r="M46" s="51">
        <f>'AP03'!D39</f>
        <v>2332.25</v>
      </c>
      <c r="N46" s="51">
        <f>SUM('AP05'!$F46:$L46)</f>
        <v>2233.368722</v>
      </c>
      <c r="O46" s="137">
        <f>'AP05'!$M46-'AP05'!$N46</f>
        <v>98.88127836</v>
      </c>
      <c r="P46" s="51">
        <f>Q45*('AP05'!$R46-1)</f>
        <v>0</v>
      </c>
      <c r="Q46" s="51">
        <f>(Q45*'AP05'!$R46)-'AP05'!$G46-'AP05'!$O46</f>
        <v>272906.5897</v>
      </c>
      <c r="R46" s="53">
        <f t="shared" si="8"/>
        <v>1</v>
      </c>
      <c r="S46" s="4"/>
      <c r="T46" s="4"/>
      <c r="U46" s="4"/>
      <c r="V46" s="4"/>
      <c r="W46" s="4"/>
      <c r="X46" s="4"/>
      <c r="Y46" s="4"/>
      <c r="Z46" s="4"/>
    </row>
    <row r="47" ht="18.75" customHeight="1">
      <c r="A47" s="56">
        <f t="shared" si="2"/>
        <v>33</v>
      </c>
      <c r="B47" s="50">
        <f t="shared" si="5"/>
        <v>44248</v>
      </c>
      <c r="C47" s="47">
        <f t="shared" ref="C47:D47" si="62">C46</f>
        <v>0.062</v>
      </c>
      <c r="D47" s="47">
        <f t="shared" si="62"/>
        <v>0.005025</v>
      </c>
      <c r="E47" s="51">
        <f>'AP05'!$F47+'AP05'!$G47</f>
        <v>2203.387899</v>
      </c>
      <c r="F47" s="51">
        <f>(Q46*'AP05'!$R47)*'AP05'!$D47</f>
        <v>1371.355613</v>
      </c>
      <c r="G47" s="51">
        <f>(Q46*'AP05'!$R47)/($I$5-A46)</f>
        <v>832.0322856</v>
      </c>
      <c r="H47" s="52">
        <f t="shared" ref="H47:L47" si="63">H46</f>
        <v>0</v>
      </c>
      <c r="I47" s="52">
        <f t="shared" si="63"/>
        <v>0</v>
      </c>
      <c r="J47" s="51">
        <f t="shared" si="63"/>
        <v>25</v>
      </c>
      <c r="K47" s="52">
        <f t="shared" si="63"/>
        <v>0</v>
      </c>
      <c r="L47" s="52">
        <f t="shared" si="63"/>
        <v>0</v>
      </c>
      <c r="M47" s="51">
        <f>'AP03'!D40</f>
        <v>2328.53</v>
      </c>
      <c r="N47" s="51">
        <f>SUM('AP05'!$F47:$L47)</f>
        <v>2228.387899</v>
      </c>
      <c r="O47" s="137">
        <f>'AP05'!$M47-'AP05'!$N47</f>
        <v>100.1421012</v>
      </c>
      <c r="P47" s="51">
        <f>Q46*('AP05'!$R47-1)</f>
        <v>0</v>
      </c>
      <c r="Q47" s="51">
        <f>(Q46*'AP05'!$R47)-'AP05'!$G47-'AP05'!$O47</f>
        <v>271974.4153</v>
      </c>
      <c r="R47" s="53">
        <f t="shared" si="8"/>
        <v>1</v>
      </c>
      <c r="S47" s="4"/>
      <c r="T47" s="4"/>
      <c r="U47" s="4"/>
      <c r="V47" s="4"/>
      <c r="W47" s="4"/>
      <c r="X47" s="4"/>
      <c r="Y47" s="4"/>
      <c r="Z47" s="4"/>
    </row>
    <row r="48" ht="18.75" customHeight="1">
      <c r="A48" s="56">
        <f t="shared" si="2"/>
        <v>34</v>
      </c>
      <c r="B48" s="50">
        <f t="shared" si="5"/>
        <v>44276</v>
      </c>
      <c r="C48" s="47">
        <f t="shared" ref="C48:D48" si="64">C47</f>
        <v>0.062</v>
      </c>
      <c r="D48" s="47">
        <f t="shared" si="64"/>
        <v>0.005025</v>
      </c>
      <c r="E48" s="51">
        <f>'AP05'!$F48+'AP05'!$G48</f>
        <v>2198.397478</v>
      </c>
      <c r="F48" s="51">
        <f>(Q47*'AP05'!$R48)*'AP05'!$D48</f>
        <v>1366.671437</v>
      </c>
      <c r="G48" s="51">
        <f>(Q47*'AP05'!$R48)/($I$5-A47)</f>
        <v>831.7260407</v>
      </c>
      <c r="H48" s="52">
        <f t="shared" ref="H48:L48" si="65">H47</f>
        <v>0</v>
      </c>
      <c r="I48" s="52">
        <f t="shared" si="65"/>
        <v>0</v>
      </c>
      <c r="J48" s="51">
        <f t="shared" si="65"/>
        <v>25</v>
      </c>
      <c r="K48" s="52">
        <f t="shared" si="65"/>
        <v>0</v>
      </c>
      <c r="L48" s="52">
        <f t="shared" si="65"/>
        <v>0</v>
      </c>
      <c r="M48" s="51">
        <f>'AP03'!D41</f>
        <v>2324.19</v>
      </c>
      <c r="N48" s="51">
        <f>SUM('AP05'!$F48:$L48)</f>
        <v>2223.397478</v>
      </c>
      <c r="O48" s="137">
        <f>'AP05'!$M48-'AP05'!$N48</f>
        <v>100.7925225</v>
      </c>
      <c r="P48" s="51">
        <f>Q47*('AP05'!$R48-1)</f>
        <v>0</v>
      </c>
      <c r="Q48" s="51">
        <f>(Q47*'AP05'!$R48)-'AP05'!$G48-'AP05'!$O48</f>
        <v>271041.8967</v>
      </c>
      <c r="R48" s="53">
        <f t="shared" si="8"/>
        <v>1</v>
      </c>
      <c r="S48" s="4"/>
      <c r="T48" s="4"/>
      <c r="U48" s="4"/>
      <c r="V48" s="4"/>
      <c r="W48" s="4"/>
      <c r="X48" s="4"/>
      <c r="Y48" s="4"/>
      <c r="Z48" s="4"/>
    </row>
    <row r="49" ht="18.75" customHeight="1">
      <c r="A49" s="56">
        <f t="shared" si="2"/>
        <v>35</v>
      </c>
      <c r="B49" s="50">
        <f t="shared" si="5"/>
        <v>44307</v>
      </c>
      <c r="C49" s="47">
        <f t="shared" ref="C49:D49" si="66">C48</f>
        <v>0.062</v>
      </c>
      <c r="D49" s="47">
        <f t="shared" si="66"/>
        <v>0.005025</v>
      </c>
      <c r="E49" s="51">
        <f>'AP05'!$F49+'AP05'!$G49</f>
        <v>2193.402392</v>
      </c>
      <c r="F49" s="51">
        <f>(Q48*'AP05'!$R49)*'AP05'!$D49</f>
        <v>1361.985531</v>
      </c>
      <c r="G49" s="51">
        <f>(Q48*'AP05'!$R49)/($I$5-A48)</f>
        <v>831.4168612</v>
      </c>
      <c r="H49" s="52">
        <f t="shared" ref="H49:L49" si="67">H48</f>
        <v>0</v>
      </c>
      <c r="I49" s="52">
        <f t="shared" si="67"/>
        <v>0</v>
      </c>
      <c r="J49" s="51">
        <f t="shared" si="67"/>
        <v>25</v>
      </c>
      <c r="K49" s="52">
        <f t="shared" si="67"/>
        <v>0</v>
      </c>
      <c r="L49" s="52">
        <f t="shared" si="67"/>
        <v>0</v>
      </c>
      <c r="M49" s="51">
        <f>'AP03'!D42</f>
        <v>2319.85</v>
      </c>
      <c r="N49" s="51">
        <f>SUM('AP05'!$F49:$L49)</f>
        <v>2218.402392</v>
      </c>
      <c r="O49" s="137">
        <f>'AP05'!$M49-'AP05'!$N49</f>
        <v>101.4476078</v>
      </c>
      <c r="P49" s="51">
        <f>Q48*('AP05'!$R49-1)</f>
        <v>0</v>
      </c>
      <c r="Q49" s="51">
        <f>(Q48*'AP05'!$R49)-'AP05'!$G49-'AP05'!$O49</f>
        <v>270109.0323</v>
      </c>
      <c r="R49" s="53">
        <f t="shared" si="8"/>
        <v>1</v>
      </c>
      <c r="S49" s="4"/>
      <c r="T49" s="4"/>
      <c r="U49" s="4"/>
      <c r="V49" s="4"/>
      <c r="W49" s="4"/>
      <c r="X49" s="4"/>
      <c r="Y49" s="4"/>
      <c r="Z49" s="4"/>
    </row>
    <row r="50" ht="18.75" customHeight="1">
      <c r="A50" s="56">
        <f t="shared" si="2"/>
        <v>36</v>
      </c>
      <c r="B50" s="50">
        <f t="shared" si="5"/>
        <v>44337</v>
      </c>
      <c r="C50" s="47">
        <f t="shared" ref="C50:D50" si="68">C49</f>
        <v>0.062</v>
      </c>
      <c r="D50" s="47">
        <f t="shared" si="68"/>
        <v>0.005025</v>
      </c>
      <c r="E50" s="51">
        <f>'AP05'!$F50+'AP05'!$G50</f>
        <v>2188.402602</v>
      </c>
      <c r="F50" s="51">
        <f>(Q49*'AP05'!$R50)*'AP05'!$D50</f>
        <v>1357.297887</v>
      </c>
      <c r="G50" s="51">
        <f>(Q49*'AP05'!$R50)/($I$5-A49)</f>
        <v>831.1047147</v>
      </c>
      <c r="H50" s="52">
        <f t="shared" ref="H50:L50" si="69">H49</f>
        <v>0</v>
      </c>
      <c r="I50" s="52">
        <f t="shared" si="69"/>
        <v>0</v>
      </c>
      <c r="J50" s="51">
        <f t="shared" si="69"/>
        <v>25</v>
      </c>
      <c r="K50" s="52">
        <f t="shared" si="69"/>
        <v>0</v>
      </c>
      <c r="L50" s="52">
        <f t="shared" si="69"/>
        <v>0</v>
      </c>
      <c r="M50" s="51">
        <f>'AP03'!D43</f>
        <v>2315.51</v>
      </c>
      <c r="N50" s="51">
        <f>SUM('AP05'!$F50:$L50)</f>
        <v>2213.402602</v>
      </c>
      <c r="O50" s="137">
        <f>'AP05'!$M50-'AP05'!$N50</f>
        <v>102.1073982</v>
      </c>
      <c r="P50" s="51">
        <f>Q49*('AP05'!$R50-1)</f>
        <v>0</v>
      </c>
      <c r="Q50" s="51">
        <f>(Q49*'AP05'!$R50)-'AP05'!$G50-'AP05'!$O50</f>
        <v>269175.8202</v>
      </c>
      <c r="R50" s="53">
        <f t="shared" si="8"/>
        <v>1</v>
      </c>
      <c r="S50" s="4"/>
      <c r="T50" s="4"/>
      <c r="U50" s="4"/>
      <c r="V50" s="4"/>
      <c r="W50" s="4"/>
      <c r="X50" s="4"/>
      <c r="Y50" s="4"/>
      <c r="Z50" s="4"/>
    </row>
    <row r="51" ht="18.75" customHeight="1">
      <c r="A51" s="56">
        <f t="shared" si="2"/>
        <v>37</v>
      </c>
      <c r="B51" s="50">
        <f t="shared" si="5"/>
        <v>44368</v>
      </c>
      <c r="C51" s="47">
        <f t="shared" ref="C51:D51" si="70">C50</f>
        <v>0.062</v>
      </c>
      <c r="D51" s="47">
        <f t="shared" si="70"/>
        <v>0.005025</v>
      </c>
      <c r="E51" s="51">
        <f>'AP05'!$F51+'AP05'!$G51</f>
        <v>2183.398065</v>
      </c>
      <c r="F51" s="51">
        <f>(Q50*'AP05'!$R51)*'AP05'!$D51</f>
        <v>1352.608496</v>
      </c>
      <c r="G51" s="51">
        <f>(Q50*'AP05'!$R51)/($I$5-A50)</f>
        <v>830.7895684</v>
      </c>
      <c r="H51" s="52">
        <f t="shared" ref="H51:L51" si="71">H50</f>
        <v>0</v>
      </c>
      <c r="I51" s="52">
        <f t="shared" si="71"/>
        <v>0</v>
      </c>
      <c r="J51" s="51">
        <f t="shared" si="71"/>
        <v>25</v>
      </c>
      <c r="K51" s="52">
        <f t="shared" si="71"/>
        <v>0</v>
      </c>
      <c r="L51" s="52">
        <f t="shared" si="71"/>
        <v>0</v>
      </c>
      <c r="M51" s="51">
        <f>'AP03'!D44</f>
        <v>2311.16</v>
      </c>
      <c r="N51" s="51">
        <f>SUM('AP05'!$F51:$L51)</f>
        <v>2208.398065</v>
      </c>
      <c r="O51" s="137">
        <f>'AP05'!$M51-'AP05'!$N51</f>
        <v>102.7619354</v>
      </c>
      <c r="P51" s="51">
        <f>Q50*('AP05'!$R51-1)</f>
        <v>0</v>
      </c>
      <c r="Q51" s="51">
        <f>(Q50*'AP05'!$R51)-'AP05'!$G51-'AP05'!$O51</f>
        <v>268242.2686</v>
      </c>
      <c r="R51" s="53">
        <f t="shared" si="8"/>
        <v>1</v>
      </c>
      <c r="S51" s="4"/>
      <c r="T51" s="4"/>
      <c r="U51" s="4"/>
      <c r="V51" s="4"/>
      <c r="W51" s="4"/>
      <c r="X51" s="4"/>
      <c r="Y51" s="4"/>
      <c r="Z51" s="4"/>
    </row>
    <row r="52" ht="18.75" customHeight="1">
      <c r="A52" s="56">
        <f t="shared" si="2"/>
        <v>38</v>
      </c>
      <c r="B52" s="50">
        <f t="shared" si="5"/>
        <v>44398</v>
      </c>
      <c r="C52" s="47">
        <f t="shared" ref="C52:D52" si="72">C51</f>
        <v>0.062</v>
      </c>
      <c r="D52" s="47">
        <f t="shared" si="72"/>
        <v>0.005025</v>
      </c>
      <c r="E52" s="51">
        <f>'AP05'!$F52+'AP05'!$G52</f>
        <v>2178.38882</v>
      </c>
      <c r="F52" s="51">
        <f>(Q51*'AP05'!$R52)*'AP05'!$D52</f>
        <v>1347.9174</v>
      </c>
      <c r="G52" s="51">
        <f>(Q51*'AP05'!$R52)/($I$5-A51)</f>
        <v>830.47142</v>
      </c>
      <c r="H52" s="52">
        <f t="shared" ref="H52:L52" si="73">H51</f>
        <v>0</v>
      </c>
      <c r="I52" s="52">
        <f t="shared" si="73"/>
        <v>0</v>
      </c>
      <c r="J52" s="51">
        <f t="shared" si="73"/>
        <v>25</v>
      </c>
      <c r="K52" s="52">
        <f t="shared" si="73"/>
        <v>0</v>
      </c>
      <c r="L52" s="52">
        <f t="shared" si="73"/>
        <v>0</v>
      </c>
      <c r="M52" s="51">
        <f>'AP03'!D45</f>
        <v>2306.81</v>
      </c>
      <c r="N52" s="51">
        <f>SUM('AP05'!$F52:$L52)</f>
        <v>2203.38882</v>
      </c>
      <c r="O52" s="137">
        <f>'AP05'!$M52-'AP05'!$N52</f>
        <v>103.4211801</v>
      </c>
      <c r="P52" s="51">
        <f>Q51*('AP05'!$R52-1)</f>
        <v>0</v>
      </c>
      <c r="Q52" s="51">
        <f>(Q51*'AP05'!$R52)-'AP05'!$G52-'AP05'!$O52</f>
        <v>267308.376</v>
      </c>
      <c r="R52" s="53">
        <f t="shared" si="8"/>
        <v>1</v>
      </c>
      <c r="S52" s="4"/>
      <c r="T52" s="4"/>
      <c r="U52" s="4"/>
      <c r="V52" s="4"/>
      <c r="W52" s="4"/>
      <c r="X52" s="4"/>
      <c r="Y52" s="4"/>
      <c r="Z52" s="4"/>
    </row>
    <row r="53" ht="18.75" customHeight="1">
      <c r="A53" s="56">
        <f t="shared" si="2"/>
        <v>39</v>
      </c>
      <c r="B53" s="50">
        <f t="shared" si="5"/>
        <v>44429</v>
      </c>
      <c r="C53" s="47">
        <f t="shared" ref="C53:D53" si="74">C52</f>
        <v>0.062</v>
      </c>
      <c r="D53" s="47">
        <f t="shared" si="74"/>
        <v>0.005025</v>
      </c>
      <c r="E53" s="51">
        <f>'AP05'!$F53+'AP05'!$G53</f>
        <v>2173.374826</v>
      </c>
      <c r="F53" s="51">
        <f>(Q52*'AP05'!$R53)*'AP05'!$D53</f>
        <v>1343.22459</v>
      </c>
      <c r="G53" s="51">
        <f>(Q52*'AP05'!$R53)/($I$5-A52)</f>
        <v>830.1502362</v>
      </c>
      <c r="H53" s="52">
        <f t="shared" ref="H53:L53" si="75">H52</f>
        <v>0</v>
      </c>
      <c r="I53" s="52">
        <f t="shared" si="75"/>
        <v>0</v>
      </c>
      <c r="J53" s="51">
        <f t="shared" si="75"/>
        <v>25</v>
      </c>
      <c r="K53" s="52">
        <f t="shared" si="75"/>
        <v>0</v>
      </c>
      <c r="L53" s="52">
        <f t="shared" si="75"/>
        <v>0</v>
      </c>
      <c r="M53" s="51">
        <f>'AP03'!D46</f>
        <v>2302.47</v>
      </c>
      <c r="N53" s="51">
        <f>SUM('AP05'!$F53:$L53)</f>
        <v>2198.374826</v>
      </c>
      <c r="O53" s="137">
        <f>'AP05'!$M53-'AP05'!$N53</f>
        <v>104.0951742</v>
      </c>
      <c r="P53" s="51">
        <f>Q52*('AP05'!$R53-1)</f>
        <v>0</v>
      </c>
      <c r="Q53" s="51">
        <f>(Q52*'AP05'!$R53)-'AP05'!$G53-'AP05'!$O53</f>
        <v>266374.1306</v>
      </c>
      <c r="R53" s="53">
        <f t="shared" si="8"/>
        <v>1</v>
      </c>
      <c r="S53" s="4"/>
      <c r="T53" s="4"/>
      <c r="U53" s="4"/>
      <c r="V53" s="4"/>
      <c r="W53" s="4"/>
      <c r="X53" s="4"/>
      <c r="Y53" s="4"/>
      <c r="Z53" s="4"/>
    </row>
    <row r="54" ht="18.75" customHeight="1">
      <c r="A54" s="56">
        <f t="shared" si="2"/>
        <v>40</v>
      </c>
      <c r="B54" s="50">
        <f t="shared" si="5"/>
        <v>44460</v>
      </c>
      <c r="C54" s="47">
        <f t="shared" ref="C54:D54" si="76">C53</f>
        <v>0.062</v>
      </c>
      <c r="D54" s="47">
        <f t="shared" si="76"/>
        <v>0.005025</v>
      </c>
      <c r="E54" s="51">
        <f>'AP05'!$F54+'AP05'!$G54</f>
        <v>2168.355959</v>
      </c>
      <c r="F54" s="51">
        <f>(Q53*'AP05'!$R54)*'AP05'!$D54</f>
        <v>1338.530006</v>
      </c>
      <c r="G54" s="51">
        <f>(Q53*'AP05'!$R54)/($I$5-A53)</f>
        <v>829.8259521</v>
      </c>
      <c r="H54" s="52">
        <f t="shared" ref="H54:L54" si="77">H53</f>
        <v>0</v>
      </c>
      <c r="I54" s="52">
        <f t="shared" si="77"/>
        <v>0</v>
      </c>
      <c r="J54" s="51">
        <f t="shared" si="77"/>
        <v>25</v>
      </c>
      <c r="K54" s="52">
        <f t="shared" si="77"/>
        <v>0</v>
      </c>
      <c r="L54" s="52">
        <f t="shared" si="77"/>
        <v>0</v>
      </c>
      <c r="M54" s="51">
        <f>'AP03'!D47</f>
        <v>2298.13</v>
      </c>
      <c r="N54" s="51">
        <f>SUM('AP05'!$F54:$L54)</f>
        <v>2193.355959</v>
      </c>
      <c r="O54" s="137">
        <f>'AP05'!$M54-'AP05'!$N54</f>
        <v>104.7740414</v>
      </c>
      <c r="P54" s="51">
        <f>Q53*('AP05'!$R54-1)</f>
        <v>0</v>
      </c>
      <c r="Q54" s="51">
        <f>(Q53*'AP05'!$R54)-'AP05'!$G54-'AP05'!$O54</f>
        <v>265439.5306</v>
      </c>
      <c r="R54" s="53">
        <f t="shared" si="8"/>
        <v>1</v>
      </c>
      <c r="S54" s="4"/>
      <c r="T54" s="4"/>
      <c r="U54" s="4"/>
      <c r="V54" s="4"/>
      <c r="W54" s="4"/>
      <c r="X54" s="4"/>
      <c r="Y54" s="4"/>
      <c r="Z54" s="4"/>
    </row>
    <row r="55" ht="18.75" customHeight="1">
      <c r="A55" s="56">
        <f t="shared" si="2"/>
        <v>41</v>
      </c>
      <c r="B55" s="50">
        <f t="shared" si="5"/>
        <v>44490</v>
      </c>
      <c r="C55" s="47">
        <f t="shared" ref="C55:D55" si="78">C54</f>
        <v>0.062</v>
      </c>
      <c r="D55" s="47">
        <f t="shared" si="78"/>
        <v>0.005025</v>
      </c>
      <c r="E55" s="51">
        <f>'AP05'!$F55+'AP05'!$G55</f>
        <v>2163.332175</v>
      </c>
      <c r="F55" s="51">
        <f>(Q54*'AP05'!$R55)*'AP05'!$D55</f>
        <v>1333.833641</v>
      </c>
      <c r="G55" s="51">
        <f>(Q54*'AP05'!$R55)/($I$5-A54)</f>
        <v>829.4985333</v>
      </c>
      <c r="H55" s="52">
        <f t="shared" ref="H55:L55" si="79">H54</f>
        <v>0</v>
      </c>
      <c r="I55" s="52">
        <f t="shared" si="79"/>
        <v>0</v>
      </c>
      <c r="J55" s="51">
        <f t="shared" si="79"/>
        <v>25</v>
      </c>
      <c r="K55" s="52">
        <f t="shared" si="79"/>
        <v>0</v>
      </c>
      <c r="L55" s="52">
        <f t="shared" si="79"/>
        <v>0</v>
      </c>
      <c r="M55" s="51">
        <f>'AP03'!D48</f>
        <v>2293.79</v>
      </c>
      <c r="N55" s="51">
        <f>SUM('AP05'!$F55:$L55)</f>
        <v>2188.332175</v>
      </c>
      <c r="O55" s="137">
        <f>'AP05'!$M55-'AP05'!$N55</f>
        <v>105.4578252</v>
      </c>
      <c r="P55" s="51">
        <f>Q54*('AP05'!$R55-1)</f>
        <v>0</v>
      </c>
      <c r="Q55" s="51">
        <f>(Q54*'AP05'!$R55)-'AP05'!$G55-'AP05'!$O55</f>
        <v>264504.5743</v>
      </c>
      <c r="R55" s="53">
        <f t="shared" si="8"/>
        <v>1</v>
      </c>
      <c r="S55" s="4"/>
      <c r="T55" s="4"/>
      <c r="U55" s="4"/>
      <c r="V55" s="4"/>
      <c r="W55" s="4"/>
      <c r="X55" s="4"/>
      <c r="Y55" s="4"/>
      <c r="Z55" s="4"/>
    </row>
    <row r="56" ht="18.75" customHeight="1">
      <c r="A56" s="56">
        <f t="shared" si="2"/>
        <v>42</v>
      </c>
      <c r="B56" s="50">
        <f t="shared" si="5"/>
        <v>44521</v>
      </c>
      <c r="C56" s="47">
        <f t="shared" ref="C56:D56" si="80">C55</f>
        <v>0.062</v>
      </c>
      <c r="D56" s="47">
        <f t="shared" si="80"/>
        <v>0.005025</v>
      </c>
      <c r="E56" s="51">
        <f>'AP05'!$F56+'AP05'!$G56</f>
        <v>2158.30343</v>
      </c>
      <c r="F56" s="51">
        <f>(Q55*'AP05'!$R56)*'AP05'!$D56</f>
        <v>1329.135486</v>
      </c>
      <c r="G56" s="51">
        <f>(Q55*'AP05'!$R56)/($I$5-A55)</f>
        <v>829.1679445</v>
      </c>
      <c r="H56" s="52">
        <f t="shared" ref="H56:L56" si="81">H55</f>
        <v>0</v>
      </c>
      <c r="I56" s="52">
        <f t="shared" si="81"/>
        <v>0</v>
      </c>
      <c r="J56" s="51">
        <f t="shared" si="81"/>
        <v>25</v>
      </c>
      <c r="K56" s="52">
        <f t="shared" si="81"/>
        <v>0</v>
      </c>
      <c r="L56" s="52">
        <f t="shared" si="81"/>
        <v>0</v>
      </c>
      <c r="M56" s="51">
        <f>'AP03'!D49</f>
        <v>2289.44</v>
      </c>
      <c r="N56" s="51">
        <f>SUM('AP05'!$F56:$L56)</f>
        <v>2183.30343</v>
      </c>
      <c r="O56" s="137">
        <f>'AP05'!$M56-'AP05'!$N56</f>
        <v>106.1365697</v>
      </c>
      <c r="P56" s="51">
        <f>Q55*('AP05'!$R56-1)</f>
        <v>0</v>
      </c>
      <c r="Q56" s="51">
        <f>(Q55*'AP05'!$R56)-'AP05'!$G56-'AP05'!$O56</f>
        <v>263569.2698</v>
      </c>
      <c r="R56" s="53">
        <f t="shared" si="8"/>
        <v>1</v>
      </c>
      <c r="S56" s="4"/>
      <c r="T56" s="4"/>
      <c r="U56" s="4"/>
      <c r="V56" s="4"/>
      <c r="W56" s="4"/>
      <c r="X56" s="4"/>
      <c r="Y56" s="4"/>
      <c r="Z56" s="4"/>
    </row>
    <row r="57" ht="18.75" customHeight="1">
      <c r="A57" s="56">
        <f t="shared" si="2"/>
        <v>43</v>
      </c>
      <c r="B57" s="50">
        <f t="shared" si="5"/>
        <v>44551</v>
      </c>
      <c r="C57" s="47">
        <f t="shared" ref="C57:D57" si="82">C56</f>
        <v>0.062</v>
      </c>
      <c r="D57" s="47">
        <f t="shared" si="82"/>
        <v>0.005025</v>
      </c>
      <c r="E57" s="51">
        <f>'AP05'!$F57+'AP05'!$G57</f>
        <v>2153.269762</v>
      </c>
      <c r="F57" s="51">
        <f>(Q56*'AP05'!$R57)*'AP05'!$D57</f>
        <v>1324.435581</v>
      </c>
      <c r="G57" s="51">
        <f>(Q56*'AP05'!$R57)/($I$5-A56)</f>
        <v>828.8341817</v>
      </c>
      <c r="H57" s="52">
        <f t="shared" ref="H57:L57" si="83">H56</f>
        <v>0</v>
      </c>
      <c r="I57" s="52">
        <f t="shared" si="83"/>
        <v>0</v>
      </c>
      <c r="J57" s="51">
        <f t="shared" si="83"/>
        <v>25</v>
      </c>
      <c r="K57" s="52">
        <f t="shared" si="83"/>
        <v>0</v>
      </c>
      <c r="L57" s="52">
        <f t="shared" si="83"/>
        <v>0</v>
      </c>
      <c r="M57" s="51">
        <f>'AP03'!D50</f>
        <v>2294.47</v>
      </c>
      <c r="N57" s="51">
        <f>SUM('AP05'!$F57:$L57)</f>
        <v>2178.269762</v>
      </c>
      <c r="O57" s="137">
        <f>'AP05'!$M57-'AP05'!$N57</f>
        <v>116.2002377</v>
      </c>
      <c r="P57" s="51">
        <f>Q56*('AP05'!$R57-1)</f>
        <v>0</v>
      </c>
      <c r="Q57" s="51">
        <f>(Q56*'AP05'!$R57)-'AP05'!$G57-'AP05'!$O57</f>
        <v>262624.2354</v>
      </c>
      <c r="R57" s="53">
        <f t="shared" si="8"/>
        <v>1</v>
      </c>
      <c r="S57" s="4"/>
      <c r="T57" s="4"/>
      <c r="U57" s="4"/>
      <c r="V57" s="4"/>
      <c r="W57" s="4"/>
      <c r="X57" s="4"/>
      <c r="Y57" s="4"/>
      <c r="Z57" s="4"/>
    </row>
    <row r="58" ht="18.75" customHeight="1">
      <c r="A58" s="56">
        <f t="shared" si="2"/>
        <v>44</v>
      </c>
      <c r="B58" s="50">
        <f t="shared" si="5"/>
        <v>44582</v>
      </c>
      <c r="C58" s="47">
        <f t="shared" ref="C58:D58" si="84">C57</f>
        <v>0.062</v>
      </c>
      <c r="D58" s="47">
        <f t="shared" si="84"/>
        <v>0.005025</v>
      </c>
      <c r="E58" s="51">
        <f>'AP05'!$F58+'AP05'!$G58</f>
        <v>2150.721447</v>
      </c>
      <c r="F58" s="51">
        <f>(Q57*'AP05'!$R58)*'AP05'!$D58</f>
        <v>1321.263808</v>
      </c>
      <c r="G58" s="51">
        <f>(Q57*'AP05'!$R58)/($I$5-A57)</f>
        <v>829.4576382</v>
      </c>
      <c r="H58" s="52">
        <f t="shared" ref="H58:L58" si="85">H57</f>
        <v>0</v>
      </c>
      <c r="I58" s="52">
        <f t="shared" si="85"/>
        <v>0</v>
      </c>
      <c r="J58" s="51">
        <f t="shared" si="85"/>
        <v>25</v>
      </c>
      <c r="K58" s="52">
        <f t="shared" si="85"/>
        <v>0</v>
      </c>
      <c r="L58" s="52">
        <f t="shared" si="85"/>
        <v>0</v>
      </c>
      <c r="M58" s="51">
        <f>'AP03'!D51</f>
        <v>2292.79</v>
      </c>
      <c r="N58" s="51">
        <f>SUM('AP05'!$F58:$L58)</f>
        <v>2175.721447</v>
      </c>
      <c r="O58" s="137">
        <f>'AP05'!$M58-'AP05'!$N58</f>
        <v>117.0685534</v>
      </c>
      <c r="P58" s="51">
        <f>Q57*('AP05'!$R58-1)</f>
        <v>313.8359612</v>
      </c>
      <c r="Q58" s="51">
        <f>(Q57*'AP05'!$R58)-'AP05'!$G58-'AP05'!$O58</f>
        <v>261991.5451</v>
      </c>
      <c r="R58" s="53">
        <v>1.001195</v>
      </c>
      <c r="S58" s="4"/>
      <c r="T58" s="4"/>
      <c r="U58" s="4"/>
      <c r="V58" s="4"/>
      <c r="W58" s="4"/>
      <c r="X58" s="4"/>
      <c r="Y58" s="4"/>
      <c r="Z58" s="4"/>
    </row>
    <row r="59" ht="18.75" customHeight="1">
      <c r="A59" s="56">
        <f t="shared" si="2"/>
        <v>45</v>
      </c>
      <c r="B59" s="50">
        <f t="shared" si="5"/>
        <v>44613</v>
      </c>
      <c r="C59" s="47">
        <f t="shared" ref="C59:D59" si="86">C58</f>
        <v>0.062</v>
      </c>
      <c r="D59" s="47">
        <f t="shared" si="86"/>
        <v>0.005025</v>
      </c>
      <c r="E59" s="51">
        <f>'AP05'!$F59+'AP05'!$G59</f>
        <v>2147.399127</v>
      </c>
      <c r="F59" s="51">
        <f>(Q58*'AP05'!$R59)*'AP05'!$D59</f>
        <v>1317.614697</v>
      </c>
      <c r="G59" s="51">
        <f>(Q58*'AP05'!$R59)/($I$5-A58)</f>
        <v>829.7844304</v>
      </c>
      <c r="H59" s="52">
        <f t="shared" ref="H59:L59" si="87">H58</f>
        <v>0</v>
      </c>
      <c r="I59" s="52">
        <f t="shared" si="87"/>
        <v>0</v>
      </c>
      <c r="J59" s="51">
        <f t="shared" si="87"/>
        <v>25</v>
      </c>
      <c r="K59" s="52">
        <f t="shared" si="87"/>
        <v>0</v>
      </c>
      <c r="L59" s="52">
        <f t="shared" si="87"/>
        <v>0</v>
      </c>
      <c r="M59" s="51">
        <f>'AP03'!D52</f>
        <v>2290.94</v>
      </c>
      <c r="N59" s="51">
        <f>SUM('AP05'!$F59:$L59)</f>
        <v>2172.399127</v>
      </c>
      <c r="O59" s="137">
        <f>'AP05'!$M59-'AP05'!$N59</f>
        <v>118.5408725</v>
      </c>
      <c r="P59" s="51">
        <f>Q58*('AP05'!$R59-1)</f>
        <v>220.3348894</v>
      </c>
      <c r="Q59" s="51">
        <f>(Q58*'AP05'!$R59)-'AP05'!$G59-'AP05'!$O59</f>
        <v>261263.5547</v>
      </c>
      <c r="R59" s="53">
        <v>1.000841</v>
      </c>
      <c r="S59" s="4"/>
      <c r="T59" s="4"/>
      <c r="U59" s="4"/>
      <c r="V59" s="4"/>
      <c r="W59" s="4"/>
      <c r="X59" s="4"/>
      <c r="Y59" s="4"/>
      <c r="Z59" s="4"/>
    </row>
    <row r="60" ht="18.75" customHeight="1">
      <c r="A60" s="56">
        <f t="shared" si="2"/>
        <v>46</v>
      </c>
      <c r="B60" s="50">
        <f t="shared" si="5"/>
        <v>44641</v>
      </c>
      <c r="C60" s="47">
        <f t="shared" ref="C60:D60" si="88">C59</f>
        <v>0.062</v>
      </c>
      <c r="D60" s="47">
        <f t="shared" si="88"/>
        <v>0.005025</v>
      </c>
      <c r="E60" s="51">
        <f>'AP05'!$F60+'AP05'!$G60</f>
        <v>2142.257473</v>
      </c>
      <c r="F60" s="51">
        <f>(Q59*'AP05'!$R60)*'AP05'!$D60</f>
        <v>1312.849362</v>
      </c>
      <c r="G60" s="51">
        <f>(Q59*'AP05'!$R60)/($I$5-A59)</f>
        <v>829.4081102</v>
      </c>
      <c r="H60" s="52">
        <f t="shared" ref="H60:L60" si="89">H59</f>
        <v>0</v>
      </c>
      <c r="I60" s="52">
        <f t="shared" si="89"/>
        <v>0</v>
      </c>
      <c r="J60" s="51">
        <f t="shared" si="89"/>
        <v>25</v>
      </c>
      <c r="K60" s="52">
        <f t="shared" si="89"/>
        <v>0</v>
      </c>
      <c r="L60" s="52">
        <f t="shared" si="89"/>
        <v>0</v>
      </c>
      <c r="M60" s="51">
        <f>'AP03'!D53</f>
        <v>2286.56</v>
      </c>
      <c r="N60" s="51">
        <f>SUM('AP05'!$F60:$L60)</f>
        <v>2167.257473</v>
      </c>
      <c r="O60" s="137">
        <f>'AP05'!$M60-'AP05'!$N60</f>
        <v>119.3025274</v>
      </c>
      <c r="P60" s="51">
        <f>Q59*('AP05'!$R60-1)</f>
        <v>0</v>
      </c>
      <c r="Q60" s="51">
        <f>(Q59*'AP05'!$R60)-'AP05'!$G60-'AP05'!$O60</f>
        <v>260314.8441</v>
      </c>
      <c r="R60" s="53">
        <v>1.0</v>
      </c>
      <c r="S60" s="4"/>
      <c r="T60" s="4"/>
      <c r="U60" s="4"/>
      <c r="V60" s="4"/>
      <c r="W60" s="4"/>
      <c r="X60" s="4"/>
      <c r="Y60" s="4"/>
      <c r="Z60" s="4"/>
    </row>
    <row r="61" ht="18.75" customHeight="1">
      <c r="A61" s="56">
        <f t="shared" si="2"/>
        <v>47</v>
      </c>
      <c r="B61" s="50">
        <f t="shared" si="5"/>
        <v>44672</v>
      </c>
      <c r="C61" s="47">
        <f t="shared" ref="C61:D61" si="90">C60</f>
        <v>0.062</v>
      </c>
      <c r="D61" s="47">
        <f t="shared" si="90"/>
        <v>0.005025</v>
      </c>
      <c r="E61" s="51">
        <f>'AP05'!$F61+'AP05'!$G61</f>
        <v>2139.935517</v>
      </c>
      <c r="F61" s="51">
        <f>(Q60*'AP05'!$R61)*'AP05'!$D61</f>
        <v>1309.811376</v>
      </c>
      <c r="G61" s="51">
        <f>(Q60*'AP05'!$R61)/($I$5-A60)</f>
        <v>830.1241411</v>
      </c>
      <c r="H61" s="52">
        <f t="shared" ref="H61:L61" si="91">H60</f>
        <v>0</v>
      </c>
      <c r="I61" s="52">
        <f t="shared" si="91"/>
        <v>0</v>
      </c>
      <c r="J61" s="51">
        <f t="shared" si="91"/>
        <v>25</v>
      </c>
      <c r="K61" s="52">
        <f t="shared" si="91"/>
        <v>0</v>
      </c>
      <c r="L61" s="52">
        <f t="shared" si="91"/>
        <v>0</v>
      </c>
      <c r="M61" s="51">
        <f>'AP03'!D54</f>
        <v>2282.17</v>
      </c>
      <c r="N61" s="51">
        <f>SUM('AP05'!$F61:$L61)</f>
        <v>2164.935517</v>
      </c>
      <c r="O61" s="137">
        <f>'AP05'!$M61-'AP05'!$N61</f>
        <v>117.2344829</v>
      </c>
      <c r="P61" s="51">
        <f>Q60*('AP05'!$R61-1)</f>
        <v>344.1362239</v>
      </c>
      <c r="Q61" s="51">
        <f>(Q60*'AP05'!$R61)-'AP05'!$G61-'AP05'!$O61</f>
        <v>259711.6217</v>
      </c>
      <c r="R61" s="53">
        <v>1.001322</v>
      </c>
      <c r="S61" s="4"/>
      <c r="T61" s="4"/>
      <c r="U61" s="4"/>
      <c r="V61" s="4"/>
      <c r="W61" s="4"/>
      <c r="X61" s="4"/>
      <c r="Y61" s="4"/>
      <c r="Z61" s="4"/>
    </row>
    <row r="62" ht="18.75" customHeight="1">
      <c r="A62" s="56">
        <f t="shared" si="2"/>
        <v>48</v>
      </c>
      <c r="B62" s="50">
        <f t="shared" si="5"/>
        <v>44702</v>
      </c>
      <c r="C62" s="47">
        <f t="shared" ref="C62:D62" si="92">C61</f>
        <v>0.062</v>
      </c>
      <c r="D62" s="47">
        <f t="shared" si="92"/>
        <v>0.005025</v>
      </c>
      <c r="E62" s="51">
        <f>'AP05'!$F62+'AP05'!$G62</f>
        <v>2137.579999</v>
      </c>
      <c r="F62" s="51">
        <f>(Q61*'AP05'!$R62)*'AP05'!$D62</f>
        <v>1306.750075</v>
      </c>
      <c r="G62" s="51">
        <f>(Q61*'AP05'!$R62)/($I$5-A61)</f>
        <v>830.829924</v>
      </c>
      <c r="H62" s="52">
        <f t="shared" ref="H62:L62" si="93">H61</f>
        <v>0</v>
      </c>
      <c r="I62" s="52">
        <f t="shared" si="93"/>
        <v>0</v>
      </c>
      <c r="J62" s="51">
        <f t="shared" si="93"/>
        <v>25</v>
      </c>
      <c r="K62" s="52">
        <f t="shared" si="93"/>
        <v>0</v>
      </c>
      <c r="L62" s="52">
        <f t="shared" si="93"/>
        <v>0</v>
      </c>
      <c r="M62" s="51">
        <f>'AP03'!D55</f>
        <v>2283.71</v>
      </c>
      <c r="N62" s="51">
        <f>SUM('AP05'!$F62:$L62)</f>
        <v>2162.579999</v>
      </c>
      <c r="O62" s="137">
        <f>'AP05'!$M62-'AP05'!$N62</f>
        <v>121.1300009</v>
      </c>
      <c r="P62" s="51">
        <f>Q61*('AP05'!$R62-1)</f>
        <v>338.1445314</v>
      </c>
      <c r="Q62" s="51">
        <f>(Q61*'AP05'!$R62)-'AP05'!$G62-'AP05'!$O62</f>
        <v>259097.8063</v>
      </c>
      <c r="R62" s="53">
        <v>1.001302</v>
      </c>
      <c r="S62" s="4"/>
      <c r="T62" s="4"/>
      <c r="U62" s="4"/>
      <c r="V62" s="4"/>
      <c r="W62" s="4"/>
      <c r="X62" s="4"/>
      <c r="Y62" s="4"/>
      <c r="Z62" s="4"/>
    </row>
    <row r="63" ht="18.75" customHeight="1">
      <c r="A63" s="56">
        <f t="shared" si="2"/>
        <v>49</v>
      </c>
      <c r="B63" s="50">
        <f t="shared" si="5"/>
        <v>44733</v>
      </c>
      <c r="C63" s="47">
        <f t="shared" ref="C63:E63" si="94">C62</f>
        <v>0.062</v>
      </c>
      <c r="D63" s="47">
        <f t="shared" si="94"/>
        <v>0.005025</v>
      </c>
      <c r="E63" s="51">
        <f t="shared" si="94"/>
        <v>2137.579999</v>
      </c>
      <c r="F63" s="51">
        <f>(Q62*'AP05'!$R63)*'AP05'!$D63</f>
        <v>1303.349165</v>
      </c>
      <c r="G63" s="51">
        <f>(Q62*'AP05'!$R63)/($I$5-A62)</f>
        <v>831.3236159</v>
      </c>
      <c r="H63" s="52">
        <f t="shared" ref="H63:L63" si="95">H62</f>
        <v>0</v>
      </c>
      <c r="I63" s="52">
        <f t="shared" si="95"/>
        <v>0</v>
      </c>
      <c r="J63" s="51">
        <f t="shared" si="95"/>
        <v>25</v>
      </c>
      <c r="K63" s="52">
        <f t="shared" si="95"/>
        <v>0</v>
      </c>
      <c r="L63" s="52">
        <f t="shared" si="95"/>
        <v>0</v>
      </c>
      <c r="M63" s="51">
        <f>'AP03'!D56</f>
        <v>2284.69</v>
      </c>
      <c r="N63" s="51">
        <f>SUM('AP05'!$F63:$L63)</f>
        <v>2159.672781</v>
      </c>
      <c r="O63" s="137">
        <f>'AP05'!$M63-'AP05'!$N63</f>
        <v>125.0172192</v>
      </c>
      <c r="P63" s="51">
        <f>Q62*('AP05'!$R63-1)</f>
        <v>275.1618703</v>
      </c>
      <c r="Q63" s="51">
        <f>(Q62*'AP05'!$R63)-'AP05'!$G63-'AP05'!$O63</f>
        <v>258416.6273</v>
      </c>
      <c r="R63" s="53">
        <v>1.001062</v>
      </c>
      <c r="S63" s="4"/>
      <c r="T63" s="4"/>
      <c r="U63" s="4"/>
      <c r="V63" s="4"/>
      <c r="W63" s="4"/>
      <c r="X63" s="4"/>
      <c r="Y63" s="4"/>
      <c r="Z63" s="4"/>
    </row>
    <row r="64" ht="18.75" customHeight="1">
      <c r="A64" s="56">
        <f t="shared" si="2"/>
        <v>50</v>
      </c>
      <c r="B64" s="50">
        <f t="shared" si="5"/>
        <v>44763</v>
      </c>
      <c r="C64" s="47">
        <f t="shared" ref="C64:E64" si="96">C63</f>
        <v>0.062</v>
      </c>
      <c r="D64" s="47">
        <f t="shared" si="96"/>
        <v>0.005025</v>
      </c>
      <c r="E64" s="51">
        <f t="shared" si="96"/>
        <v>2137.579999</v>
      </c>
      <c r="F64" s="51">
        <f>(Q63*'AP05'!$R64)*'AP05'!$D64</f>
        <v>1301.040652</v>
      </c>
      <c r="G64" s="51">
        <f>(Q63*'AP05'!$R64)/($I$5-A63)</f>
        <v>832.5194935</v>
      </c>
      <c r="H64" s="52">
        <f t="shared" ref="H64:L64" si="97">H63</f>
        <v>0</v>
      </c>
      <c r="I64" s="52">
        <f t="shared" si="97"/>
        <v>0</v>
      </c>
      <c r="J64" s="51">
        <f t="shared" si="97"/>
        <v>25</v>
      </c>
      <c r="K64" s="52">
        <f t="shared" si="97"/>
        <v>0</v>
      </c>
      <c r="L64" s="52">
        <f t="shared" si="97"/>
        <v>0</v>
      </c>
      <c r="M64" s="51">
        <f>'AP03'!D57</f>
        <v>2281.63</v>
      </c>
      <c r="N64" s="51">
        <f>SUM('AP05'!$F64:$L64)</f>
        <v>2158.560145</v>
      </c>
      <c r="O64" s="137">
        <f>'AP05'!$M64-'AP05'!$N64</f>
        <v>123.069855</v>
      </c>
      <c r="P64" s="51">
        <f>Q63*('AP05'!$R64-1)</f>
        <v>496.9351743</v>
      </c>
      <c r="Q64" s="51">
        <f>(Q63*'AP05'!$R64)-'AP05'!$G64-'AP05'!$O64</f>
        <v>257957.9731</v>
      </c>
      <c r="R64" s="53">
        <v>1.001923</v>
      </c>
      <c r="S64" s="4"/>
      <c r="T64" s="4"/>
      <c r="U64" s="4"/>
      <c r="V64" s="4"/>
      <c r="W64" s="4"/>
      <c r="X64" s="4"/>
      <c r="Y64" s="4"/>
      <c r="Z64" s="4"/>
    </row>
    <row r="65" ht="18.75" customHeight="1">
      <c r="A65" s="56">
        <f t="shared" si="2"/>
        <v>51</v>
      </c>
      <c r="B65" s="50">
        <f t="shared" si="5"/>
        <v>44794</v>
      </c>
      <c r="C65" s="47">
        <f t="shared" ref="C65:E65" si="98">C64</f>
        <v>0.062</v>
      </c>
      <c r="D65" s="47">
        <f t="shared" si="98"/>
        <v>0.005025</v>
      </c>
      <c r="E65" s="51">
        <f t="shared" si="98"/>
        <v>2137.579999</v>
      </c>
      <c r="F65" s="51">
        <f>(Q64*'AP05'!$R65)*'AP05'!$D65</f>
        <v>1298.947954</v>
      </c>
      <c r="G65" s="51">
        <f>(Q64*'AP05'!$R65)/($I$5-A64)</f>
        <v>833.86163</v>
      </c>
      <c r="H65" s="52">
        <f t="shared" ref="H65:L65" si="99">H64</f>
        <v>0</v>
      </c>
      <c r="I65" s="52">
        <f t="shared" si="99"/>
        <v>0</v>
      </c>
      <c r="J65" s="51">
        <f t="shared" si="99"/>
        <v>25</v>
      </c>
      <c r="K65" s="52">
        <f t="shared" si="99"/>
        <v>0</v>
      </c>
      <c r="L65" s="52">
        <f t="shared" si="99"/>
        <v>0</v>
      </c>
      <c r="M65" s="51">
        <f>'AP03'!D58</f>
        <v>2281.94</v>
      </c>
      <c r="N65" s="51">
        <f>SUM('AP05'!$F65:$L65)</f>
        <v>2157.809584</v>
      </c>
      <c r="O65" s="137">
        <f>'AP05'!$M65-'AP05'!$N65</f>
        <v>124.1304158</v>
      </c>
      <c r="P65" s="51">
        <f>Q64*('AP05'!$R65-1)</f>
        <v>539.1321639</v>
      </c>
      <c r="Q65" s="51">
        <f>(Q64*'AP05'!$R65)-'AP05'!$G65-'AP05'!$O65</f>
        <v>257539.1133</v>
      </c>
      <c r="R65" s="53">
        <v>1.00209</v>
      </c>
      <c r="S65" s="4"/>
      <c r="T65" s="4"/>
      <c r="U65" s="4"/>
      <c r="V65" s="4"/>
      <c r="W65" s="4"/>
      <c r="X65" s="4"/>
      <c r="Y65" s="4"/>
      <c r="Z65" s="4"/>
    </row>
    <row r="66" ht="18.75" customHeight="1">
      <c r="A66" s="56">
        <f t="shared" si="2"/>
        <v>52</v>
      </c>
      <c r="B66" s="50">
        <f t="shared" si="5"/>
        <v>44825</v>
      </c>
      <c r="C66" s="47">
        <f t="shared" ref="C66:E66" si="100">C65</f>
        <v>0.062</v>
      </c>
      <c r="D66" s="47">
        <f t="shared" si="100"/>
        <v>0.005025</v>
      </c>
      <c r="E66" s="51">
        <f t="shared" si="100"/>
        <v>2137.579999</v>
      </c>
      <c r="F66" s="51">
        <f>(Q65*'AP05'!$R66)*'AP05'!$D66</f>
        <v>1296.453132</v>
      </c>
      <c r="G66" s="51">
        <f>(Q65*'AP05'!$R66)/($I$5-A65)</f>
        <v>834.9534736</v>
      </c>
      <c r="H66" s="52">
        <f t="shared" ref="H66:L66" si="101">H65</f>
        <v>0</v>
      </c>
      <c r="I66" s="52">
        <f t="shared" si="101"/>
        <v>0</v>
      </c>
      <c r="J66" s="51">
        <f t="shared" si="101"/>
        <v>25</v>
      </c>
      <c r="K66" s="52">
        <f t="shared" si="101"/>
        <v>0</v>
      </c>
      <c r="L66" s="52">
        <f t="shared" si="101"/>
        <v>0</v>
      </c>
      <c r="M66" s="51">
        <f>'AP03'!D59</f>
        <v>2281.56</v>
      </c>
      <c r="N66" s="51">
        <f>SUM('AP05'!$F66:$L66)</f>
        <v>2156.406606</v>
      </c>
      <c r="O66" s="137">
        <f>'AP05'!$M66-'AP05'!$N66</f>
        <v>125.1533941</v>
      </c>
      <c r="P66" s="51">
        <f>Q65*('AP05'!$R66-1)</f>
        <v>461.510091</v>
      </c>
      <c r="Q66" s="51">
        <f>(Q65*'AP05'!$R66)-'AP05'!$G66-'AP05'!$O66</f>
        <v>257040.5165</v>
      </c>
      <c r="R66" s="53">
        <v>1.001792</v>
      </c>
      <c r="S66" s="4"/>
      <c r="T66" s="4"/>
      <c r="U66" s="4"/>
      <c r="V66" s="4"/>
      <c r="W66" s="4"/>
      <c r="X66" s="4"/>
      <c r="Y66" s="4"/>
      <c r="Z66" s="4"/>
    </row>
    <row r="67" ht="18.75" customHeight="1">
      <c r="A67" s="56">
        <f t="shared" si="2"/>
        <v>53</v>
      </c>
      <c r="B67" s="50">
        <f t="shared" si="5"/>
        <v>44855</v>
      </c>
      <c r="C67" s="47">
        <f t="shared" ref="C67:E67" si="102">C66</f>
        <v>0.062</v>
      </c>
      <c r="D67" s="47">
        <f t="shared" si="102"/>
        <v>0.005025</v>
      </c>
      <c r="E67" s="51">
        <f t="shared" si="102"/>
        <v>2137.579999</v>
      </c>
      <c r="F67" s="51">
        <f>(Q66*'AP05'!$R67)*'AP05'!$D67</f>
        <v>1294.000025</v>
      </c>
      <c r="G67" s="51">
        <f>(Q66*'AP05'!$R67)/($I$5-A66)</f>
        <v>836.07936</v>
      </c>
      <c r="H67" s="52">
        <f t="shared" ref="H67:L67" si="103">H66</f>
        <v>0</v>
      </c>
      <c r="I67" s="52">
        <f t="shared" si="103"/>
        <v>0</v>
      </c>
      <c r="J67" s="51">
        <f t="shared" si="103"/>
        <v>25</v>
      </c>
      <c r="K67" s="52">
        <f t="shared" si="103"/>
        <v>0</v>
      </c>
      <c r="L67" s="52">
        <f t="shared" si="103"/>
        <v>0</v>
      </c>
      <c r="M67" s="51">
        <f>'AP03'!D60</f>
        <v>2281.26</v>
      </c>
      <c r="N67" s="51">
        <f>SUM('AP05'!$F67:$L67)</f>
        <v>2155.079385</v>
      </c>
      <c r="O67" s="137">
        <f>'AP05'!$M67-'AP05'!$N67</f>
        <v>126.1806146</v>
      </c>
      <c r="P67" s="51">
        <f>Q66*('AP05'!$R67-1)</f>
        <v>471.9263883</v>
      </c>
      <c r="Q67" s="51">
        <f>(Q66*'AP05'!$R67)-'AP05'!$G67-'AP05'!$O67</f>
        <v>256550.1829</v>
      </c>
      <c r="R67" s="53">
        <v>1.001836</v>
      </c>
      <c r="S67" s="4"/>
      <c r="T67" s="4"/>
      <c r="U67" s="4"/>
      <c r="V67" s="4"/>
      <c r="W67" s="4"/>
      <c r="X67" s="4"/>
      <c r="Y67" s="4"/>
      <c r="Z67" s="4"/>
    </row>
    <row r="68" ht="18.75" customHeight="1">
      <c r="A68" s="56">
        <f t="shared" si="2"/>
        <v>54</v>
      </c>
      <c r="B68" s="50">
        <f t="shared" si="5"/>
        <v>44886</v>
      </c>
      <c r="C68" s="47">
        <f t="shared" ref="C68:E68" si="104">C67</f>
        <v>0.062</v>
      </c>
      <c r="D68" s="47">
        <f t="shared" si="104"/>
        <v>0.005025</v>
      </c>
      <c r="E68" s="51">
        <f t="shared" si="104"/>
        <v>2137.579999</v>
      </c>
      <c r="F68" s="51">
        <f>(Q67*'AP05'!$R68)*'AP05'!$D68</f>
        <v>1290.630449</v>
      </c>
      <c r="G68" s="51">
        <f>(Q67*'AP05'!$R68)/($I$5-A67)</f>
        <v>836.6185031</v>
      </c>
      <c r="H68" s="52">
        <f t="shared" ref="H68:L68" si="105">H67</f>
        <v>0</v>
      </c>
      <c r="I68" s="52">
        <f t="shared" si="105"/>
        <v>0</v>
      </c>
      <c r="J68" s="51">
        <f t="shared" si="105"/>
        <v>25</v>
      </c>
      <c r="K68" s="52">
        <f t="shared" si="105"/>
        <v>0</v>
      </c>
      <c r="L68" s="52">
        <f t="shared" si="105"/>
        <v>0</v>
      </c>
      <c r="M68" s="51">
        <f>'AP03'!D61</f>
        <v>2279.39</v>
      </c>
      <c r="N68" s="51">
        <f>SUM('AP05'!$F68:$L68)</f>
        <v>2152.248952</v>
      </c>
      <c r="O68" s="137">
        <f>'AP05'!$M68-'AP05'!$N68</f>
        <v>127.1410476</v>
      </c>
      <c r="P68" s="51">
        <f>Q67*('AP05'!$R68-1)</f>
        <v>291.697558</v>
      </c>
      <c r="Q68" s="51">
        <f>(Q67*'AP05'!$R68)-'AP05'!$G68-'AP05'!$O68</f>
        <v>255878.1209</v>
      </c>
      <c r="R68" s="53">
        <v>1.001137</v>
      </c>
      <c r="S68" s="4"/>
      <c r="T68" s="4"/>
      <c r="U68" s="4"/>
      <c r="V68" s="4"/>
      <c r="W68" s="4"/>
      <c r="X68" s="4"/>
      <c r="Y68" s="4"/>
      <c r="Z68" s="4"/>
    </row>
    <row r="69" ht="18.75" customHeight="1">
      <c r="A69" s="56">
        <f t="shared" si="2"/>
        <v>55</v>
      </c>
      <c r="B69" s="50">
        <f t="shared" si="5"/>
        <v>44916</v>
      </c>
      <c r="C69" s="47">
        <f t="shared" ref="C69:E69" si="106">C68</f>
        <v>0.062</v>
      </c>
      <c r="D69" s="47">
        <f t="shared" si="106"/>
        <v>0.005025</v>
      </c>
      <c r="E69" s="51">
        <f t="shared" si="106"/>
        <v>2137.579999</v>
      </c>
      <c r="F69" s="51">
        <f>(Q68*'AP05'!$R69)*'AP05'!$D69</f>
        <v>1288.478711</v>
      </c>
      <c r="G69" s="51">
        <f>(Q68*'AP05'!$R69)/($I$5-A68)</f>
        <v>837.9531824</v>
      </c>
      <c r="H69" s="52">
        <f t="shared" ref="H69:L69" si="107">H68</f>
        <v>0</v>
      </c>
      <c r="I69" s="52">
        <f t="shared" si="107"/>
        <v>0</v>
      </c>
      <c r="J69" s="51">
        <f t="shared" si="107"/>
        <v>25</v>
      </c>
      <c r="K69" s="52">
        <f t="shared" si="107"/>
        <v>0</v>
      </c>
      <c r="L69" s="52">
        <f t="shared" si="107"/>
        <v>0</v>
      </c>
      <c r="M69" s="51">
        <f>'AP03'!D62</f>
        <v>2281.2</v>
      </c>
      <c r="N69" s="51">
        <f>SUM('AP05'!$F69:$L69)</f>
        <v>2151.431893</v>
      </c>
      <c r="O69" s="137">
        <f>'AP05'!$M69-'AP05'!$N69</f>
        <v>129.7681067</v>
      </c>
      <c r="P69" s="51">
        <f>Q68*('AP05'!$R69-1)</f>
        <v>535.552907</v>
      </c>
      <c r="Q69" s="51">
        <f>(Q68*'AP05'!$R69)-'AP05'!$G69-'AP05'!$O69</f>
        <v>255445.9525</v>
      </c>
      <c r="R69" s="53">
        <v>1.002093</v>
      </c>
      <c r="S69" s="4"/>
      <c r="T69" s="4"/>
      <c r="U69" s="4"/>
      <c r="V69" s="4"/>
      <c r="W69" s="4"/>
      <c r="X69" s="4"/>
      <c r="Y69" s="4"/>
      <c r="Z69" s="4"/>
    </row>
    <row r="70" ht="18.75" customHeight="1">
      <c r="A70" s="56">
        <f t="shared" si="2"/>
        <v>56</v>
      </c>
      <c r="B70" s="50">
        <f t="shared" si="5"/>
        <v>44947</v>
      </c>
      <c r="C70" s="47">
        <f t="shared" ref="C70:E70" si="108">C69</f>
        <v>0.062</v>
      </c>
      <c r="D70" s="47">
        <f t="shared" si="108"/>
        <v>0.005025</v>
      </c>
      <c r="E70" s="51">
        <f t="shared" si="108"/>
        <v>2137.579999</v>
      </c>
      <c r="F70" s="51">
        <f>(Q69*'AP05'!$R70)*'AP05'!$D70</f>
        <v>1286.709426</v>
      </c>
      <c r="G70" s="51">
        <f>(Q69*'AP05'!$R70)/($I$5-A69)</f>
        <v>839.546155</v>
      </c>
      <c r="H70" s="52">
        <f t="shared" ref="H70:L70" si="109">H69</f>
        <v>0</v>
      </c>
      <c r="I70" s="52">
        <f t="shared" si="109"/>
        <v>0</v>
      </c>
      <c r="J70" s="51">
        <f t="shared" si="109"/>
        <v>25</v>
      </c>
      <c r="K70" s="52">
        <f t="shared" si="109"/>
        <v>0</v>
      </c>
      <c r="L70" s="52">
        <f t="shared" si="109"/>
        <v>0</v>
      </c>
      <c r="M70" s="51">
        <f>'AP03'!D63</f>
        <v>2282.16</v>
      </c>
      <c r="N70" s="51">
        <f>SUM('AP05'!$F70:$L70)</f>
        <v>2151.255581</v>
      </c>
      <c r="O70" s="137">
        <f>'AP05'!$M70-'AP05'!$N70</f>
        <v>130.9044193</v>
      </c>
      <c r="P70" s="51">
        <f>Q69*('AP05'!$R70-1)</f>
        <v>615.6247456</v>
      </c>
      <c r="Q70" s="51">
        <f>(Q69*'AP05'!$R70)-'AP05'!$G70-'AP05'!$O70</f>
        <v>255091.1267</v>
      </c>
      <c r="R70" s="53">
        <v>1.00241</v>
      </c>
      <c r="S70" s="4"/>
      <c r="T70" s="4"/>
      <c r="U70" s="4"/>
      <c r="V70" s="4"/>
      <c r="W70" s="4"/>
      <c r="X70" s="4"/>
      <c r="Y70" s="4"/>
      <c r="Z70" s="4"/>
    </row>
    <row r="71" ht="18.75" customHeight="1">
      <c r="A71" s="56">
        <f t="shared" si="2"/>
        <v>57</v>
      </c>
      <c r="B71" s="50">
        <f t="shared" si="5"/>
        <v>44978</v>
      </c>
      <c r="C71" s="47">
        <f t="shared" ref="C71:E71" si="110">C70</f>
        <v>0.062</v>
      </c>
      <c r="D71" s="47">
        <f t="shared" si="110"/>
        <v>0.005025</v>
      </c>
      <c r="E71" s="51">
        <f t="shared" si="110"/>
        <v>2137.579999</v>
      </c>
      <c r="F71" s="51">
        <f>(Q70*'AP05'!$R71)*'AP05'!$D71</f>
        <v>1283.740279</v>
      </c>
      <c r="G71" s="51">
        <f>(Q70*'AP05'!$R71)/($I$5-A70)</f>
        <v>840.3641523</v>
      </c>
      <c r="H71" s="52">
        <f t="shared" ref="H71:L71" si="111">H70</f>
        <v>0</v>
      </c>
      <c r="I71" s="52">
        <f t="shared" si="111"/>
        <v>0</v>
      </c>
      <c r="J71" s="51">
        <f t="shared" si="111"/>
        <v>25</v>
      </c>
      <c r="K71" s="52">
        <f t="shared" si="111"/>
        <v>0</v>
      </c>
      <c r="L71" s="52">
        <f t="shared" si="111"/>
        <v>0</v>
      </c>
      <c r="M71" s="51">
        <f>'AP03'!D64</f>
        <v>2281.76</v>
      </c>
      <c r="N71" s="51">
        <f>SUM('AP05'!$F71:$L71)</f>
        <v>2149.104431</v>
      </c>
      <c r="O71" s="137">
        <f>'AP05'!$M71-'AP05'!$N71</f>
        <v>132.6555687</v>
      </c>
      <c r="P71" s="51">
        <f>Q70*('AP05'!$R71-1)</f>
        <v>379.5755965</v>
      </c>
      <c r="Q71" s="51">
        <f>(Q70*'AP05'!$R71)-'AP05'!$G71-'AP05'!$O71</f>
        <v>254497.6826</v>
      </c>
      <c r="R71" s="53">
        <v>1.001488</v>
      </c>
      <c r="S71" s="4"/>
      <c r="T71" s="4"/>
      <c r="U71" s="4"/>
      <c r="V71" s="4"/>
      <c r="W71" s="4"/>
      <c r="X71" s="4"/>
      <c r="Y71" s="4"/>
      <c r="Z71" s="4"/>
    </row>
    <row r="72" ht="18.75" customHeight="1">
      <c r="A72" s="56">
        <f t="shared" si="2"/>
        <v>58</v>
      </c>
      <c r="B72" s="50">
        <f t="shared" si="5"/>
        <v>45006</v>
      </c>
      <c r="C72" s="47">
        <f t="shared" ref="C72:E72" si="112">C71</f>
        <v>0.062</v>
      </c>
      <c r="D72" s="47">
        <f t="shared" si="112"/>
        <v>0.005025</v>
      </c>
      <c r="E72" s="51">
        <f t="shared" si="112"/>
        <v>2137.579999</v>
      </c>
      <c r="F72" s="51">
        <f>(Q71*'AP05'!$R72)*'AP05'!$D72</f>
        <v>1280.249918</v>
      </c>
      <c r="G72" s="51">
        <f>(Q71*'AP05'!$R72)/($I$5-A71)</f>
        <v>840.8452245</v>
      </c>
      <c r="H72" s="52">
        <f t="shared" ref="H72:L72" si="113">H71</f>
        <v>0</v>
      </c>
      <c r="I72" s="52">
        <f t="shared" si="113"/>
        <v>0</v>
      </c>
      <c r="J72" s="51">
        <f t="shared" si="113"/>
        <v>25</v>
      </c>
      <c r="K72" s="52">
        <f t="shared" si="113"/>
        <v>0</v>
      </c>
      <c r="L72" s="52">
        <f t="shared" si="113"/>
        <v>0</v>
      </c>
      <c r="M72" s="51">
        <f>'AP03'!D65</f>
        <v>2279.74</v>
      </c>
      <c r="N72" s="51">
        <f>SUM('AP05'!$F72:$L72)</f>
        <v>2146.095142</v>
      </c>
      <c r="O72" s="137">
        <f>'AP05'!$M72-'AP05'!$N72</f>
        <v>133.6448577</v>
      </c>
      <c r="P72" s="51">
        <f>Q71*('AP05'!$R72-1)</f>
        <v>278.4204647</v>
      </c>
      <c r="Q72" s="51">
        <f>(Q71*'AP05'!$R72)-'AP05'!$G72-'AP05'!$O72</f>
        <v>253801.6129</v>
      </c>
      <c r="R72" s="53">
        <v>1.001094</v>
      </c>
      <c r="S72" s="4"/>
      <c r="T72" s="4"/>
      <c r="U72" s="4"/>
      <c r="V72" s="4"/>
      <c r="W72" s="4"/>
      <c r="X72" s="4"/>
      <c r="Y72" s="4"/>
      <c r="Z72" s="4"/>
    </row>
    <row r="73" ht="18.75" customHeight="1">
      <c r="A73" s="56">
        <f t="shared" si="2"/>
        <v>59</v>
      </c>
      <c r="B73" s="50">
        <f t="shared" si="5"/>
        <v>45037</v>
      </c>
      <c r="C73" s="47">
        <f t="shared" ref="C73:E73" si="114">C72</f>
        <v>0.062</v>
      </c>
      <c r="D73" s="47">
        <f t="shared" si="114"/>
        <v>0.005025</v>
      </c>
      <c r="E73" s="51">
        <f t="shared" si="114"/>
        <v>2137.579999</v>
      </c>
      <c r="F73" s="51">
        <f>(Q72*'AP05'!$R73)*'AP05'!$D73</f>
        <v>1278.017318</v>
      </c>
      <c r="G73" s="51">
        <f>(Q72*'AP05'!$R73)/($I$5-A72)</f>
        <v>842.1582931</v>
      </c>
      <c r="H73" s="52">
        <f t="shared" ref="H73:L73" si="115">H72</f>
        <v>0</v>
      </c>
      <c r="I73" s="52">
        <f t="shared" si="115"/>
        <v>0</v>
      </c>
      <c r="J73" s="51">
        <f t="shared" si="115"/>
        <v>25</v>
      </c>
      <c r="K73" s="52">
        <f t="shared" si="115"/>
        <v>0</v>
      </c>
      <c r="L73" s="52">
        <f t="shared" si="115"/>
        <v>0</v>
      </c>
      <c r="M73" s="51">
        <f>'AP03'!D66</f>
        <v>2279.98</v>
      </c>
      <c r="N73" s="51">
        <f>SUM('AP05'!$F73:$L73)</f>
        <v>2145.175611</v>
      </c>
      <c r="O73" s="137">
        <f>'AP05'!$M73-'AP05'!$N73</f>
        <v>134.8043892</v>
      </c>
      <c r="P73" s="51">
        <f>Q72*('AP05'!$R73-1)</f>
        <v>530.1915695</v>
      </c>
      <c r="Q73" s="51">
        <f>(Q72*'AP05'!$R73)-'AP05'!$G73-'AP05'!$O73</f>
        <v>253354.8418</v>
      </c>
      <c r="R73" s="53">
        <v>1.002089</v>
      </c>
      <c r="S73" s="4"/>
      <c r="T73" s="4"/>
      <c r="U73" s="4"/>
      <c r="V73" s="4"/>
      <c r="W73" s="4"/>
      <c r="X73" s="4"/>
      <c r="Y73" s="4"/>
      <c r="Z73" s="4"/>
    </row>
    <row r="74" ht="18.75" customHeight="1">
      <c r="A74" s="56">
        <f t="shared" si="2"/>
        <v>60</v>
      </c>
      <c r="B74" s="50">
        <f t="shared" si="5"/>
        <v>45067</v>
      </c>
      <c r="C74" s="47">
        <f t="shared" ref="C74:E74" si="116">C73</f>
        <v>0.062</v>
      </c>
      <c r="D74" s="47">
        <f t="shared" si="116"/>
        <v>0.005025</v>
      </c>
      <c r="E74" s="51">
        <f t="shared" si="116"/>
        <v>2137.579999</v>
      </c>
      <c r="F74" s="51">
        <f>(Q73*'AP05'!$R74)*'AP05'!$D74</f>
        <v>1274.533961</v>
      </c>
      <c r="G74" s="51">
        <f>(Q73*'AP05'!$R74)/($I$5-A73)</f>
        <v>842.6531537</v>
      </c>
      <c r="H74" s="52">
        <f t="shared" ref="H74:L74" si="117">H73</f>
        <v>0</v>
      </c>
      <c r="I74" s="52">
        <f t="shared" si="117"/>
        <v>0</v>
      </c>
      <c r="J74" s="51">
        <f t="shared" si="117"/>
        <v>25</v>
      </c>
      <c r="K74" s="52">
        <f t="shared" si="117"/>
        <v>0</v>
      </c>
      <c r="L74" s="52">
        <f t="shared" si="117"/>
        <v>0</v>
      </c>
      <c r="M74" s="51">
        <f>'AP03'!D67</f>
        <v>2278.01</v>
      </c>
      <c r="N74" s="51">
        <f>SUM('AP05'!$F74:$L74)</f>
        <v>2142.187115</v>
      </c>
      <c r="O74" s="137">
        <f>'AP05'!$M74-'AP05'!$N74</f>
        <v>135.822885</v>
      </c>
      <c r="P74" s="51">
        <f>Q73*('AP05'!$R74-1)</f>
        <v>283.7574229</v>
      </c>
      <c r="Q74" s="51">
        <f>(Q73*'AP05'!$R74)-'AP05'!$G74-'AP05'!$O74</f>
        <v>252660.1232</v>
      </c>
      <c r="R74" s="53">
        <v>1.00112</v>
      </c>
      <c r="S74" s="4"/>
      <c r="T74" s="4"/>
      <c r="U74" s="4"/>
      <c r="V74" s="4"/>
      <c r="W74" s="4"/>
      <c r="X74" s="4"/>
      <c r="Y74" s="4"/>
      <c r="Z74" s="4"/>
    </row>
    <row r="75" ht="18.75" customHeight="1">
      <c r="A75" s="56">
        <f t="shared" si="2"/>
        <v>61</v>
      </c>
      <c r="B75" s="50">
        <f t="shared" si="5"/>
        <v>45098</v>
      </c>
      <c r="C75" s="47">
        <f t="shared" ref="C75:E75" si="118">C74</f>
        <v>0.062</v>
      </c>
      <c r="D75" s="47">
        <f t="shared" si="118"/>
        <v>0.005025</v>
      </c>
      <c r="E75" s="51">
        <f t="shared" si="118"/>
        <v>2137.579999</v>
      </c>
      <c r="F75" s="51">
        <f>(Q74*'AP05'!$R75)*'AP05'!$D75</f>
        <v>1271.891003</v>
      </c>
      <c r="G75" s="51">
        <f>(Q74*'AP05'!$R75)/($I$5-A74)</f>
        <v>843.7087917</v>
      </c>
      <c r="H75" s="52">
        <f t="shared" ref="H75:L75" si="119">H74</f>
        <v>0</v>
      </c>
      <c r="I75" s="52">
        <f t="shared" si="119"/>
        <v>0</v>
      </c>
      <c r="J75" s="51">
        <f t="shared" si="119"/>
        <v>25</v>
      </c>
      <c r="K75" s="52">
        <f t="shared" si="119"/>
        <v>0</v>
      </c>
      <c r="L75" s="52">
        <f t="shared" si="119"/>
        <v>0</v>
      </c>
      <c r="M75" s="51">
        <f>'AP03'!D68</f>
        <v>2277.54</v>
      </c>
      <c r="N75" s="51">
        <f>SUM('AP05'!$F75:$L75)</f>
        <v>2140.599795</v>
      </c>
      <c r="O75" s="137">
        <f>'AP05'!$M75-'AP05'!$N75</f>
        <v>136.9402049</v>
      </c>
      <c r="P75" s="51">
        <f>Q74*('AP05'!$R75-1)</f>
        <v>452.5142807</v>
      </c>
      <c r="Q75" s="51">
        <f>(Q74*'AP05'!$R75)-'AP05'!$G75-'AP05'!$O75</f>
        <v>252131.9885</v>
      </c>
      <c r="R75" s="53">
        <v>1.001791</v>
      </c>
      <c r="S75" s="4"/>
      <c r="T75" s="4"/>
      <c r="U75" s="4"/>
      <c r="V75" s="4"/>
      <c r="W75" s="4"/>
      <c r="X75" s="4"/>
      <c r="Y75" s="4"/>
      <c r="Z75" s="4"/>
    </row>
    <row r="76" ht="18.75" customHeight="1">
      <c r="A76" s="56">
        <f t="shared" si="2"/>
        <v>62</v>
      </c>
      <c r="B76" s="50">
        <f t="shared" si="5"/>
        <v>45128</v>
      </c>
      <c r="C76" s="47">
        <f t="shared" ref="C76:E76" si="120">C75</f>
        <v>0.062</v>
      </c>
      <c r="D76" s="47">
        <f t="shared" si="120"/>
        <v>0.005025</v>
      </c>
      <c r="E76" s="51">
        <f t="shared" si="120"/>
        <v>2137.579999</v>
      </c>
      <c r="F76" s="51">
        <f>(Q75*'AP05'!$R76)*'AP05'!$D76</f>
        <v>1269.50097</v>
      </c>
      <c r="G76" s="51">
        <f>(Q75*'AP05'!$R76)/($I$5-A75)</f>
        <v>844.939829</v>
      </c>
      <c r="H76" s="52">
        <f t="shared" ref="H76:L76" si="121">H75</f>
        <v>0</v>
      </c>
      <c r="I76" s="52">
        <f t="shared" si="121"/>
        <v>0</v>
      </c>
      <c r="J76" s="51">
        <f t="shared" si="121"/>
        <v>25</v>
      </c>
      <c r="K76" s="52">
        <f t="shared" si="121"/>
        <v>0</v>
      </c>
      <c r="L76" s="52">
        <f t="shared" si="121"/>
        <v>0</v>
      </c>
      <c r="M76" s="51">
        <f>'AP03'!D69</f>
        <v>2277.54</v>
      </c>
      <c r="N76" s="51">
        <f>SUM('AP05'!$F76:$L76)</f>
        <v>2139.440799</v>
      </c>
      <c r="O76" s="137">
        <f>'AP05'!$M76-'AP05'!$N76</f>
        <v>138.0992014</v>
      </c>
      <c r="P76" s="51">
        <f>Q75*('AP05'!$R76-1)</f>
        <v>505.020373</v>
      </c>
      <c r="Q76" s="51">
        <f>(Q75*'AP05'!$R76)-'AP05'!$G76-'AP05'!$O76</f>
        <v>251653.9698</v>
      </c>
      <c r="R76" s="53">
        <v>1.002003</v>
      </c>
      <c r="S76" s="4"/>
      <c r="T76" s="4"/>
      <c r="U76" s="4"/>
      <c r="V76" s="4"/>
      <c r="W76" s="4"/>
      <c r="X76" s="4"/>
      <c r="Y76" s="4"/>
      <c r="Z76" s="4"/>
    </row>
    <row r="77" ht="18.75" customHeight="1">
      <c r="A77" s="113">
        <f t="shared" si="2"/>
        <v>63</v>
      </c>
      <c r="B77" s="114">
        <f t="shared" si="5"/>
        <v>45159</v>
      </c>
      <c r="C77" s="115">
        <f>I7</f>
        <v>0.0775</v>
      </c>
      <c r="D77" s="115">
        <f>I6</f>
        <v>0.0062</v>
      </c>
      <c r="E77" s="51">
        <f>E76</f>
        <v>2137.579999</v>
      </c>
      <c r="F77" s="51">
        <f>(Q76*'AP05'!$R77)*'AP05'!$D77</f>
        <v>1562.719815</v>
      </c>
      <c r="G77" s="51">
        <f>(Q76*'AP05'!$R77)/($I$5-A76)</f>
        <v>845.8106816</v>
      </c>
      <c r="H77" s="52">
        <f t="shared" ref="H77:L77" si="122">H76</f>
        <v>0</v>
      </c>
      <c r="I77" s="52">
        <f t="shared" si="122"/>
        <v>0</v>
      </c>
      <c r="J77" s="51">
        <f t="shared" si="122"/>
        <v>25</v>
      </c>
      <c r="K77" s="52">
        <f t="shared" si="122"/>
        <v>0</v>
      </c>
      <c r="L77" s="52">
        <f t="shared" si="122"/>
        <v>0</v>
      </c>
      <c r="M77" s="51">
        <f>'AP03'!D70</f>
        <v>3133.63</v>
      </c>
      <c r="N77" s="51">
        <f>SUM('AP05'!$F77:$L77)</f>
        <v>2433.530497</v>
      </c>
      <c r="O77" s="137">
        <f>'AP05'!$M77-'AP05'!$N77</f>
        <v>700.099503</v>
      </c>
      <c r="P77" s="51">
        <f>Q76*('AP05'!$R77-1)</f>
        <v>397.6132724</v>
      </c>
      <c r="Q77" s="51">
        <f>(Q76*'AP05'!$R77)-'AP05'!$G77-'AP05'!$O77</f>
        <v>250505.6729</v>
      </c>
      <c r="R77" s="53">
        <v>1.00158</v>
      </c>
      <c r="S77" s="4"/>
      <c r="T77" s="4"/>
      <c r="U77" s="4"/>
      <c r="V77" s="4"/>
      <c r="W77" s="4"/>
      <c r="X77" s="4"/>
      <c r="Y77" s="4"/>
      <c r="Z77" s="4"/>
    </row>
    <row r="78" ht="18.75" customHeight="1">
      <c r="A78" s="56">
        <f t="shared" si="2"/>
        <v>64</v>
      </c>
      <c r="B78" s="50">
        <f t="shared" si="5"/>
        <v>45190</v>
      </c>
      <c r="C78" s="116">
        <f t="shared" ref="C78:E78" si="123">C77</f>
        <v>0.0775</v>
      </c>
      <c r="D78" s="116">
        <f t="shared" si="123"/>
        <v>0.0062</v>
      </c>
      <c r="E78" s="51">
        <f t="shared" si="123"/>
        <v>2137.579999</v>
      </c>
      <c r="F78" s="51">
        <f>(Q77*'AP05'!$R78)*'AP05'!$D78</f>
        <v>1555.896647</v>
      </c>
      <c r="G78" s="51">
        <f>(Q77*'AP05'!$R78)/($I$5-A77)</f>
        <v>844.9531044</v>
      </c>
      <c r="H78" s="52">
        <f t="shared" ref="H78:L78" si="124">H77</f>
        <v>0</v>
      </c>
      <c r="I78" s="52">
        <f t="shared" si="124"/>
        <v>0</v>
      </c>
      <c r="J78" s="51">
        <f t="shared" si="124"/>
        <v>25</v>
      </c>
      <c r="K78" s="52">
        <f t="shared" si="124"/>
        <v>0</v>
      </c>
      <c r="L78" s="52">
        <f t="shared" si="124"/>
        <v>0</v>
      </c>
      <c r="M78" s="51">
        <f>'AP03'!D71</f>
        <v>3131.76</v>
      </c>
      <c r="N78" s="51">
        <f>SUM('AP05'!$F78:$L78)</f>
        <v>2425.849751</v>
      </c>
      <c r="O78" s="137">
        <f>'AP05'!$M78-'AP05'!$N78</f>
        <v>705.910249</v>
      </c>
      <c r="P78" s="51">
        <f>Q77*('AP05'!$R78-1)</f>
        <v>445.3990865</v>
      </c>
      <c r="Q78" s="51">
        <f>(Q77*'AP05'!$R78)-'AP05'!$G78-'AP05'!$O78</f>
        <v>249400.2087</v>
      </c>
      <c r="R78" s="53">
        <v>1.001778</v>
      </c>
      <c r="S78" s="4"/>
      <c r="T78" s="4"/>
      <c r="U78" s="4"/>
      <c r="V78" s="4"/>
      <c r="W78" s="4"/>
      <c r="X78" s="4"/>
      <c r="Y78" s="4"/>
      <c r="Z78" s="4"/>
    </row>
    <row r="79" ht="18.75" customHeight="1">
      <c r="A79" s="56">
        <f t="shared" si="2"/>
        <v>65</v>
      </c>
      <c r="B79" s="50">
        <f t="shared" si="5"/>
        <v>45220</v>
      </c>
      <c r="C79" s="116">
        <f t="shared" ref="C79:C374" si="126">C78</f>
        <v>0.0775</v>
      </c>
      <c r="D79" s="116">
        <f>((1+'AP05'!$C79)^(1/12))-1</f>
        <v>0.006239681461</v>
      </c>
      <c r="E79" s="51">
        <f t="shared" ref="E79:E374" si="127">E78</f>
        <v>2137.579999</v>
      </c>
      <c r="F79" s="51">
        <f>(Q78*'AP05'!$R79)*'AP05'!$D79</f>
        <v>1557.967463</v>
      </c>
      <c r="G79" s="51">
        <f>(Q78*'AP05'!$R79)/($I$5-A78)</f>
        <v>843.537226</v>
      </c>
      <c r="H79" s="52">
        <f t="shared" ref="H79:L79" si="125">H78</f>
        <v>0</v>
      </c>
      <c r="I79" s="52">
        <f t="shared" si="125"/>
        <v>0</v>
      </c>
      <c r="J79" s="51">
        <f t="shared" si="125"/>
        <v>25</v>
      </c>
      <c r="K79" s="52">
        <f t="shared" si="125"/>
        <v>0</v>
      </c>
      <c r="L79" s="52">
        <f t="shared" si="125"/>
        <v>0</v>
      </c>
      <c r="M79" s="51">
        <f>'AP03'!D72</f>
        <v>3127.92</v>
      </c>
      <c r="N79" s="51">
        <f>SUM('AP05'!$F79:$L79)</f>
        <v>2426.504689</v>
      </c>
      <c r="O79" s="137">
        <f>'AP05'!$M79-'AP05'!$N79</f>
        <v>701.415311</v>
      </c>
      <c r="P79" s="51">
        <f>Q78*('AP05'!$R79-1)</f>
        <v>286.81024</v>
      </c>
      <c r="Q79" s="51">
        <f>(Q78*'AP05'!$R79)-'AP05'!$G79-'AP05'!$O79</f>
        <v>248142.0664</v>
      </c>
      <c r="R79" s="53">
        <v>1.00115</v>
      </c>
      <c r="S79" s="4"/>
      <c r="T79" s="4"/>
      <c r="U79" s="4"/>
      <c r="V79" s="4"/>
      <c r="W79" s="4"/>
      <c r="X79" s="4"/>
      <c r="Y79" s="4"/>
      <c r="Z79" s="4"/>
    </row>
    <row r="80" ht="18.75" customHeight="1">
      <c r="A80" s="56">
        <f t="shared" si="2"/>
        <v>66</v>
      </c>
      <c r="B80" s="50">
        <f t="shared" si="5"/>
        <v>45251</v>
      </c>
      <c r="C80" s="116">
        <f t="shared" si="126"/>
        <v>0.0775</v>
      </c>
      <c r="D80" s="116">
        <f>((1+'AP05'!$C80)^(1/12))-1</f>
        <v>0.006239681461</v>
      </c>
      <c r="E80" s="51">
        <f t="shared" si="127"/>
        <v>2137.579999</v>
      </c>
      <c r="F80" s="51">
        <f>(Q79*'AP05'!$R80)*'AP05'!$D80</f>
        <v>1549.09697</v>
      </c>
      <c r="G80" s="51">
        <f>(Q79*'AP05'!$R80)/($I$5-A79)</f>
        <v>841.5776033</v>
      </c>
      <c r="H80" s="52">
        <f t="shared" ref="H80:L80" si="128">H79</f>
        <v>0</v>
      </c>
      <c r="I80" s="52">
        <f t="shared" si="128"/>
        <v>0</v>
      </c>
      <c r="J80" s="51">
        <f t="shared" si="128"/>
        <v>25</v>
      </c>
      <c r="K80" s="52">
        <f t="shared" si="128"/>
        <v>0</v>
      </c>
      <c r="L80" s="52">
        <f t="shared" si="128"/>
        <v>0</v>
      </c>
      <c r="M80" s="51">
        <f>'AP03'!D73</f>
        <v>3122.04</v>
      </c>
      <c r="N80" s="51">
        <f>SUM('AP05'!$F80:$L80)</f>
        <v>2415.674573</v>
      </c>
      <c r="O80" s="137">
        <f>'AP05'!$M80-'AP05'!$N80</f>
        <v>706.3654266</v>
      </c>
      <c r="P80" s="51">
        <f>Q79*('AP05'!$R80-1)</f>
        <v>123.326607</v>
      </c>
      <c r="Q80" s="51">
        <f>(Q79*'AP05'!$R80)-'AP05'!$G80-'AP05'!$O80</f>
        <v>246717.4499</v>
      </c>
      <c r="R80" s="53">
        <v>1.000497</v>
      </c>
      <c r="S80" s="4"/>
      <c r="T80" s="4"/>
      <c r="U80" s="4"/>
      <c r="V80" s="4"/>
      <c r="W80" s="4"/>
      <c r="X80" s="4"/>
      <c r="Y80" s="4"/>
      <c r="Z80" s="4"/>
    </row>
    <row r="81" ht="18.75" customHeight="1">
      <c r="A81" s="56">
        <f t="shared" si="2"/>
        <v>67</v>
      </c>
      <c r="B81" s="50">
        <f t="shared" si="5"/>
        <v>45281</v>
      </c>
      <c r="C81" s="116">
        <f t="shared" si="126"/>
        <v>0.0775</v>
      </c>
      <c r="D81" s="116">
        <f>((1+'AP05'!$C81)^(1/12))-1</f>
        <v>0.006239681461</v>
      </c>
      <c r="E81" s="51">
        <f t="shared" si="127"/>
        <v>2137.579999</v>
      </c>
      <c r="F81" s="51">
        <f>(Q80*'AP05'!$R81)*'AP05'!$D81</f>
        <v>1541.404161</v>
      </c>
      <c r="G81" s="51">
        <f>(Q80*'AP05'!$R81)/($I$5-A80)</f>
        <v>840.2466263</v>
      </c>
      <c r="H81" s="52">
        <f t="shared" ref="H81:L81" si="129">H80</f>
        <v>0</v>
      </c>
      <c r="I81" s="52">
        <f t="shared" si="129"/>
        <v>0</v>
      </c>
      <c r="J81" s="51">
        <f t="shared" si="129"/>
        <v>25</v>
      </c>
      <c r="K81" s="52">
        <f t="shared" si="129"/>
        <v>0</v>
      </c>
      <c r="L81" s="52">
        <f t="shared" si="129"/>
        <v>0</v>
      </c>
      <c r="M81" s="51">
        <f>'AP03'!D74</f>
        <v>3120.41</v>
      </c>
      <c r="N81" s="51">
        <f>SUM('AP05'!$F81:$L81)</f>
        <v>2406.650788</v>
      </c>
      <c r="O81" s="137">
        <f>'AP05'!$M81-'AP05'!$N81</f>
        <v>713.7592124</v>
      </c>
      <c r="P81" s="51">
        <f>Q80*('AP05'!$R81-1)</f>
        <v>315.0581836</v>
      </c>
      <c r="Q81" s="51">
        <f>(Q80*'AP05'!$R81)-'AP05'!$G81-'AP05'!$O81</f>
        <v>245478.5023</v>
      </c>
      <c r="R81" s="53">
        <v>1.001277</v>
      </c>
      <c r="S81" s="4"/>
      <c r="T81" s="4"/>
      <c r="U81" s="4"/>
      <c r="V81" s="4"/>
      <c r="W81" s="4"/>
      <c r="X81" s="4"/>
      <c r="Y81" s="4"/>
      <c r="Z81" s="4"/>
    </row>
    <row r="82" ht="18.75" customHeight="1">
      <c r="A82" s="56">
        <f t="shared" si="2"/>
        <v>68</v>
      </c>
      <c r="B82" s="50">
        <f t="shared" si="5"/>
        <v>45312</v>
      </c>
      <c r="C82" s="116">
        <f t="shared" si="126"/>
        <v>0.0775</v>
      </c>
      <c r="D82" s="116">
        <f>((1+'AP05'!$C82)^(1/12))-1</f>
        <v>0.006239681461</v>
      </c>
      <c r="E82" s="51">
        <f t="shared" si="127"/>
        <v>2137.579999</v>
      </c>
      <c r="F82" s="51">
        <f>(Q81*'AP05'!$R82)*'AP05'!$D82</f>
        <v>1532.418372</v>
      </c>
      <c r="G82" s="51">
        <f>(Q81*'AP05'!$R82)/($I$5-A81)</f>
        <v>838.1993321</v>
      </c>
      <c r="H82" s="52">
        <f t="shared" ref="H82:L82" si="130">H81</f>
        <v>0</v>
      </c>
      <c r="I82" s="52">
        <f t="shared" si="130"/>
        <v>0</v>
      </c>
      <c r="J82" s="51">
        <f t="shared" si="130"/>
        <v>25</v>
      </c>
      <c r="K82" s="52">
        <f t="shared" si="130"/>
        <v>0</v>
      </c>
      <c r="L82" s="52">
        <f t="shared" si="130"/>
        <v>0</v>
      </c>
      <c r="M82" s="51">
        <f>'AP03'!D75</f>
        <v>3114.42</v>
      </c>
      <c r="N82" s="51">
        <f>SUM('AP05'!$F82:$L82)</f>
        <v>2395.617704</v>
      </c>
      <c r="O82" s="137">
        <f>'AP05'!$M82-'AP05'!$N82</f>
        <v>718.8022956</v>
      </c>
      <c r="P82" s="51">
        <f>Q81*('AP05'!$R82-1)</f>
        <v>113.9020251</v>
      </c>
      <c r="Q82" s="51">
        <f>(Q81*'AP05'!$R82)-'AP05'!$G82-'AP05'!$O82</f>
        <v>244035.4027</v>
      </c>
      <c r="R82" s="53">
        <v>1.000464</v>
      </c>
      <c r="S82" s="4"/>
      <c r="T82" s="4"/>
      <c r="U82" s="4"/>
      <c r="V82" s="4"/>
      <c r="W82" s="4"/>
      <c r="X82" s="4"/>
      <c r="Y82" s="4"/>
      <c r="Z82" s="4"/>
    </row>
    <row r="83" ht="18.75" customHeight="1">
      <c r="A83" s="56">
        <f t="shared" si="2"/>
        <v>69</v>
      </c>
      <c r="B83" s="50">
        <f t="shared" si="5"/>
        <v>45343</v>
      </c>
      <c r="C83" s="116">
        <f t="shared" si="126"/>
        <v>0.0775</v>
      </c>
      <c r="D83" s="116">
        <f>((1+'AP05'!$C83)^(1/12))-1</f>
        <v>0.006239681461</v>
      </c>
      <c r="E83" s="51">
        <f t="shared" si="127"/>
        <v>2137.579999</v>
      </c>
      <c r="F83" s="51">
        <f>(Q82*'AP05'!$R83)*'AP05'!$D83</f>
        <v>1523.277237</v>
      </c>
      <c r="G83" s="51">
        <f>(Q82*'AP05'!$R83)/($I$5-A82)</f>
        <v>836.0527536</v>
      </c>
      <c r="H83" s="52">
        <f t="shared" ref="H83:L83" si="131">H82</f>
        <v>0</v>
      </c>
      <c r="I83" s="52">
        <f t="shared" si="131"/>
        <v>0</v>
      </c>
      <c r="J83" s="51">
        <f t="shared" si="131"/>
        <v>25</v>
      </c>
      <c r="K83" s="52">
        <f t="shared" si="131"/>
        <v>0</v>
      </c>
      <c r="L83" s="52">
        <f t="shared" si="131"/>
        <v>0</v>
      </c>
      <c r="M83" s="51">
        <f>'AP03'!D76</f>
        <v>3109.21</v>
      </c>
      <c r="N83" s="51">
        <f>SUM('AP05'!$F83:$L83)</f>
        <v>2384.329991</v>
      </c>
      <c r="O83" s="137">
        <f>'AP05'!$M83-'AP05'!$N83</f>
        <v>724.8800093</v>
      </c>
      <c r="P83" s="51">
        <f>Q82*('AP05'!$R83-1)</f>
        <v>92.00134681</v>
      </c>
      <c r="Q83" s="51">
        <f>(Q82*'AP05'!$R83)-'AP05'!$G83-'AP05'!$O83</f>
        <v>242566.4713</v>
      </c>
      <c r="R83" s="53">
        <v>1.000377</v>
      </c>
      <c r="S83" s="4"/>
      <c r="T83" s="4"/>
      <c r="U83" s="4"/>
      <c r="V83" s="4"/>
      <c r="W83" s="4"/>
      <c r="X83" s="4"/>
      <c r="Y83" s="4"/>
      <c r="Z83" s="4"/>
    </row>
    <row r="84" ht="18.75" customHeight="1">
      <c r="A84" s="59">
        <f t="shared" si="2"/>
        <v>70</v>
      </c>
      <c r="B84" s="60">
        <f t="shared" si="5"/>
        <v>45372</v>
      </c>
      <c r="C84" s="117">
        <f t="shared" si="126"/>
        <v>0.0775</v>
      </c>
      <c r="D84" s="117">
        <f>((1+'AP05'!$C84)^(1/12))-1</f>
        <v>0.006239681461</v>
      </c>
      <c r="E84" s="62">
        <f t="shared" si="127"/>
        <v>2137.579999</v>
      </c>
      <c r="F84" s="62">
        <f>(Q83*'AP05'!$R84)*'AP05'!$D84</f>
        <v>1514.518286</v>
      </c>
      <c r="G84" s="62">
        <f>(Q83*'AP05'!$R84)/($I$5-A83)</f>
        <v>834.101905</v>
      </c>
      <c r="H84" s="63">
        <f t="shared" ref="H84:L84" si="132">H83</f>
        <v>0</v>
      </c>
      <c r="I84" s="63">
        <f t="shared" si="132"/>
        <v>0</v>
      </c>
      <c r="J84" s="62">
        <f t="shared" si="132"/>
        <v>25</v>
      </c>
      <c r="K84" s="63">
        <f t="shared" si="132"/>
        <v>0</v>
      </c>
      <c r="L84" s="63">
        <f t="shared" si="132"/>
        <v>0</v>
      </c>
      <c r="M84" s="62">
        <f>'AP03'!D77</f>
        <v>3103.77</v>
      </c>
      <c r="N84" s="62">
        <f>SUM('AP05'!$F84:$L84)</f>
        <v>2373.620191</v>
      </c>
      <c r="O84" s="62">
        <f>'AP05'!$M84-'AP05'!$N84</f>
        <v>730.1498088</v>
      </c>
      <c r="P84" s="62">
        <f>Q83*('AP05'!$R84-1)</f>
        <v>157.1830734</v>
      </c>
      <c r="Q84" s="62">
        <f>(Q83*'AP05'!$R84)-'AP05'!$G84-'AP05'!$O84</f>
        <v>241159.4026</v>
      </c>
      <c r="R84" s="64">
        <v>1.000648</v>
      </c>
      <c r="S84" s="4"/>
      <c r="T84" s="65">
        <f>'AP05'!$Q84+0.02</f>
        <v>241159.4226</v>
      </c>
      <c r="U84" s="4">
        <v>3103.77</v>
      </c>
      <c r="V84" s="65">
        <f>T84+U84-'AP05'!$G84</f>
        <v>243429.0907</v>
      </c>
      <c r="W84" s="4"/>
      <c r="X84" s="4"/>
      <c r="Y84" s="4"/>
      <c r="Z84" s="4"/>
    </row>
    <row r="85" ht="18.75" customHeight="1">
      <c r="A85" s="59">
        <f t="shared" si="2"/>
        <v>71</v>
      </c>
      <c r="B85" s="60">
        <f t="shared" si="5"/>
        <v>45403</v>
      </c>
      <c r="C85" s="117">
        <f t="shared" si="126"/>
        <v>0.0775</v>
      </c>
      <c r="D85" s="117">
        <f>((1+'AP05'!$C85)^(1/12))-1</f>
        <v>0.006239681461</v>
      </c>
      <c r="E85" s="62">
        <f t="shared" si="127"/>
        <v>2137.579999</v>
      </c>
      <c r="F85" s="62">
        <f>(Q84*'AP05'!$R85)*'AP05'!$D85</f>
        <v>1505.702842</v>
      </c>
      <c r="G85" s="62">
        <f>(Q84*'AP05'!$R85)/($I$5-A84)</f>
        <v>832.1063819</v>
      </c>
      <c r="H85" s="63">
        <f t="shared" ref="H85:L85" si="133">H84</f>
        <v>0</v>
      </c>
      <c r="I85" s="63">
        <f t="shared" si="133"/>
        <v>0</v>
      </c>
      <c r="J85" s="62">
        <f t="shared" si="133"/>
        <v>25</v>
      </c>
      <c r="K85" s="63">
        <f t="shared" si="133"/>
        <v>0</v>
      </c>
      <c r="L85" s="63">
        <f t="shared" si="133"/>
        <v>0</v>
      </c>
      <c r="M85" s="62">
        <f>'AP03'!D78</f>
        <v>3135.52</v>
      </c>
      <c r="N85" s="62">
        <f>SUM('AP05'!$F85:$L85)</f>
        <v>2362.809224</v>
      </c>
      <c r="O85" s="62">
        <f>'AP05'!$M85-'AP05'!$N85</f>
        <v>772.7107764</v>
      </c>
      <c r="P85" s="62">
        <f>Q84*('AP05'!$R85-1)</f>
        <v>151.4481049</v>
      </c>
      <c r="Q85" s="62">
        <f>(Q84*'AP05'!$R85)+'AP05'!$F85</f>
        <v>242816.5536</v>
      </c>
      <c r="R85" s="64">
        <v>1.000628</v>
      </c>
      <c r="S85" s="4"/>
      <c r="T85" s="65">
        <f>(T84*'AP05'!$R85)+(U84*'AP05'!$R85)</f>
        <v>244416.5899</v>
      </c>
      <c r="U85" s="4">
        <f>2115.97+871.08+51.45+40.27+25</f>
        <v>3103.77</v>
      </c>
      <c r="V85" s="4"/>
      <c r="W85" s="4"/>
      <c r="X85" s="4"/>
      <c r="Y85" s="4"/>
      <c r="Z85" s="4"/>
    </row>
    <row r="86" ht="18.75" customHeight="1">
      <c r="A86" s="56">
        <f t="shared" si="2"/>
        <v>72</v>
      </c>
      <c r="B86" s="50">
        <f t="shared" si="5"/>
        <v>45433</v>
      </c>
      <c r="C86" s="116">
        <f t="shared" si="126"/>
        <v>0.0775</v>
      </c>
      <c r="D86" s="116">
        <f>((1+'AP05'!$C86)^(1/12))-1</f>
        <v>0.006239681461</v>
      </c>
      <c r="E86" s="51">
        <f t="shared" si="127"/>
        <v>2137.579999</v>
      </c>
      <c r="F86" s="51">
        <f>(Q85*'AP05'!$R86)*'AP05'!$D86</f>
        <v>1515.647928</v>
      </c>
      <c r="G86" s="51">
        <f>(Q85*'AP05'!$R86)/($I$5-A85)</f>
        <v>840.5006782</v>
      </c>
      <c r="H86" s="52">
        <f t="shared" ref="H86:L86" si="134">H85</f>
        <v>0</v>
      </c>
      <c r="I86" s="52">
        <f t="shared" si="134"/>
        <v>0</v>
      </c>
      <c r="J86" s="51">
        <f t="shared" si="134"/>
        <v>25</v>
      </c>
      <c r="K86" s="52">
        <f t="shared" si="134"/>
        <v>0</v>
      </c>
      <c r="L86" s="52">
        <f t="shared" si="134"/>
        <v>0</v>
      </c>
      <c r="M86" s="51">
        <f>'AP03'!D79</f>
        <v>3977.85</v>
      </c>
      <c r="N86" s="51">
        <f>SUM('AP05'!$F86:$L86)</f>
        <v>2381.148607</v>
      </c>
      <c r="O86" s="137">
        <f>'AP05'!$M86-'AP05'!$N86</f>
        <v>1596.701393</v>
      </c>
      <c r="P86" s="51">
        <f>Q85*('AP05'!$R86-1)</f>
        <v>88.14240895</v>
      </c>
      <c r="Q86" s="51">
        <f>(Q85*'AP05'!$R86)+'AP05'!$F86</f>
        <v>244420.3439</v>
      </c>
      <c r="R86" s="53">
        <v>1.000363</v>
      </c>
      <c r="S86" s="4"/>
      <c r="T86" s="65"/>
      <c r="U86" s="4"/>
      <c r="V86" s="4"/>
      <c r="W86" s="4"/>
      <c r="X86" s="4"/>
      <c r="Y86" s="4"/>
      <c r="Z86" s="4"/>
    </row>
    <row r="87" ht="18.75" customHeight="1">
      <c r="A87" s="56">
        <f t="shared" si="2"/>
        <v>73</v>
      </c>
      <c r="B87" s="50">
        <f t="shared" si="5"/>
        <v>45464</v>
      </c>
      <c r="C87" s="116">
        <f t="shared" si="126"/>
        <v>0.0775</v>
      </c>
      <c r="D87" s="116">
        <f>((1+'AP05'!$C87)^(1/12))-1</f>
        <v>0.006239681461</v>
      </c>
      <c r="E87" s="51">
        <f t="shared" si="127"/>
        <v>2137.579999</v>
      </c>
      <c r="F87" s="51">
        <f>(Q86*'AP05'!$R87)*'AP05'!$D87</f>
        <v>1526.50971</v>
      </c>
      <c r="G87" s="51">
        <f>(Q86*'AP05'!$R87)/($I$5-A86)</f>
        <v>849.4633856</v>
      </c>
      <c r="H87" s="52">
        <f t="shared" ref="H87:L87" si="135">H86</f>
        <v>0</v>
      </c>
      <c r="I87" s="52">
        <f t="shared" si="135"/>
        <v>0</v>
      </c>
      <c r="J87" s="51">
        <f t="shared" si="135"/>
        <v>25</v>
      </c>
      <c r="K87" s="52">
        <f t="shared" si="135"/>
        <v>0</v>
      </c>
      <c r="L87" s="52">
        <f t="shared" si="135"/>
        <v>0</v>
      </c>
      <c r="M87" s="51">
        <f>'AP03'!D80</f>
        <v>3898.81</v>
      </c>
      <c r="N87" s="51">
        <f>SUM('AP05'!$F87:$L87)</f>
        <v>2400.973096</v>
      </c>
      <c r="O87" s="137">
        <f>'AP05'!$M87-'AP05'!$N87</f>
        <v>1497.836904</v>
      </c>
      <c r="P87" s="51">
        <f>Q86*('AP05'!$R87-1)</f>
        <v>225.1111367</v>
      </c>
      <c r="Q87" s="51">
        <f>(Q86*'AP05'!$R87)-'AP05'!$G87-'AP05'!$O87</f>
        <v>242298.1548</v>
      </c>
      <c r="R87" s="53">
        <v>1.000921</v>
      </c>
      <c r="S87" s="4"/>
      <c r="T87" s="65">
        <v>254994.68</v>
      </c>
      <c r="U87" s="4"/>
      <c r="V87" s="4"/>
      <c r="W87" s="4"/>
      <c r="X87" s="4"/>
      <c r="Y87" s="4"/>
      <c r="Z87" s="4"/>
    </row>
    <row r="88" ht="18.75" customHeight="1">
      <c r="A88" s="56">
        <f t="shared" si="2"/>
        <v>74</v>
      </c>
      <c r="B88" s="50">
        <f t="shared" si="5"/>
        <v>45494</v>
      </c>
      <c r="C88" s="116">
        <f t="shared" si="126"/>
        <v>0.0775</v>
      </c>
      <c r="D88" s="116">
        <f>((1+'AP05'!$C88)^(1/12))-1</f>
        <v>0.006239681461</v>
      </c>
      <c r="E88" s="51">
        <f t="shared" si="127"/>
        <v>2137.579999</v>
      </c>
      <c r="F88" s="51">
        <f>(Q87*'AP05'!$R88)*'AP05'!$D88</f>
        <v>1512.850551</v>
      </c>
      <c r="G88" s="51">
        <f>(Q87*'AP05'!$R88)/($I$5-A87)</f>
        <v>844.7957333</v>
      </c>
      <c r="H88" s="52">
        <f t="shared" ref="H88:L88" si="136">H87</f>
        <v>0</v>
      </c>
      <c r="I88" s="52">
        <f t="shared" si="136"/>
        <v>0</v>
      </c>
      <c r="J88" s="51">
        <f t="shared" si="136"/>
        <v>25</v>
      </c>
      <c r="K88" s="52">
        <f t="shared" si="136"/>
        <v>0</v>
      </c>
      <c r="L88" s="52">
        <f t="shared" si="136"/>
        <v>0</v>
      </c>
      <c r="M88" s="51">
        <f>'AP03'!D81</f>
        <v>3822.16</v>
      </c>
      <c r="N88" s="51">
        <f>SUM('AP05'!$F88:$L88)</f>
        <v>2382.646284</v>
      </c>
      <c r="O88" s="137">
        <f>'AP05'!$M88-'AP05'!$N88</f>
        <v>1439.513716</v>
      </c>
      <c r="P88" s="51">
        <f>Q87*('AP05'!$R88-1)</f>
        <v>158.2206951</v>
      </c>
      <c r="Q88" s="51">
        <f>(Q87*'AP05'!$R88)-'AP05'!$G88-'AP05'!$O88</f>
        <v>240172.066</v>
      </c>
      <c r="R88" s="53">
        <v>1.000653</v>
      </c>
      <c r="S88" s="4"/>
      <c r="T88" s="65">
        <f>T87-T84</f>
        <v>13835.25737</v>
      </c>
      <c r="U88" s="4"/>
      <c r="V88" s="4"/>
      <c r="W88" s="4"/>
      <c r="X88" s="4"/>
      <c r="Y88" s="4"/>
      <c r="Z88" s="4"/>
    </row>
    <row r="89" ht="18.75" customHeight="1">
      <c r="A89" s="56">
        <f t="shared" si="2"/>
        <v>75</v>
      </c>
      <c r="B89" s="50">
        <f t="shared" si="5"/>
        <v>45525</v>
      </c>
      <c r="C89" s="116">
        <f t="shared" si="126"/>
        <v>0.0775</v>
      </c>
      <c r="D89" s="116">
        <f>((1+'AP05'!$C89)^(1/12))-1</f>
        <v>0.006239681461</v>
      </c>
      <c r="E89" s="51">
        <f t="shared" si="127"/>
        <v>2137.579999</v>
      </c>
      <c r="F89" s="51">
        <f>(Q88*'AP05'!$R89)*'AP05'!$D89</f>
        <v>1499.658195</v>
      </c>
      <c r="G89" s="51">
        <f>(Q88*'AP05'!$R89)/($I$5-A88)</f>
        <v>840.3570204</v>
      </c>
      <c r="H89" s="52">
        <f t="shared" ref="H89:L89" si="137">H88</f>
        <v>0</v>
      </c>
      <c r="I89" s="52">
        <f t="shared" si="137"/>
        <v>0</v>
      </c>
      <c r="J89" s="51">
        <f t="shared" si="137"/>
        <v>25</v>
      </c>
      <c r="K89" s="52">
        <f t="shared" si="137"/>
        <v>0</v>
      </c>
      <c r="L89" s="52">
        <f t="shared" si="137"/>
        <v>0</v>
      </c>
      <c r="M89" s="51">
        <f>'AP03'!D82</f>
        <v>3745.51</v>
      </c>
      <c r="N89" s="51">
        <f>SUM('AP05'!$F89:$L89)</f>
        <v>2365.015215</v>
      </c>
      <c r="O89" s="137">
        <f>'AP05'!$M89-'AP05'!$N89</f>
        <v>1380.494785</v>
      </c>
      <c r="P89" s="51">
        <f>Q88*('AP05'!$R89-1)</f>
        <v>170.0418227</v>
      </c>
      <c r="Q89" s="51">
        <f>(Q88*'AP05'!$R89)-'AP05'!$G89-'AP05'!$O89</f>
        <v>238121.256</v>
      </c>
      <c r="R89" s="53">
        <v>1.000708</v>
      </c>
      <c r="S89" s="4"/>
      <c r="T89" s="65">
        <f>T88-2115.97</f>
        <v>11719.28737</v>
      </c>
      <c r="U89" s="4"/>
      <c r="V89" s="4"/>
      <c r="W89" s="4"/>
      <c r="X89" s="4"/>
      <c r="Y89" s="4"/>
      <c r="Z89" s="4"/>
    </row>
    <row r="90" ht="18.75" customHeight="1">
      <c r="A90" s="56">
        <f t="shared" si="2"/>
        <v>76</v>
      </c>
      <c r="B90" s="50">
        <f t="shared" si="5"/>
        <v>45556</v>
      </c>
      <c r="C90" s="116">
        <f t="shared" si="126"/>
        <v>0.0775</v>
      </c>
      <c r="D90" s="116">
        <f>((1+'AP05'!$C90)^(1/12))-1</f>
        <v>0.006239681461</v>
      </c>
      <c r="E90" s="51">
        <f t="shared" si="127"/>
        <v>2137.579999</v>
      </c>
      <c r="F90" s="51">
        <f>(Q89*'AP05'!$R90)*'AP05'!$D90</f>
        <v>1486.907708</v>
      </c>
      <c r="G90" s="51">
        <f>(Q89*'AP05'!$R90)/($I$5-A89)</f>
        <v>836.1356364</v>
      </c>
      <c r="H90" s="52">
        <f t="shared" ref="H90:L90" si="138">H89</f>
        <v>0</v>
      </c>
      <c r="I90" s="52">
        <f t="shared" si="138"/>
        <v>0</v>
      </c>
      <c r="J90" s="51">
        <f t="shared" si="138"/>
        <v>25</v>
      </c>
      <c r="K90" s="52">
        <f t="shared" si="138"/>
        <v>0</v>
      </c>
      <c r="L90" s="52">
        <f t="shared" si="138"/>
        <v>0</v>
      </c>
      <c r="M90" s="51">
        <f>'AP03'!D83</f>
        <v>3670.04</v>
      </c>
      <c r="N90" s="51">
        <f>SUM('AP05'!$F90:$L90)</f>
        <v>2348.043345</v>
      </c>
      <c r="O90" s="137">
        <f>'AP05'!$M90-'AP05'!$N90</f>
        <v>1321.996655</v>
      </c>
      <c r="P90" s="51">
        <f>Q89*('AP05'!$R90-1)</f>
        <v>177.4003357</v>
      </c>
      <c r="Q90" s="51">
        <f>(Q89*'AP05'!$R90)-'AP05'!$G90-'AP05'!$O90</f>
        <v>236140.5241</v>
      </c>
      <c r="R90" s="53">
        <v>1.000745</v>
      </c>
      <c r="S90" s="4"/>
      <c r="T90" s="4">
        <f>51.45+40.27+51.94+40.3+50</f>
        <v>233.96</v>
      </c>
      <c r="U90" s="4"/>
      <c r="V90" s="4"/>
      <c r="W90" s="4"/>
      <c r="X90" s="4"/>
      <c r="Y90" s="4"/>
      <c r="Z90" s="4"/>
    </row>
    <row r="91" ht="18.75" customHeight="1">
      <c r="A91" s="56">
        <f t="shared" si="2"/>
        <v>77</v>
      </c>
      <c r="B91" s="50">
        <f t="shared" si="5"/>
        <v>45586</v>
      </c>
      <c r="C91" s="116">
        <f t="shared" si="126"/>
        <v>0.0775</v>
      </c>
      <c r="D91" s="116">
        <f>((1+'AP05'!$C91)^(1/12))-1</f>
        <v>0.006239681461</v>
      </c>
      <c r="E91" s="51">
        <f t="shared" si="127"/>
        <v>2137.579999</v>
      </c>
      <c r="F91" s="51">
        <f>(Q90*'AP05'!$R91)*'AP05'!$D91</f>
        <v>1474.421489</v>
      </c>
      <c r="G91" s="51">
        <f>(Q90*'AP05'!$R91)/($I$5-A90)</f>
        <v>832.0336532</v>
      </c>
      <c r="H91" s="52">
        <f t="shared" ref="H91:L91" si="139">H90</f>
        <v>0</v>
      </c>
      <c r="I91" s="52">
        <f t="shared" si="139"/>
        <v>0</v>
      </c>
      <c r="J91" s="51">
        <f t="shared" si="139"/>
        <v>25</v>
      </c>
      <c r="K91" s="52">
        <f t="shared" si="139"/>
        <v>0</v>
      </c>
      <c r="L91" s="52">
        <f t="shared" si="139"/>
        <v>0</v>
      </c>
      <c r="M91" s="51">
        <f>'AP03'!D84</f>
        <v>3596.87</v>
      </c>
      <c r="N91" s="51">
        <f>SUM('AP05'!$F91:$L91)</f>
        <v>2331.455142</v>
      </c>
      <c r="O91" s="137">
        <f>'AP05'!$M91-'AP05'!$N91</f>
        <v>1265.414858</v>
      </c>
      <c r="P91" s="51">
        <f>Q90*('AP05'!$R91-1)</f>
        <v>157.0334485</v>
      </c>
      <c r="Q91" s="51">
        <f>(Q90*'AP05'!$R91)-'AP05'!$G91-'AP05'!$O91</f>
        <v>234200.109</v>
      </c>
      <c r="R91" s="53">
        <v>1.000665</v>
      </c>
      <c r="S91" s="4"/>
      <c r="T91" s="4"/>
      <c r="U91" s="4"/>
      <c r="V91" s="4"/>
      <c r="W91" s="4"/>
      <c r="X91" s="4"/>
      <c r="Y91" s="4"/>
      <c r="Z91" s="4"/>
    </row>
    <row r="92" ht="18.75" customHeight="1">
      <c r="A92" s="56">
        <f t="shared" si="2"/>
        <v>78</v>
      </c>
      <c r="B92" s="50">
        <f t="shared" si="5"/>
        <v>45617</v>
      </c>
      <c r="C92" s="116">
        <f t="shared" si="126"/>
        <v>0.0775</v>
      </c>
      <c r="D92" s="116">
        <f>((1+'AP05'!$C92)^(1/12))-1</f>
        <v>0.006239681461</v>
      </c>
      <c r="E92" s="51">
        <f t="shared" si="127"/>
        <v>2137.579999</v>
      </c>
      <c r="F92" s="51">
        <f>(Q91*'AP05'!$R92)*'AP05'!$D92</f>
        <v>1462.390623</v>
      </c>
      <c r="G92" s="51">
        <f>(Q91*'AP05'!$R92)/($I$5-A91)</f>
        <v>828.1605501</v>
      </c>
      <c r="H92" s="52">
        <f t="shared" ref="H92:L92" si="140">H91</f>
        <v>0</v>
      </c>
      <c r="I92" s="52">
        <f t="shared" si="140"/>
        <v>0</v>
      </c>
      <c r="J92" s="51">
        <f t="shared" si="140"/>
        <v>25</v>
      </c>
      <c r="K92" s="52">
        <f t="shared" si="140"/>
        <v>0</v>
      </c>
      <c r="L92" s="52">
        <f t="shared" si="140"/>
        <v>0</v>
      </c>
      <c r="M92" s="51">
        <f>'AP03'!D85</f>
        <v>3523.71</v>
      </c>
      <c r="N92" s="51">
        <f>SUM('AP05'!$F92:$L92)</f>
        <v>2315.551173</v>
      </c>
      <c r="O92" s="137">
        <f>'AP05'!$M92-'AP05'!$N92</f>
        <v>1208.158827</v>
      </c>
      <c r="P92" s="51">
        <f>Q91*('AP05'!$R92-1)</f>
        <v>169.3266788</v>
      </c>
      <c r="Q92" s="51">
        <f>(Q91*'AP05'!$R92)-'AP05'!$G92-'AP05'!$O92</f>
        <v>232333.1163</v>
      </c>
      <c r="R92" s="53">
        <v>1.000723</v>
      </c>
      <c r="S92" s="4"/>
      <c r="T92" s="4"/>
      <c r="U92" s="4"/>
      <c r="V92" s="4"/>
      <c r="W92" s="4"/>
      <c r="X92" s="4"/>
      <c r="Y92" s="4"/>
      <c r="Z92" s="4"/>
    </row>
    <row r="93" ht="18.75" customHeight="1">
      <c r="A93" s="56">
        <f t="shared" si="2"/>
        <v>79</v>
      </c>
      <c r="B93" s="50">
        <f t="shared" si="5"/>
        <v>45647</v>
      </c>
      <c r="C93" s="116">
        <f t="shared" si="126"/>
        <v>0.0775</v>
      </c>
      <c r="D93" s="116">
        <f>((1+'AP05'!$C93)^(1/12))-1</f>
        <v>0.006239681461</v>
      </c>
      <c r="E93" s="51">
        <f t="shared" si="127"/>
        <v>2137.579999</v>
      </c>
      <c r="F93" s="51">
        <f>(Q92*'AP05'!$R93)*'AP05'!$D93</f>
        <v>1451.132874</v>
      </c>
      <c r="G93" s="51">
        <f>(Q92*'AP05'!$R93)/($I$5-A92)</f>
        <v>824.6993514</v>
      </c>
      <c r="H93" s="52">
        <f t="shared" ref="H93:L93" si="141">H92</f>
        <v>0</v>
      </c>
      <c r="I93" s="52">
        <f t="shared" si="141"/>
        <v>0</v>
      </c>
      <c r="J93" s="51">
        <f t="shared" si="141"/>
        <v>25</v>
      </c>
      <c r="K93" s="52">
        <f t="shared" si="141"/>
        <v>0</v>
      </c>
      <c r="L93" s="52">
        <f t="shared" si="141"/>
        <v>0</v>
      </c>
      <c r="M93" s="51">
        <f>'AP03'!D86</f>
        <v>3455.26</v>
      </c>
      <c r="N93" s="51">
        <f>SUM('AP05'!$F93:$L93)</f>
        <v>2300.832225</v>
      </c>
      <c r="O93" s="137">
        <f>'AP05'!$M93-'AP05'!$N93</f>
        <v>1154.427775</v>
      </c>
      <c r="P93" s="51">
        <f>Q92*('AP05'!$R93-1)</f>
        <v>232.1007832</v>
      </c>
      <c r="Q93" s="51">
        <f>(Q92*'AP05'!$R93)-'AP05'!$G93-'AP05'!$O93</f>
        <v>230586.09</v>
      </c>
      <c r="R93" s="53">
        <v>1.000999</v>
      </c>
      <c r="S93" s="4"/>
      <c r="T93" s="4"/>
      <c r="U93" s="4"/>
      <c r="V93" s="4"/>
      <c r="W93" s="4"/>
      <c r="X93" s="4"/>
      <c r="Y93" s="4"/>
      <c r="Z93" s="4"/>
    </row>
    <row r="94" ht="18.75" customHeight="1">
      <c r="A94" s="56">
        <f t="shared" si="2"/>
        <v>80</v>
      </c>
      <c r="B94" s="50">
        <f t="shared" si="5"/>
        <v>45678</v>
      </c>
      <c r="C94" s="116">
        <f t="shared" si="126"/>
        <v>0.0775</v>
      </c>
      <c r="D94" s="116">
        <f>((1+'AP05'!$C94)^(1/12))-1</f>
        <v>0.006239681461</v>
      </c>
      <c r="E94" s="51">
        <f t="shared" si="127"/>
        <v>2137.579999</v>
      </c>
      <c r="F94" s="51">
        <f>(Q93*'AP05'!$R94)*'AP05'!$D94</f>
        <v>1439.934778</v>
      </c>
      <c r="G94" s="51">
        <f>(Q93*'AP05'!$R94)/($I$5-A93)</f>
        <v>821.2475404</v>
      </c>
      <c r="H94" s="52">
        <f t="shared" ref="H94:L94" si="142">H93</f>
        <v>0</v>
      </c>
      <c r="I94" s="52">
        <f t="shared" si="142"/>
        <v>0</v>
      </c>
      <c r="J94" s="51">
        <f t="shared" si="142"/>
        <v>25</v>
      </c>
      <c r="K94" s="52">
        <f t="shared" si="142"/>
        <v>0</v>
      </c>
      <c r="L94" s="52">
        <f t="shared" si="142"/>
        <v>0</v>
      </c>
      <c r="M94" s="51">
        <f>'AP03'!D87</f>
        <v>3384.28</v>
      </c>
      <c r="N94" s="51">
        <f>SUM('AP05'!$F94:$L94)</f>
        <v>2286.182318</v>
      </c>
      <c r="O94" s="137">
        <f>'AP05'!$M94-'AP05'!$N94</f>
        <v>1098.097682</v>
      </c>
      <c r="P94" s="51">
        <f>Q93*('AP05'!$R94-1)</f>
        <v>184.468872</v>
      </c>
      <c r="Q94" s="51">
        <f>(Q93*'AP05'!$R94)-'AP05'!$G94-'AP05'!$O94</f>
        <v>228851.2136</v>
      </c>
      <c r="R94" s="53">
        <v>1.0008</v>
      </c>
      <c r="S94" s="4"/>
      <c r="T94" s="4"/>
      <c r="U94" s="4"/>
      <c r="V94" s="4"/>
      <c r="W94" s="4"/>
      <c r="X94" s="4"/>
      <c r="Y94" s="4"/>
      <c r="Z94" s="4"/>
    </row>
    <row r="95" ht="18.75" customHeight="1">
      <c r="A95" s="56">
        <f t="shared" si="2"/>
        <v>81</v>
      </c>
      <c r="B95" s="50">
        <f t="shared" si="5"/>
        <v>45709</v>
      </c>
      <c r="C95" s="116">
        <f t="shared" si="126"/>
        <v>0.0775</v>
      </c>
      <c r="D95" s="116">
        <f>((1+'AP05'!$C95)^(1/12))-1</f>
        <v>0.006239681461</v>
      </c>
      <c r="E95" s="51">
        <f t="shared" si="127"/>
        <v>2137.579999</v>
      </c>
      <c r="F95" s="51">
        <f>(Q94*'AP05'!$R95)*'AP05'!$D95</f>
        <v>1430.40334</v>
      </c>
      <c r="G95" s="51">
        <f>(Q94*'AP05'!$R95)/($I$5-A94)</f>
        <v>818.7250246</v>
      </c>
      <c r="H95" s="52">
        <f t="shared" ref="H95:L95" si="143">H94</f>
        <v>0</v>
      </c>
      <c r="I95" s="52">
        <f t="shared" si="143"/>
        <v>0</v>
      </c>
      <c r="J95" s="51">
        <f t="shared" si="143"/>
        <v>25</v>
      </c>
      <c r="K95" s="52">
        <f t="shared" si="143"/>
        <v>0</v>
      </c>
      <c r="L95" s="52">
        <f t="shared" si="143"/>
        <v>0</v>
      </c>
      <c r="M95" s="51">
        <f>'AP03'!D88</f>
        <v>3326.09</v>
      </c>
      <c r="N95" s="51">
        <f>SUM('AP05'!$F95:$L95)</f>
        <v>2274.128365</v>
      </c>
      <c r="O95" s="137">
        <f>'AP05'!$M95-'AP05'!$N95</f>
        <v>1051.961635</v>
      </c>
      <c r="P95" s="51">
        <f>Q94*('AP05'!$R95-1)</f>
        <v>391.7932777</v>
      </c>
      <c r="Q95" s="51">
        <f>(Q94*'AP05'!$R95)-'AP05'!$G95-'AP05'!$O95</f>
        <v>227372.3202</v>
      </c>
      <c r="R95" s="53">
        <v>1.001712</v>
      </c>
      <c r="S95" s="4"/>
      <c r="T95" s="4"/>
      <c r="U95" s="4"/>
      <c r="V95" s="4"/>
      <c r="W95" s="4"/>
      <c r="X95" s="4"/>
      <c r="Y95" s="4"/>
      <c r="Z95" s="4"/>
    </row>
    <row r="96" ht="18.75" customHeight="1">
      <c r="A96" s="56">
        <f t="shared" si="2"/>
        <v>82</v>
      </c>
      <c r="B96" s="67">
        <f t="shared" si="5"/>
        <v>45737</v>
      </c>
      <c r="C96" s="118">
        <f t="shared" si="126"/>
        <v>0.0775</v>
      </c>
      <c r="D96" s="118">
        <f>((1+'AP05'!$C96)^(1/12))-1</f>
        <v>0.006239681461</v>
      </c>
      <c r="E96" s="69">
        <f t="shared" si="127"/>
        <v>2137.579999</v>
      </c>
      <c r="F96" s="69">
        <f>(Q95*'AP05'!$R96)*'AP05'!$D96</f>
        <v>1419.784968</v>
      </c>
      <c r="G96" s="69">
        <f>(Q95*'AP05'!$R96)/($I$5-A95)</f>
        <v>815.5600641</v>
      </c>
      <c r="H96" s="57">
        <f t="shared" ref="H96:L96" si="144">H95</f>
        <v>0</v>
      </c>
      <c r="I96" s="57">
        <f t="shared" si="144"/>
        <v>0</v>
      </c>
      <c r="J96" s="69">
        <f t="shared" si="144"/>
        <v>25</v>
      </c>
      <c r="K96" s="57">
        <f t="shared" si="144"/>
        <v>0</v>
      </c>
      <c r="L96" s="57">
        <f t="shared" si="144"/>
        <v>0</v>
      </c>
      <c r="M96" s="69">
        <f>'AP03'!D89</f>
        <v>3260.28</v>
      </c>
      <c r="N96" s="69">
        <f>SUM('AP05'!$F96:$L96)</f>
        <v>2260.345032</v>
      </c>
      <c r="O96" s="138">
        <f>'AP05'!$M96-'AP05'!$N96</f>
        <v>999.9349675</v>
      </c>
      <c r="P96" s="69">
        <f>Q95*('AP05'!$R96-1)</f>
        <v>168.9376339</v>
      </c>
      <c r="Q96" s="51">
        <f>(Q95*'AP05'!$R96)-'AP05'!$G96-'AP05'!$O96</f>
        <v>225725.7628</v>
      </c>
      <c r="R96" s="71">
        <v>1.000743</v>
      </c>
      <c r="S96" s="4"/>
      <c r="T96" s="4"/>
      <c r="U96" s="4"/>
      <c r="V96" s="4"/>
      <c r="W96" s="4"/>
      <c r="X96" s="4"/>
      <c r="Y96" s="4"/>
      <c r="Z96" s="4"/>
    </row>
    <row r="97" ht="18.75" customHeight="1">
      <c r="A97" s="72">
        <f t="shared" si="2"/>
        <v>83</v>
      </c>
      <c r="B97" s="73">
        <f t="shared" si="5"/>
        <v>45768</v>
      </c>
      <c r="C97" s="119">
        <f t="shared" si="126"/>
        <v>0.0775</v>
      </c>
      <c r="D97" s="119">
        <f>((1+'AP05'!$C97)^(1/12))-1</f>
        <v>0.006239681461</v>
      </c>
      <c r="E97" s="75">
        <f t="shared" si="127"/>
        <v>2137.579999</v>
      </c>
      <c r="F97" s="75">
        <f>(Q96*'AP05'!$R97)*'AP05'!$D97</f>
        <v>1410.834333</v>
      </c>
      <c r="G97" s="75">
        <f>(Q96*'AP05'!$R97)/($I$5-A96)</f>
        <v>813.3337695</v>
      </c>
      <c r="H97" s="76">
        <f t="shared" ref="H97:L97" si="145">H96</f>
        <v>0</v>
      </c>
      <c r="I97" s="76">
        <f t="shared" si="145"/>
        <v>0</v>
      </c>
      <c r="J97" s="75">
        <f t="shared" si="145"/>
        <v>25</v>
      </c>
      <c r="K97" s="76">
        <f t="shared" si="145"/>
        <v>0</v>
      </c>
      <c r="L97" s="76">
        <f t="shared" si="145"/>
        <v>0</v>
      </c>
      <c r="M97" s="75">
        <f>'AP03'!D90</f>
        <v>3127.79</v>
      </c>
      <c r="N97" s="75">
        <f>SUM('AP05'!$F97:$L97)</f>
        <v>2249.168102</v>
      </c>
      <c r="O97" s="120">
        <f>'AP05'!$M97-'AP05'!$N97</f>
        <v>878.6218976</v>
      </c>
      <c r="P97" s="75">
        <f>Q96*('AP05'!$R97-1)</f>
        <v>381.0250877</v>
      </c>
      <c r="Q97" s="120">
        <f>(Q96*'AP05'!$R97)-'AP05'!$G97-'AP05'!$O97</f>
        <v>224414.8323</v>
      </c>
      <c r="R97" s="78">
        <v>1.001688</v>
      </c>
      <c r="S97" s="4"/>
      <c r="T97" s="4"/>
      <c r="U97" s="4"/>
      <c r="V97" s="4"/>
      <c r="W97" s="4"/>
      <c r="X97" s="4"/>
      <c r="Y97" s="4"/>
      <c r="Z97" s="4"/>
    </row>
    <row r="98" ht="18.75" customHeight="1">
      <c r="A98" s="80">
        <f t="shared" si="2"/>
        <v>84</v>
      </c>
      <c r="B98" s="42">
        <f t="shared" si="5"/>
        <v>45798</v>
      </c>
      <c r="C98" s="121">
        <f t="shared" si="126"/>
        <v>0.0775</v>
      </c>
      <c r="D98" s="121">
        <f>((1+'AP05'!$C98)^(1/12))-1</f>
        <v>0.006239681461</v>
      </c>
      <c r="E98" s="45">
        <f t="shared" si="127"/>
        <v>2137.579999</v>
      </c>
      <c r="F98" s="45">
        <f>(Q97*'AP05'!$R98)*'AP05'!$D98</f>
        <v>1400.277068</v>
      </c>
      <c r="G98" s="45">
        <f>(Q97*'AP05'!$R98)/($I$5-A97)</f>
        <v>810.1618493</v>
      </c>
      <c r="H98" s="82">
        <f t="shared" ref="H98:L98" si="146">H97</f>
        <v>0</v>
      </c>
      <c r="I98" s="82">
        <f t="shared" si="146"/>
        <v>0</v>
      </c>
      <c r="J98" s="45">
        <f t="shared" si="146"/>
        <v>25</v>
      </c>
      <c r="K98" s="82">
        <f t="shared" si="146"/>
        <v>0</v>
      </c>
      <c r="L98" s="82">
        <f t="shared" si="146"/>
        <v>0</v>
      </c>
      <c r="M98" s="82"/>
      <c r="N98" s="139">
        <f>SUM('AP05'!$F98:$L98)</f>
        <v>2235.438918</v>
      </c>
      <c r="O98" s="45"/>
      <c r="P98" s="45">
        <f>Q97*('AP05'!$R98-1)</f>
        <v>0</v>
      </c>
      <c r="Q98" s="45">
        <f>(Q97*'AP05'!$R98)-'AP05'!$G98</f>
        <v>223604.6704</v>
      </c>
      <c r="R98" s="83">
        <v>1.0</v>
      </c>
      <c r="S98" s="4"/>
      <c r="T98" s="4"/>
      <c r="U98" s="4"/>
      <c r="V98" s="4"/>
      <c r="W98" s="4"/>
      <c r="X98" s="4"/>
      <c r="Y98" s="4"/>
      <c r="Z98" s="4"/>
    </row>
    <row r="99" ht="18.75" customHeight="1">
      <c r="A99" s="56">
        <f t="shared" si="2"/>
        <v>85</v>
      </c>
      <c r="B99" s="50">
        <f t="shared" si="5"/>
        <v>45829</v>
      </c>
      <c r="C99" s="116">
        <f t="shared" si="126"/>
        <v>0.0775</v>
      </c>
      <c r="D99" s="116">
        <f>((1+'AP05'!$C99)^(1/12))-1</f>
        <v>0.006239681461</v>
      </c>
      <c r="E99" s="51">
        <f t="shared" si="127"/>
        <v>2137.579999</v>
      </c>
      <c r="F99" s="51">
        <f>(Q98*'AP05'!$R99)*'AP05'!$D99</f>
        <v>1395.221917</v>
      </c>
      <c r="G99" s="51">
        <f>(Q98*'AP05'!$R99)/($I$5-A98)</f>
        <v>810.1618493</v>
      </c>
      <c r="H99" s="52">
        <f t="shared" ref="H99:L99" si="147">H98</f>
        <v>0</v>
      </c>
      <c r="I99" s="52">
        <f t="shared" si="147"/>
        <v>0</v>
      </c>
      <c r="J99" s="51">
        <f t="shared" si="147"/>
        <v>25</v>
      </c>
      <c r="K99" s="52">
        <f t="shared" si="147"/>
        <v>0</v>
      </c>
      <c r="L99" s="52">
        <f t="shared" si="147"/>
        <v>0</v>
      </c>
      <c r="M99" s="52"/>
      <c r="N99" s="85">
        <f>SUM('AP05'!$F99:$L99)</f>
        <v>2230.383766</v>
      </c>
      <c r="O99" s="51"/>
      <c r="P99" s="51">
        <f>Q98*('AP05'!$R99-1)</f>
        <v>0</v>
      </c>
      <c r="Q99" s="51">
        <f>(Q98*'AP05'!$R99)-'AP05'!$G99</f>
        <v>222794.5086</v>
      </c>
      <c r="R99" s="53">
        <f t="shared" ref="R99:R374" si="149">R98</f>
        <v>1</v>
      </c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56">
        <f t="shared" si="2"/>
        <v>86</v>
      </c>
      <c r="B100" s="50">
        <f t="shared" si="5"/>
        <v>45859</v>
      </c>
      <c r="C100" s="116">
        <f t="shared" si="126"/>
        <v>0.0775</v>
      </c>
      <c r="D100" s="116">
        <f>((1+'AP05'!$C100)^(1/12))-1</f>
        <v>0.006239681461</v>
      </c>
      <c r="E100" s="51">
        <f t="shared" si="127"/>
        <v>2137.579999</v>
      </c>
      <c r="F100" s="51">
        <f>(Q99*'AP05'!$R100)*'AP05'!$D100</f>
        <v>1390.166765</v>
      </c>
      <c r="G100" s="51">
        <f>(Q99*'AP05'!$R100)/($I$5-A99)</f>
        <v>810.1618493</v>
      </c>
      <c r="H100" s="52">
        <f t="shared" ref="H100:L100" si="148">H99</f>
        <v>0</v>
      </c>
      <c r="I100" s="52">
        <f t="shared" si="148"/>
        <v>0</v>
      </c>
      <c r="J100" s="51">
        <f t="shared" si="148"/>
        <v>25</v>
      </c>
      <c r="K100" s="52">
        <f t="shared" si="148"/>
        <v>0</v>
      </c>
      <c r="L100" s="52">
        <f t="shared" si="148"/>
        <v>0</v>
      </c>
      <c r="M100" s="52"/>
      <c r="N100" s="85">
        <f>SUM('AP05'!$F100:$L100)</f>
        <v>2225.328614</v>
      </c>
      <c r="O100" s="51"/>
      <c r="P100" s="51">
        <f>Q99*('AP05'!$R100-1)</f>
        <v>0</v>
      </c>
      <c r="Q100" s="51">
        <f>(Q99*'AP05'!$R100)-'AP05'!$G100</f>
        <v>221984.3467</v>
      </c>
      <c r="R100" s="53">
        <f t="shared" si="149"/>
        <v>1</v>
      </c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56">
        <f t="shared" si="2"/>
        <v>87</v>
      </c>
      <c r="B101" s="50">
        <f t="shared" si="5"/>
        <v>45890</v>
      </c>
      <c r="C101" s="116">
        <f t="shared" si="126"/>
        <v>0.0775</v>
      </c>
      <c r="D101" s="116">
        <f>((1+'AP05'!$C101)^(1/12))-1</f>
        <v>0.006239681461</v>
      </c>
      <c r="E101" s="51">
        <f t="shared" si="127"/>
        <v>2137.579999</v>
      </c>
      <c r="F101" s="51">
        <f>(Q100*'AP05'!$R101)*'AP05'!$D101</f>
        <v>1385.111613</v>
      </c>
      <c r="G101" s="51">
        <f>(Q100*'AP05'!$R101)/($I$5-A100)</f>
        <v>810.1618493</v>
      </c>
      <c r="H101" s="52">
        <f t="shared" ref="H101:L101" si="150">H100</f>
        <v>0</v>
      </c>
      <c r="I101" s="52">
        <f t="shared" si="150"/>
        <v>0</v>
      </c>
      <c r="J101" s="51">
        <f t="shared" si="150"/>
        <v>25</v>
      </c>
      <c r="K101" s="52">
        <f t="shared" si="150"/>
        <v>0</v>
      </c>
      <c r="L101" s="52">
        <f t="shared" si="150"/>
        <v>0</v>
      </c>
      <c r="M101" s="52"/>
      <c r="N101" s="85">
        <f>SUM('AP05'!$F101:$L101)</f>
        <v>2220.273462</v>
      </c>
      <c r="O101" s="51"/>
      <c r="P101" s="51">
        <f>Q100*('AP05'!$R101-1)</f>
        <v>0</v>
      </c>
      <c r="Q101" s="51">
        <f>(Q100*'AP05'!$R101)-'AP05'!$G101</f>
        <v>221174.1849</v>
      </c>
      <c r="R101" s="53">
        <f t="shared" si="149"/>
        <v>1</v>
      </c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56">
        <f t="shared" si="2"/>
        <v>88</v>
      </c>
      <c r="B102" s="50">
        <f t="shared" si="5"/>
        <v>45921</v>
      </c>
      <c r="C102" s="116">
        <f t="shared" si="126"/>
        <v>0.0775</v>
      </c>
      <c r="D102" s="116">
        <f>((1+'AP05'!$C102)^(1/12))-1</f>
        <v>0.006239681461</v>
      </c>
      <c r="E102" s="51">
        <f t="shared" si="127"/>
        <v>2137.579999</v>
      </c>
      <c r="F102" s="51">
        <f>(Q101*'AP05'!$R102)*'AP05'!$D102</f>
        <v>1380.056461</v>
      </c>
      <c r="G102" s="51">
        <f>(Q101*'AP05'!$R102)/($I$5-A101)</f>
        <v>810.1618493</v>
      </c>
      <c r="H102" s="52">
        <f t="shared" ref="H102:L102" si="151">H101</f>
        <v>0</v>
      </c>
      <c r="I102" s="52">
        <f t="shared" si="151"/>
        <v>0</v>
      </c>
      <c r="J102" s="51">
        <f t="shared" si="151"/>
        <v>25</v>
      </c>
      <c r="K102" s="52">
        <f t="shared" si="151"/>
        <v>0</v>
      </c>
      <c r="L102" s="52">
        <f t="shared" si="151"/>
        <v>0</v>
      </c>
      <c r="M102" s="52"/>
      <c r="N102" s="85">
        <f>SUM('AP05'!$F102:$L102)</f>
        <v>2215.21831</v>
      </c>
      <c r="O102" s="51"/>
      <c r="P102" s="51">
        <f>Q101*('AP05'!$R102-1)</f>
        <v>0</v>
      </c>
      <c r="Q102" s="51">
        <f>(Q101*'AP05'!$R102)-'AP05'!$G102</f>
        <v>220364.023</v>
      </c>
      <c r="R102" s="53">
        <f t="shared" si="149"/>
        <v>1</v>
      </c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6">
        <f t="shared" si="2"/>
        <v>89</v>
      </c>
      <c r="B103" s="50">
        <f t="shared" si="5"/>
        <v>45951</v>
      </c>
      <c r="C103" s="116">
        <f t="shared" si="126"/>
        <v>0.0775</v>
      </c>
      <c r="D103" s="116">
        <f>((1+'AP05'!$C103)^(1/12))-1</f>
        <v>0.006239681461</v>
      </c>
      <c r="E103" s="51">
        <f t="shared" si="127"/>
        <v>2137.579999</v>
      </c>
      <c r="F103" s="51">
        <f>(Q102*'AP05'!$R103)*'AP05'!$D103</f>
        <v>1375.001309</v>
      </c>
      <c r="G103" s="51">
        <f>(Q102*'AP05'!$R103)/($I$5-A102)</f>
        <v>810.1618493</v>
      </c>
      <c r="H103" s="52">
        <f t="shared" ref="H103:L103" si="152">H102</f>
        <v>0</v>
      </c>
      <c r="I103" s="52">
        <f t="shared" si="152"/>
        <v>0</v>
      </c>
      <c r="J103" s="51">
        <f t="shared" si="152"/>
        <v>25</v>
      </c>
      <c r="K103" s="52">
        <f t="shared" si="152"/>
        <v>0</v>
      </c>
      <c r="L103" s="52">
        <f t="shared" si="152"/>
        <v>0</v>
      </c>
      <c r="M103" s="52"/>
      <c r="N103" s="85">
        <f>SUM('AP05'!$F103:$L103)</f>
        <v>2210.163158</v>
      </c>
      <c r="O103" s="51"/>
      <c r="P103" s="51">
        <f>Q102*('AP05'!$R103-1)</f>
        <v>0</v>
      </c>
      <c r="Q103" s="51">
        <f>(Q102*'AP05'!$R103)-'AP05'!$G103</f>
        <v>219553.8612</v>
      </c>
      <c r="R103" s="53">
        <f t="shared" si="149"/>
        <v>1</v>
      </c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56">
        <f t="shared" si="2"/>
        <v>90</v>
      </c>
      <c r="B104" s="50">
        <f t="shared" si="5"/>
        <v>45982</v>
      </c>
      <c r="C104" s="116">
        <f t="shared" si="126"/>
        <v>0.0775</v>
      </c>
      <c r="D104" s="116">
        <f>((1+'AP05'!$C104)^(1/12))-1</f>
        <v>0.006239681461</v>
      </c>
      <c r="E104" s="51">
        <f t="shared" si="127"/>
        <v>2137.579999</v>
      </c>
      <c r="F104" s="51">
        <f>(Q103*'AP05'!$R104)*'AP05'!$D104</f>
        <v>1369.946157</v>
      </c>
      <c r="G104" s="51">
        <f>(Q103*'AP05'!$R104)/($I$5-A103)</f>
        <v>810.1618493</v>
      </c>
      <c r="H104" s="52">
        <f t="shared" ref="H104:L104" si="153">H103</f>
        <v>0</v>
      </c>
      <c r="I104" s="52">
        <f t="shared" si="153"/>
        <v>0</v>
      </c>
      <c r="J104" s="51">
        <f t="shared" si="153"/>
        <v>25</v>
      </c>
      <c r="K104" s="52">
        <f t="shared" si="153"/>
        <v>0</v>
      </c>
      <c r="L104" s="52">
        <f t="shared" si="153"/>
        <v>0</v>
      </c>
      <c r="M104" s="52"/>
      <c r="N104" s="85">
        <f>SUM('AP05'!$F104:$L104)</f>
        <v>2205.108007</v>
      </c>
      <c r="O104" s="51"/>
      <c r="P104" s="51">
        <f>Q103*('AP05'!$R104-1)</f>
        <v>0</v>
      </c>
      <c r="Q104" s="51">
        <f>(Q103*'AP05'!$R104)-'AP05'!$G104</f>
        <v>218743.6993</v>
      </c>
      <c r="R104" s="53">
        <f t="shared" si="149"/>
        <v>1</v>
      </c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56">
        <f t="shared" si="2"/>
        <v>91</v>
      </c>
      <c r="B105" s="50">
        <f t="shared" si="5"/>
        <v>46012</v>
      </c>
      <c r="C105" s="116">
        <f t="shared" si="126"/>
        <v>0.0775</v>
      </c>
      <c r="D105" s="116">
        <f>((1+'AP05'!$C105)^(1/12))-1</f>
        <v>0.006239681461</v>
      </c>
      <c r="E105" s="51">
        <f t="shared" si="127"/>
        <v>2137.579999</v>
      </c>
      <c r="F105" s="51">
        <f>(Q104*'AP05'!$R105)*'AP05'!$D105</f>
        <v>1364.891005</v>
      </c>
      <c r="G105" s="51">
        <f>(Q104*'AP05'!$R105)/($I$5-A104)</f>
        <v>810.1618493</v>
      </c>
      <c r="H105" s="52">
        <f t="shared" ref="H105:L105" si="154">H104</f>
        <v>0</v>
      </c>
      <c r="I105" s="52">
        <f t="shared" si="154"/>
        <v>0</v>
      </c>
      <c r="J105" s="51">
        <f t="shared" si="154"/>
        <v>25</v>
      </c>
      <c r="K105" s="52">
        <f t="shared" si="154"/>
        <v>0</v>
      </c>
      <c r="L105" s="52">
        <f t="shared" si="154"/>
        <v>0</v>
      </c>
      <c r="M105" s="52"/>
      <c r="N105" s="85">
        <f>SUM('AP05'!$F105:$L105)</f>
        <v>2200.052855</v>
      </c>
      <c r="O105" s="51"/>
      <c r="P105" s="51">
        <f>Q104*('AP05'!$R105-1)</f>
        <v>0</v>
      </c>
      <c r="Q105" s="51">
        <f>(Q104*'AP05'!$R105)-'AP05'!$G105</f>
        <v>217933.5375</v>
      </c>
      <c r="R105" s="53">
        <f t="shared" si="149"/>
        <v>1</v>
      </c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56">
        <f t="shared" si="2"/>
        <v>92</v>
      </c>
      <c r="B106" s="50">
        <f t="shared" si="5"/>
        <v>46043</v>
      </c>
      <c r="C106" s="116">
        <f t="shared" si="126"/>
        <v>0.0775</v>
      </c>
      <c r="D106" s="116">
        <f>((1+'AP05'!$C106)^(1/12))-1</f>
        <v>0.006239681461</v>
      </c>
      <c r="E106" s="51">
        <f t="shared" si="127"/>
        <v>2137.579999</v>
      </c>
      <c r="F106" s="51">
        <f>(Q105*'AP05'!$R106)*'AP05'!$D106</f>
        <v>1359.835854</v>
      </c>
      <c r="G106" s="51">
        <f>(Q105*'AP05'!$R106)/($I$5-A105)</f>
        <v>810.1618493</v>
      </c>
      <c r="H106" s="52">
        <f t="shared" ref="H106:L106" si="155">H105</f>
        <v>0</v>
      </c>
      <c r="I106" s="52">
        <f t="shared" si="155"/>
        <v>0</v>
      </c>
      <c r="J106" s="51">
        <f t="shared" si="155"/>
        <v>25</v>
      </c>
      <c r="K106" s="52">
        <f t="shared" si="155"/>
        <v>0</v>
      </c>
      <c r="L106" s="52">
        <f t="shared" si="155"/>
        <v>0</v>
      </c>
      <c r="M106" s="52"/>
      <c r="N106" s="85">
        <f>SUM('AP05'!$F106:$L106)</f>
        <v>2194.997703</v>
      </c>
      <c r="O106" s="51"/>
      <c r="P106" s="51">
        <f>Q105*('AP05'!$R106-1)</f>
        <v>0</v>
      </c>
      <c r="Q106" s="51">
        <f>(Q105*'AP05'!$R106)-'AP05'!$G106</f>
        <v>217123.3756</v>
      </c>
      <c r="R106" s="53">
        <f t="shared" si="149"/>
        <v>1</v>
      </c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56">
        <f t="shared" si="2"/>
        <v>93</v>
      </c>
      <c r="B107" s="50">
        <f t="shared" si="5"/>
        <v>46074</v>
      </c>
      <c r="C107" s="116">
        <f t="shared" si="126"/>
        <v>0.0775</v>
      </c>
      <c r="D107" s="116">
        <f>((1+'AP05'!$C107)^(1/12))-1</f>
        <v>0.006239681461</v>
      </c>
      <c r="E107" s="51">
        <f t="shared" si="127"/>
        <v>2137.579999</v>
      </c>
      <c r="F107" s="51">
        <f>(Q106*'AP05'!$R107)*'AP05'!$D107</f>
        <v>1354.780702</v>
      </c>
      <c r="G107" s="51">
        <f>(Q106*'AP05'!$R107)/($I$5-A106)</f>
        <v>810.1618493</v>
      </c>
      <c r="H107" s="52">
        <f t="shared" ref="H107:L107" si="156">H106</f>
        <v>0</v>
      </c>
      <c r="I107" s="52">
        <f t="shared" si="156"/>
        <v>0</v>
      </c>
      <c r="J107" s="51">
        <f t="shared" si="156"/>
        <v>25</v>
      </c>
      <c r="K107" s="52">
        <f t="shared" si="156"/>
        <v>0</v>
      </c>
      <c r="L107" s="52">
        <f t="shared" si="156"/>
        <v>0</v>
      </c>
      <c r="M107" s="52"/>
      <c r="N107" s="85">
        <f>SUM('AP05'!$F107:$L107)</f>
        <v>2189.942551</v>
      </c>
      <c r="O107" s="51"/>
      <c r="P107" s="51">
        <f>Q106*('AP05'!$R107-1)</f>
        <v>0</v>
      </c>
      <c r="Q107" s="51">
        <f>(Q106*'AP05'!$R107)-'AP05'!$G107</f>
        <v>216313.2138</v>
      </c>
      <c r="R107" s="53">
        <f t="shared" si="149"/>
        <v>1</v>
      </c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56">
        <f t="shared" si="2"/>
        <v>94</v>
      </c>
      <c r="B108" s="50">
        <f t="shared" si="5"/>
        <v>46102</v>
      </c>
      <c r="C108" s="116">
        <f t="shared" si="126"/>
        <v>0.0775</v>
      </c>
      <c r="D108" s="116">
        <f>((1+'AP05'!$C108)^(1/12))-1</f>
        <v>0.006239681461</v>
      </c>
      <c r="E108" s="51">
        <f t="shared" si="127"/>
        <v>2137.579999</v>
      </c>
      <c r="F108" s="51">
        <f>(Q107*'AP05'!$R108)*'AP05'!$D108</f>
        <v>1349.72555</v>
      </c>
      <c r="G108" s="51">
        <f>(Q107*'AP05'!$R108)/($I$5-A107)</f>
        <v>810.1618493</v>
      </c>
      <c r="H108" s="52">
        <f t="shared" ref="H108:L108" si="157">H107</f>
        <v>0</v>
      </c>
      <c r="I108" s="52">
        <f t="shared" si="157"/>
        <v>0</v>
      </c>
      <c r="J108" s="51">
        <f t="shared" si="157"/>
        <v>25</v>
      </c>
      <c r="K108" s="52">
        <f t="shared" si="157"/>
        <v>0</v>
      </c>
      <c r="L108" s="52">
        <f t="shared" si="157"/>
        <v>0</v>
      </c>
      <c r="M108" s="52"/>
      <c r="N108" s="85">
        <f>SUM('AP05'!$F108:$L108)</f>
        <v>2184.887399</v>
      </c>
      <c r="O108" s="51"/>
      <c r="P108" s="51">
        <f>Q107*('AP05'!$R108-1)</f>
        <v>0</v>
      </c>
      <c r="Q108" s="51">
        <f>(Q107*'AP05'!$R108)-'AP05'!$G108</f>
        <v>215503.0519</v>
      </c>
      <c r="R108" s="53">
        <f t="shared" si="149"/>
        <v>1</v>
      </c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56">
        <f t="shared" si="2"/>
        <v>95</v>
      </c>
      <c r="B109" s="50">
        <f t="shared" si="5"/>
        <v>46133</v>
      </c>
      <c r="C109" s="116">
        <f t="shared" si="126"/>
        <v>0.0775</v>
      </c>
      <c r="D109" s="116">
        <f>((1+'AP05'!$C109)^(1/12))-1</f>
        <v>0.006239681461</v>
      </c>
      <c r="E109" s="51">
        <f t="shared" si="127"/>
        <v>2137.579999</v>
      </c>
      <c r="F109" s="51">
        <f>(Q108*'AP05'!$R109)*'AP05'!$D109</f>
        <v>1344.670398</v>
      </c>
      <c r="G109" s="51">
        <f>(Q108*'AP05'!$R109)/($I$5-A108)</f>
        <v>810.1618493</v>
      </c>
      <c r="H109" s="52">
        <f t="shared" ref="H109:L109" si="158">H108</f>
        <v>0</v>
      </c>
      <c r="I109" s="52">
        <f t="shared" si="158"/>
        <v>0</v>
      </c>
      <c r="J109" s="51">
        <f t="shared" si="158"/>
        <v>25</v>
      </c>
      <c r="K109" s="52">
        <f t="shared" si="158"/>
        <v>0</v>
      </c>
      <c r="L109" s="52">
        <f t="shared" si="158"/>
        <v>0</v>
      </c>
      <c r="M109" s="52"/>
      <c r="N109" s="85">
        <f>SUM('AP05'!$F109:$L109)</f>
        <v>2179.832247</v>
      </c>
      <c r="O109" s="51"/>
      <c r="P109" s="51">
        <f>Q108*('AP05'!$R109-1)</f>
        <v>0</v>
      </c>
      <c r="Q109" s="51">
        <f>(Q108*'AP05'!$R109)-'AP05'!$G109</f>
        <v>214692.8901</v>
      </c>
      <c r="R109" s="53">
        <f t="shared" si="149"/>
        <v>1</v>
      </c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56">
        <f t="shared" si="2"/>
        <v>96</v>
      </c>
      <c r="B110" s="50">
        <f t="shared" si="5"/>
        <v>46163</v>
      </c>
      <c r="C110" s="116">
        <f t="shared" si="126"/>
        <v>0.0775</v>
      </c>
      <c r="D110" s="116">
        <f>((1+'AP05'!$C110)^(1/12))-1</f>
        <v>0.006239681461</v>
      </c>
      <c r="E110" s="51">
        <f t="shared" si="127"/>
        <v>2137.579999</v>
      </c>
      <c r="F110" s="51">
        <f>(Q109*'AP05'!$R110)*'AP05'!$D110</f>
        <v>1339.615246</v>
      </c>
      <c r="G110" s="51">
        <f>(Q109*'AP05'!$R110)/($I$5-A109)</f>
        <v>810.1618493</v>
      </c>
      <c r="H110" s="52">
        <f t="shared" ref="H110:L110" si="159">H109</f>
        <v>0</v>
      </c>
      <c r="I110" s="52">
        <f t="shared" si="159"/>
        <v>0</v>
      </c>
      <c r="J110" s="51">
        <f t="shared" si="159"/>
        <v>25</v>
      </c>
      <c r="K110" s="52">
        <f t="shared" si="159"/>
        <v>0</v>
      </c>
      <c r="L110" s="52">
        <f t="shared" si="159"/>
        <v>0</v>
      </c>
      <c r="M110" s="52"/>
      <c r="N110" s="85">
        <f>SUM('AP05'!$F110:$L110)</f>
        <v>2174.777095</v>
      </c>
      <c r="O110" s="51"/>
      <c r="P110" s="51">
        <f>Q109*('AP05'!$R110-1)</f>
        <v>0</v>
      </c>
      <c r="Q110" s="51">
        <f>(Q109*'AP05'!$R110)-'AP05'!$G110</f>
        <v>213882.7282</v>
      </c>
      <c r="R110" s="53">
        <f t="shared" si="149"/>
        <v>1</v>
      </c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56">
        <f t="shared" si="2"/>
        <v>97</v>
      </c>
      <c r="B111" s="50">
        <f t="shared" si="5"/>
        <v>46194</v>
      </c>
      <c r="C111" s="116">
        <f t="shared" si="126"/>
        <v>0.0775</v>
      </c>
      <c r="D111" s="116">
        <f>((1+'AP05'!$C111)^(1/12))-1</f>
        <v>0.006239681461</v>
      </c>
      <c r="E111" s="51">
        <f t="shared" si="127"/>
        <v>2137.579999</v>
      </c>
      <c r="F111" s="51">
        <f>(Q110*'AP05'!$R111)*'AP05'!$D111</f>
        <v>1334.560094</v>
      </c>
      <c r="G111" s="51">
        <f>(Q110*'AP05'!$R111)/($I$5-A110)</f>
        <v>810.1618493</v>
      </c>
      <c r="H111" s="52">
        <f t="shared" ref="H111:L111" si="160">H110</f>
        <v>0</v>
      </c>
      <c r="I111" s="52">
        <f t="shared" si="160"/>
        <v>0</v>
      </c>
      <c r="J111" s="51">
        <f t="shared" si="160"/>
        <v>25</v>
      </c>
      <c r="K111" s="52">
        <f t="shared" si="160"/>
        <v>0</v>
      </c>
      <c r="L111" s="52">
        <f t="shared" si="160"/>
        <v>0</v>
      </c>
      <c r="M111" s="52"/>
      <c r="N111" s="85">
        <f>SUM('AP05'!$F111:$L111)</f>
        <v>2169.721943</v>
      </c>
      <c r="O111" s="51"/>
      <c r="P111" s="51">
        <f>Q110*('AP05'!$R111-1)</f>
        <v>0</v>
      </c>
      <c r="Q111" s="51">
        <f>(Q110*'AP05'!$R111)-'AP05'!$G111</f>
        <v>213072.5664</v>
      </c>
      <c r="R111" s="53">
        <f t="shared" si="149"/>
        <v>1</v>
      </c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56">
        <f t="shared" si="2"/>
        <v>98</v>
      </c>
      <c r="B112" s="50">
        <f t="shared" si="5"/>
        <v>46224</v>
      </c>
      <c r="C112" s="116">
        <f t="shared" si="126"/>
        <v>0.0775</v>
      </c>
      <c r="D112" s="116">
        <f>((1+'AP05'!$C112)^(1/12))-1</f>
        <v>0.006239681461</v>
      </c>
      <c r="E112" s="51">
        <f t="shared" si="127"/>
        <v>2137.579999</v>
      </c>
      <c r="F112" s="51">
        <f>(Q111*'AP05'!$R112)*'AP05'!$D112</f>
        <v>1329.504942</v>
      </c>
      <c r="G112" s="51">
        <f>(Q111*'AP05'!$R112)/($I$5-A111)</f>
        <v>810.1618493</v>
      </c>
      <c r="H112" s="52">
        <f t="shared" ref="H112:L112" si="161">H111</f>
        <v>0</v>
      </c>
      <c r="I112" s="52">
        <f t="shared" si="161"/>
        <v>0</v>
      </c>
      <c r="J112" s="51">
        <f t="shared" si="161"/>
        <v>25</v>
      </c>
      <c r="K112" s="52">
        <f t="shared" si="161"/>
        <v>0</v>
      </c>
      <c r="L112" s="52">
        <f t="shared" si="161"/>
        <v>0</v>
      </c>
      <c r="M112" s="52"/>
      <c r="N112" s="85">
        <f>SUM('AP05'!$F112:$L112)</f>
        <v>2164.666792</v>
      </c>
      <c r="O112" s="51"/>
      <c r="P112" s="51">
        <f>Q111*('AP05'!$R112-1)</f>
        <v>0</v>
      </c>
      <c r="Q112" s="51">
        <f>(Q111*'AP05'!$R112)-'AP05'!$G112</f>
        <v>212262.4045</v>
      </c>
      <c r="R112" s="53">
        <f t="shared" si="149"/>
        <v>1</v>
      </c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56">
        <f t="shared" si="2"/>
        <v>99</v>
      </c>
      <c r="B113" s="50">
        <f t="shared" si="5"/>
        <v>46255</v>
      </c>
      <c r="C113" s="116">
        <f t="shared" si="126"/>
        <v>0.0775</v>
      </c>
      <c r="D113" s="116">
        <f>((1+'AP05'!$C113)^(1/12))-1</f>
        <v>0.006239681461</v>
      </c>
      <c r="E113" s="51">
        <f t="shared" si="127"/>
        <v>2137.579999</v>
      </c>
      <c r="F113" s="51">
        <f>(Q112*'AP05'!$R113)*'AP05'!$D113</f>
        <v>1324.44979</v>
      </c>
      <c r="G113" s="51">
        <f>(Q112*'AP05'!$R113)/($I$5-A112)</f>
        <v>810.1618493</v>
      </c>
      <c r="H113" s="52">
        <f t="shared" ref="H113:L113" si="162">H112</f>
        <v>0</v>
      </c>
      <c r="I113" s="52">
        <f t="shared" si="162"/>
        <v>0</v>
      </c>
      <c r="J113" s="51">
        <f t="shared" si="162"/>
        <v>25</v>
      </c>
      <c r="K113" s="52">
        <f t="shared" si="162"/>
        <v>0</v>
      </c>
      <c r="L113" s="52">
        <f t="shared" si="162"/>
        <v>0</v>
      </c>
      <c r="M113" s="52"/>
      <c r="N113" s="85">
        <f>SUM('AP05'!$F113:$L113)</f>
        <v>2159.61164</v>
      </c>
      <c r="O113" s="51"/>
      <c r="P113" s="51">
        <f>Q112*('AP05'!$R113-1)</f>
        <v>0</v>
      </c>
      <c r="Q113" s="51">
        <f>(Q112*'AP05'!$R113)-'AP05'!$G113</f>
        <v>211452.2427</v>
      </c>
      <c r="R113" s="53">
        <f t="shared" si="149"/>
        <v>1</v>
      </c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56">
        <f t="shared" si="2"/>
        <v>100</v>
      </c>
      <c r="B114" s="50">
        <f t="shared" si="5"/>
        <v>46286</v>
      </c>
      <c r="C114" s="116">
        <f t="shared" si="126"/>
        <v>0.0775</v>
      </c>
      <c r="D114" s="116">
        <f>((1+'AP05'!$C114)^(1/12))-1</f>
        <v>0.006239681461</v>
      </c>
      <c r="E114" s="51">
        <f t="shared" si="127"/>
        <v>2137.579999</v>
      </c>
      <c r="F114" s="51">
        <f>(Q113*'AP05'!$R114)*'AP05'!$D114</f>
        <v>1319.394639</v>
      </c>
      <c r="G114" s="51">
        <f>(Q113*'AP05'!$R114)/($I$5-A113)</f>
        <v>810.1618493</v>
      </c>
      <c r="H114" s="52">
        <f t="shared" ref="H114:L114" si="163">H113</f>
        <v>0</v>
      </c>
      <c r="I114" s="52">
        <f t="shared" si="163"/>
        <v>0</v>
      </c>
      <c r="J114" s="51">
        <f t="shared" si="163"/>
        <v>25</v>
      </c>
      <c r="K114" s="52">
        <f t="shared" si="163"/>
        <v>0</v>
      </c>
      <c r="L114" s="52">
        <f t="shared" si="163"/>
        <v>0</v>
      </c>
      <c r="M114" s="52"/>
      <c r="N114" s="85">
        <f>SUM('AP05'!$F114:$L114)</f>
        <v>2154.556488</v>
      </c>
      <c r="O114" s="51"/>
      <c r="P114" s="51">
        <f>Q113*('AP05'!$R114-1)</f>
        <v>0</v>
      </c>
      <c r="Q114" s="51">
        <f>(Q113*'AP05'!$R114)-'AP05'!$G114</f>
        <v>210642.0808</v>
      </c>
      <c r="R114" s="53">
        <f t="shared" si="149"/>
        <v>1</v>
      </c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56">
        <f t="shared" si="2"/>
        <v>101</v>
      </c>
      <c r="B115" s="50">
        <f t="shared" si="5"/>
        <v>46316</v>
      </c>
      <c r="C115" s="116">
        <f t="shared" si="126"/>
        <v>0.0775</v>
      </c>
      <c r="D115" s="116">
        <f>((1+'AP05'!$C115)^(1/12))-1</f>
        <v>0.006239681461</v>
      </c>
      <c r="E115" s="51">
        <f t="shared" si="127"/>
        <v>2137.579999</v>
      </c>
      <c r="F115" s="51">
        <f>(Q114*'AP05'!$R115)*'AP05'!$D115</f>
        <v>1314.339487</v>
      </c>
      <c r="G115" s="51">
        <f>(Q114*'AP05'!$R115)/($I$5-A114)</f>
        <v>810.1618493</v>
      </c>
      <c r="H115" s="52">
        <f t="shared" ref="H115:L115" si="164">H114</f>
        <v>0</v>
      </c>
      <c r="I115" s="52">
        <f t="shared" si="164"/>
        <v>0</v>
      </c>
      <c r="J115" s="51">
        <f t="shared" si="164"/>
        <v>25</v>
      </c>
      <c r="K115" s="52">
        <f t="shared" si="164"/>
        <v>0</v>
      </c>
      <c r="L115" s="52">
        <f t="shared" si="164"/>
        <v>0</v>
      </c>
      <c r="M115" s="52"/>
      <c r="N115" s="85">
        <f>SUM('AP05'!$F115:$L115)</f>
        <v>2149.501336</v>
      </c>
      <c r="O115" s="51"/>
      <c r="P115" s="51">
        <f>Q114*('AP05'!$R115-1)</f>
        <v>0</v>
      </c>
      <c r="Q115" s="51">
        <f>(Q114*'AP05'!$R115)-'AP05'!$G115</f>
        <v>209831.919</v>
      </c>
      <c r="R115" s="53">
        <f t="shared" si="149"/>
        <v>1</v>
      </c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56">
        <f t="shared" si="2"/>
        <v>102</v>
      </c>
      <c r="B116" s="50">
        <f t="shared" si="5"/>
        <v>46347</v>
      </c>
      <c r="C116" s="116">
        <f t="shared" si="126"/>
        <v>0.0775</v>
      </c>
      <c r="D116" s="116">
        <f>((1+'AP05'!$C116)^(1/12))-1</f>
        <v>0.006239681461</v>
      </c>
      <c r="E116" s="51">
        <f t="shared" si="127"/>
        <v>2137.579999</v>
      </c>
      <c r="F116" s="51">
        <f>(Q115*'AP05'!$R116)*'AP05'!$D116</f>
        <v>1309.284335</v>
      </c>
      <c r="G116" s="51">
        <f>(Q115*'AP05'!$R116)/($I$5-A115)</f>
        <v>810.1618493</v>
      </c>
      <c r="H116" s="52">
        <f t="shared" ref="H116:L116" si="165">H115</f>
        <v>0</v>
      </c>
      <c r="I116" s="52">
        <f t="shared" si="165"/>
        <v>0</v>
      </c>
      <c r="J116" s="51">
        <f t="shared" si="165"/>
        <v>25</v>
      </c>
      <c r="K116" s="52">
        <f t="shared" si="165"/>
        <v>0</v>
      </c>
      <c r="L116" s="52">
        <f t="shared" si="165"/>
        <v>0</v>
      </c>
      <c r="M116" s="52"/>
      <c r="N116" s="85">
        <f>SUM('AP05'!$F116:$L116)</f>
        <v>2144.446184</v>
      </c>
      <c r="O116" s="51"/>
      <c r="P116" s="51">
        <f>Q115*('AP05'!$R116-1)</f>
        <v>0</v>
      </c>
      <c r="Q116" s="51">
        <f>(Q115*'AP05'!$R116)-'AP05'!$G116</f>
        <v>209021.7571</v>
      </c>
      <c r="R116" s="53">
        <f t="shared" si="149"/>
        <v>1</v>
      </c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56">
        <f t="shared" si="2"/>
        <v>103</v>
      </c>
      <c r="B117" s="50">
        <f t="shared" si="5"/>
        <v>46377</v>
      </c>
      <c r="C117" s="116">
        <f t="shared" si="126"/>
        <v>0.0775</v>
      </c>
      <c r="D117" s="116">
        <f>((1+'AP05'!$C117)^(1/12))-1</f>
        <v>0.006239681461</v>
      </c>
      <c r="E117" s="51">
        <f t="shared" si="127"/>
        <v>2137.579999</v>
      </c>
      <c r="F117" s="51">
        <f>(Q116*'AP05'!$R117)*'AP05'!$D117</f>
        <v>1304.229183</v>
      </c>
      <c r="G117" s="51">
        <f>(Q116*'AP05'!$R117)/($I$5-A116)</f>
        <v>810.1618493</v>
      </c>
      <c r="H117" s="52">
        <f t="shared" ref="H117:L117" si="166">H116</f>
        <v>0</v>
      </c>
      <c r="I117" s="52">
        <f t="shared" si="166"/>
        <v>0</v>
      </c>
      <c r="J117" s="51">
        <f t="shared" si="166"/>
        <v>25</v>
      </c>
      <c r="K117" s="52">
        <f t="shared" si="166"/>
        <v>0</v>
      </c>
      <c r="L117" s="52">
        <f t="shared" si="166"/>
        <v>0</v>
      </c>
      <c r="M117" s="52"/>
      <c r="N117" s="85">
        <f>SUM('AP05'!$F117:$L117)</f>
        <v>2139.391032</v>
      </c>
      <c r="O117" s="51"/>
      <c r="P117" s="51">
        <f>Q116*('AP05'!$R117-1)</f>
        <v>0</v>
      </c>
      <c r="Q117" s="51">
        <f>(Q116*'AP05'!$R117)-'AP05'!$G117</f>
        <v>208211.5953</v>
      </c>
      <c r="R117" s="53">
        <f t="shared" si="149"/>
        <v>1</v>
      </c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56">
        <f t="shared" si="2"/>
        <v>104</v>
      </c>
      <c r="B118" s="50">
        <f t="shared" si="5"/>
        <v>46408</v>
      </c>
      <c r="C118" s="116">
        <f t="shared" si="126"/>
        <v>0.0775</v>
      </c>
      <c r="D118" s="116">
        <f>((1+'AP05'!$C118)^(1/12))-1</f>
        <v>0.006239681461</v>
      </c>
      <c r="E118" s="51">
        <f t="shared" si="127"/>
        <v>2137.579999</v>
      </c>
      <c r="F118" s="51">
        <f>(Q117*'AP05'!$R118)*'AP05'!$D118</f>
        <v>1299.174031</v>
      </c>
      <c r="G118" s="51">
        <f>(Q117*'AP05'!$R118)/($I$5-A117)</f>
        <v>810.1618493</v>
      </c>
      <c r="H118" s="52">
        <f t="shared" ref="H118:L118" si="167">H117</f>
        <v>0</v>
      </c>
      <c r="I118" s="52">
        <f t="shared" si="167"/>
        <v>0</v>
      </c>
      <c r="J118" s="51">
        <f t="shared" si="167"/>
        <v>25</v>
      </c>
      <c r="K118" s="52">
        <f t="shared" si="167"/>
        <v>0</v>
      </c>
      <c r="L118" s="52">
        <f t="shared" si="167"/>
        <v>0</v>
      </c>
      <c r="M118" s="52"/>
      <c r="N118" s="85">
        <f>SUM('AP05'!$F118:$L118)</f>
        <v>2134.33588</v>
      </c>
      <c r="O118" s="51"/>
      <c r="P118" s="51">
        <f>Q117*('AP05'!$R118-1)</f>
        <v>0</v>
      </c>
      <c r="Q118" s="51">
        <f>(Q117*'AP05'!$R118)-'AP05'!$G118</f>
        <v>207401.4334</v>
      </c>
      <c r="R118" s="53">
        <f t="shared" si="149"/>
        <v>1</v>
      </c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56">
        <f t="shared" si="2"/>
        <v>105</v>
      </c>
      <c r="B119" s="50">
        <f t="shared" si="5"/>
        <v>46439</v>
      </c>
      <c r="C119" s="116">
        <f t="shared" si="126"/>
        <v>0.0775</v>
      </c>
      <c r="D119" s="116">
        <f>((1+'AP05'!$C119)^(1/12))-1</f>
        <v>0.006239681461</v>
      </c>
      <c r="E119" s="51">
        <f t="shared" si="127"/>
        <v>2137.579999</v>
      </c>
      <c r="F119" s="51">
        <f>(Q118*'AP05'!$R119)*'AP05'!$D119</f>
        <v>1294.118879</v>
      </c>
      <c r="G119" s="51">
        <f>(Q118*'AP05'!$R119)/($I$5-A118)</f>
        <v>810.1618493</v>
      </c>
      <c r="H119" s="52">
        <f t="shared" ref="H119:L119" si="168">H118</f>
        <v>0</v>
      </c>
      <c r="I119" s="52">
        <f t="shared" si="168"/>
        <v>0</v>
      </c>
      <c r="J119" s="51">
        <f t="shared" si="168"/>
        <v>25</v>
      </c>
      <c r="K119" s="52">
        <f t="shared" si="168"/>
        <v>0</v>
      </c>
      <c r="L119" s="52">
        <f t="shared" si="168"/>
        <v>0</v>
      </c>
      <c r="M119" s="52"/>
      <c r="N119" s="85">
        <f>SUM('AP05'!$F119:$L119)</f>
        <v>2129.280728</v>
      </c>
      <c r="O119" s="51"/>
      <c r="P119" s="51">
        <f>Q118*('AP05'!$R119-1)</f>
        <v>0</v>
      </c>
      <c r="Q119" s="51">
        <f>(Q118*'AP05'!$R119)-'AP05'!$G119</f>
        <v>206591.2716</v>
      </c>
      <c r="R119" s="53">
        <f t="shared" si="149"/>
        <v>1</v>
      </c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6">
        <f t="shared" si="2"/>
        <v>106</v>
      </c>
      <c r="B120" s="50">
        <f t="shared" si="5"/>
        <v>46467</v>
      </c>
      <c r="C120" s="116">
        <f t="shared" si="126"/>
        <v>0.0775</v>
      </c>
      <c r="D120" s="116">
        <f>((1+'AP05'!$C120)^(1/12))-1</f>
        <v>0.006239681461</v>
      </c>
      <c r="E120" s="51">
        <f t="shared" si="127"/>
        <v>2137.579999</v>
      </c>
      <c r="F120" s="51">
        <f>(Q119*'AP05'!$R120)*'AP05'!$D120</f>
        <v>1289.063727</v>
      </c>
      <c r="G120" s="51">
        <f>(Q119*'AP05'!$R120)/($I$5-A119)</f>
        <v>810.1618493</v>
      </c>
      <c r="H120" s="52">
        <f t="shared" ref="H120:L120" si="169">H119</f>
        <v>0</v>
      </c>
      <c r="I120" s="52">
        <f t="shared" si="169"/>
        <v>0</v>
      </c>
      <c r="J120" s="51">
        <f t="shared" si="169"/>
        <v>25</v>
      </c>
      <c r="K120" s="52">
        <f t="shared" si="169"/>
        <v>0</v>
      </c>
      <c r="L120" s="52">
        <f t="shared" si="169"/>
        <v>0</v>
      </c>
      <c r="M120" s="52"/>
      <c r="N120" s="85">
        <f>SUM('AP05'!$F120:$L120)</f>
        <v>2124.225577</v>
      </c>
      <c r="O120" s="51"/>
      <c r="P120" s="51">
        <f>Q119*('AP05'!$R120-1)</f>
        <v>0</v>
      </c>
      <c r="Q120" s="51">
        <f>(Q119*'AP05'!$R120)-'AP05'!$G120</f>
        <v>205781.1097</v>
      </c>
      <c r="R120" s="53">
        <f t="shared" si="149"/>
        <v>1</v>
      </c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56">
        <f t="shared" si="2"/>
        <v>107</v>
      </c>
      <c r="B121" s="50">
        <f t="shared" si="5"/>
        <v>46498</v>
      </c>
      <c r="C121" s="116">
        <f t="shared" si="126"/>
        <v>0.0775</v>
      </c>
      <c r="D121" s="116">
        <f>((1+'AP05'!$C121)^(1/12))-1</f>
        <v>0.006239681461</v>
      </c>
      <c r="E121" s="51">
        <f t="shared" si="127"/>
        <v>2137.579999</v>
      </c>
      <c r="F121" s="51">
        <f>(Q120*'AP05'!$R121)*'AP05'!$D121</f>
        <v>1284.008575</v>
      </c>
      <c r="G121" s="51">
        <f>(Q120*'AP05'!$R121)/($I$5-A120)</f>
        <v>810.1618493</v>
      </c>
      <c r="H121" s="52">
        <f t="shared" ref="H121:L121" si="170">H120</f>
        <v>0</v>
      </c>
      <c r="I121" s="52">
        <f t="shared" si="170"/>
        <v>0</v>
      </c>
      <c r="J121" s="51">
        <f t="shared" si="170"/>
        <v>25</v>
      </c>
      <c r="K121" s="52">
        <f t="shared" si="170"/>
        <v>0</v>
      </c>
      <c r="L121" s="52">
        <f t="shared" si="170"/>
        <v>0</v>
      </c>
      <c r="M121" s="52"/>
      <c r="N121" s="85">
        <f>SUM('AP05'!$F121:$L121)</f>
        <v>2119.170425</v>
      </c>
      <c r="O121" s="51"/>
      <c r="P121" s="51">
        <f>Q120*('AP05'!$R121-1)</f>
        <v>0</v>
      </c>
      <c r="Q121" s="51">
        <f>(Q120*'AP05'!$R121)-'AP05'!$G121</f>
        <v>204970.9479</v>
      </c>
      <c r="R121" s="53">
        <f t="shared" si="149"/>
        <v>1</v>
      </c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56">
        <f t="shared" si="2"/>
        <v>108</v>
      </c>
      <c r="B122" s="50">
        <f t="shared" si="5"/>
        <v>46528</v>
      </c>
      <c r="C122" s="116">
        <f t="shared" si="126"/>
        <v>0.0775</v>
      </c>
      <c r="D122" s="116">
        <f>((1+'AP05'!$C122)^(1/12))-1</f>
        <v>0.006239681461</v>
      </c>
      <c r="E122" s="51">
        <f t="shared" si="127"/>
        <v>2137.579999</v>
      </c>
      <c r="F122" s="51">
        <f>(Q121*'AP05'!$R122)*'AP05'!$D122</f>
        <v>1278.953424</v>
      </c>
      <c r="G122" s="51">
        <f>(Q121*'AP05'!$R122)/($I$5-A121)</f>
        <v>810.1618493</v>
      </c>
      <c r="H122" s="52">
        <f t="shared" ref="H122:L122" si="171">H121</f>
        <v>0</v>
      </c>
      <c r="I122" s="52">
        <f t="shared" si="171"/>
        <v>0</v>
      </c>
      <c r="J122" s="51">
        <f t="shared" si="171"/>
        <v>25</v>
      </c>
      <c r="K122" s="52">
        <f t="shared" si="171"/>
        <v>0</v>
      </c>
      <c r="L122" s="52">
        <f t="shared" si="171"/>
        <v>0</v>
      </c>
      <c r="M122" s="52"/>
      <c r="N122" s="85">
        <f>SUM('AP05'!$F122:$L122)</f>
        <v>2114.115273</v>
      </c>
      <c r="O122" s="51"/>
      <c r="P122" s="51">
        <f>Q121*('AP05'!$R122-1)</f>
        <v>0</v>
      </c>
      <c r="Q122" s="51">
        <f>(Q121*'AP05'!$R122)-'AP05'!$G122</f>
        <v>204160.786</v>
      </c>
      <c r="R122" s="53">
        <f t="shared" si="149"/>
        <v>1</v>
      </c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56">
        <f t="shared" si="2"/>
        <v>109</v>
      </c>
      <c r="B123" s="50">
        <f t="shared" si="5"/>
        <v>46559</v>
      </c>
      <c r="C123" s="116">
        <f t="shared" si="126"/>
        <v>0.0775</v>
      </c>
      <c r="D123" s="116">
        <f>((1+'AP05'!$C123)^(1/12))-1</f>
        <v>0.006239681461</v>
      </c>
      <c r="E123" s="51">
        <f t="shared" si="127"/>
        <v>2137.579999</v>
      </c>
      <c r="F123" s="51">
        <f>(Q122*'AP05'!$R123)*'AP05'!$D123</f>
        <v>1273.898272</v>
      </c>
      <c r="G123" s="51">
        <f>(Q122*'AP05'!$R123)/($I$5-A122)</f>
        <v>810.1618493</v>
      </c>
      <c r="H123" s="52">
        <f t="shared" ref="H123:L123" si="172">H122</f>
        <v>0</v>
      </c>
      <c r="I123" s="52">
        <f t="shared" si="172"/>
        <v>0</v>
      </c>
      <c r="J123" s="51">
        <f t="shared" si="172"/>
        <v>25</v>
      </c>
      <c r="K123" s="52">
        <f t="shared" si="172"/>
        <v>0</v>
      </c>
      <c r="L123" s="52">
        <f t="shared" si="172"/>
        <v>0</v>
      </c>
      <c r="M123" s="52"/>
      <c r="N123" s="85">
        <f>SUM('AP05'!$F123:$L123)</f>
        <v>2109.060121</v>
      </c>
      <c r="O123" s="51"/>
      <c r="P123" s="51">
        <f>Q122*('AP05'!$R123-1)</f>
        <v>0</v>
      </c>
      <c r="Q123" s="51">
        <f>(Q122*'AP05'!$R123)-'AP05'!$G123</f>
        <v>203350.6242</v>
      </c>
      <c r="R123" s="53">
        <f t="shared" si="149"/>
        <v>1</v>
      </c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56">
        <f t="shared" si="2"/>
        <v>110</v>
      </c>
      <c r="B124" s="50">
        <f t="shared" si="5"/>
        <v>46589</v>
      </c>
      <c r="C124" s="116">
        <f t="shared" si="126"/>
        <v>0.0775</v>
      </c>
      <c r="D124" s="116">
        <f>((1+'AP05'!$C124)^(1/12))-1</f>
        <v>0.006239681461</v>
      </c>
      <c r="E124" s="51">
        <f t="shared" si="127"/>
        <v>2137.579999</v>
      </c>
      <c r="F124" s="51">
        <f>(Q123*'AP05'!$R124)*'AP05'!$D124</f>
        <v>1268.84312</v>
      </c>
      <c r="G124" s="51">
        <f>(Q123*'AP05'!$R124)/($I$5-A123)</f>
        <v>810.1618493</v>
      </c>
      <c r="H124" s="52">
        <f t="shared" ref="H124:L124" si="173">H123</f>
        <v>0</v>
      </c>
      <c r="I124" s="52">
        <f t="shared" si="173"/>
        <v>0</v>
      </c>
      <c r="J124" s="51">
        <f t="shared" si="173"/>
        <v>25</v>
      </c>
      <c r="K124" s="52">
        <f t="shared" si="173"/>
        <v>0</v>
      </c>
      <c r="L124" s="52">
        <f t="shared" si="173"/>
        <v>0</v>
      </c>
      <c r="M124" s="52"/>
      <c r="N124" s="85">
        <f>SUM('AP05'!$F124:$L124)</f>
        <v>2104.004969</v>
      </c>
      <c r="O124" s="51"/>
      <c r="P124" s="51">
        <f>Q123*('AP05'!$R124-1)</f>
        <v>0</v>
      </c>
      <c r="Q124" s="51">
        <f>(Q123*'AP05'!$R124)-'AP05'!$G124</f>
        <v>202540.4623</v>
      </c>
      <c r="R124" s="53">
        <f t="shared" si="149"/>
        <v>1</v>
      </c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56">
        <f t="shared" si="2"/>
        <v>111</v>
      </c>
      <c r="B125" s="50">
        <f t="shared" si="5"/>
        <v>46620</v>
      </c>
      <c r="C125" s="116">
        <f t="shared" si="126"/>
        <v>0.0775</v>
      </c>
      <c r="D125" s="116">
        <f>((1+'AP05'!$C125)^(1/12))-1</f>
        <v>0.006239681461</v>
      </c>
      <c r="E125" s="51">
        <f t="shared" si="127"/>
        <v>2137.579999</v>
      </c>
      <c r="F125" s="51">
        <f>(Q124*'AP05'!$R125)*'AP05'!$D125</f>
        <v>1263.787968</v>
      </c>
      <c r="G125" s="51">
        <f>(Q124*'AP05'!$R125)/($I$5-A124)</f>
        <v>810.1618493</v>
      </c>
      <c r="H125" s="52">
        <f t="shared" ref="H125:L125" si="174">H124</f>
        <v>0</v>
      </c>
      <c r="I125" s="52">
        <f t="shared" si="174"/>
        <v>0</v>
      </c>
      <c r="J125" s="51">
        <f t="shared" si="174"/>
        <v>25</v>
      </c>
      <c r="K125" s="52">
        <f t="shared" si="174"/>
        <v>0</v>
      </c>
      <c r="L125" s="52">
        <f t="shared" si="174"/>
        <v>0</v>
      </c>
      <c r="M125" s="52"/>
      <c r="N125" s="85">
        <f>SUM('AP05'!$F125:$L125)</f>
        <v>2098.949817</v>
      </c>
      <c r="O125" s="51"/>
      <c r="P125" s="51">
        <f>Q124*('AP05'!$R125-1)</f>
        <v>0</v>
      </c>
      <c r="Q125" s="51">
        <f>(Q124*'AP05'!$R125)-'AP05'!$G125</f>
        <v>201730.3005</v>
      </c>
      <c r="R125" s="53">
        <f t="shared" si="149"/>
        <v>1</v>
      </c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56">
        <f t="shared" si="2"/>
        <v>112</v>
      </c>
      <c r="B126" s="50">
        <f t="shared" si="5"/>
        <v>46651</v>
      </c>
      <c r="C126" s="116">
        <f t="shared" si="126"/>
        <v>0.0775</v>
      </c>
      <c r="D126" s="116">
        <f>((1+'AP05'!$C126)^(1/12))-1</f>
        <v>0.006239681461</v>
      </c>
      <c r="E126" s="51">
        <f t="shared" si="127"/>
        <v>2137.579999</v>
      </c>
      <c r="F126" s="51">
        <f>(Q125*'AP05'!$R126)*'AP05'!$D126</f>
        <v>1258.732816</v>
      </c>
      <c r="G126" s="51">
        <f>(Q125*'AP05'!$R126)/($I$5-A125)</f>
        <v>810.1618493</v>
      </c>
      <c r="H126" s="52">
        <f t="shared" ref="H126:L126" si="175">H125</f>
        <v>0</v>
      </c>
      <c r="I126" s="52">
        <f t="shared" si="175"/>
        <v>0</v>
      </c>
      <c r="J126" s="51">
        <f t="shared" si="175"/>
        <v>25</v>
      </c>
      <c r="K126" s="52">
        <f t="shared" si="175"/>
        <v>0</v>
      </c>
      <c r="L126" s="52">
        <f t="shared" si="175"/>
        <v>0</v>
      </c>
      <c r="M126" s="52"/>
      <c r="N126" s="85">
        <f>SUM('AP05'!$F126:$L126)</f>
        <v>2093.894665</v>
      </c>
      <c r="O126" s="51"/>
      <c r="P126" s="51">
        <f>Q125*('AP05'!$R126-1)</f>
        <v>0</v>
      </c>
      <c r="Q126" s="51">
        <f>(Q125*'AP05'!$R126)-'AP05'!$G126</f>
        <v>200920.1386</v>
      </c>
      <c r="R126" s="53">
        <f t="shared" si="149"/>
        <v>1</v>
      </c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56">
        <f t="shared" si="2"/>
        <v>113</v>
      </c>
      <c r="B127" s="50">
        <f t="shared" si="5"/>
        <v>46681</v>
      </c>
      <c r="C127" s="116">
        <f t="shared" si="126"/>
        <v>0.0775</v>
      </c>
      <c r="D127" s="116">
        <f>((1+'AP05'!$C127)^(1/12))-1</f>
        <v>0.006239681461</v>
      </c>
      <c r="E127" s="51">
        <f t="shared" si="127"/>
        <v>2137.579999</v>
      </c>
      <c r="F127" s="51">
        <f>(Q126*'AP05'!$R127)*'AP05'!$D127</f>
        <v>1253.677664</v>
      </c>
      <c r="G127" s="51">
        <f>(Q126*'AP05'!$R127)/($I$5-A126)</f>
        <v>810.1618493</v>
      </c>
      <c r="H127" s="52">
        <f t="shared" ref="H127:L127" si="176">H126</f>
        <v>0</v>
      </c>
      <c r="I127" s="52">
        <f t="shared" si="176"/>
        <v>0</v>
      </c>
      <c r="J127" s="51">
        <f t="shared" si="176"/>
        <v>25</v>
      </c>
      <c r="K127" s="52">
        <f t="shared" si="176"/>
        <v>0</v>
      </c>
      <c r="L127" s="52">
        <f t="shared" si="176"/>
        <v>0</v>
      </c>
      <c r="M127" s="52"/>
      <c r="N127" s="85">
        <f>SUM('AP05'!$F127:$L127)</f>
        <v>2088.839514</v>
      </c>
      <c r="O127" s="51"/>
      <c r="P127" s="51">
        <f>Q126*('AP05'!$R127-1)</f>
        <v>0</v>
      </c>
      <c r="Q127" s="51">
        <f>(Q126*'AP05'!$R127)-'AP05'!$G127</f>
        <v>200109.9768</v>
      </c>
      <c r="R127" s="53">
        <f t="shared" si="149"/>
        <v>1</v>
      </c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56">
        <f t="shared" si="2"/>
        <v>114</v>
      </c>
      <c r="B128" s="50">
        <f t="shared" si="5"/>
        <v>46712</v>
      </c>
      <c r="C128" s="116">
        <f t="shared" si="126"/>
        <v>0.0775</v>
      </c>
      <c r="D128" s="116">
        <f>((1+'AP05'!$C128)^(1/12))-1</f>
        <v>0.006239681461</v>
      </c>
      <c r="E128" s="51">
        <f t="shared" si="127"/>
        <v>2137.579999</v>
      </c>
      <c r="F128" s="51">
        <f>(Q127*'AP05'!$R128)*'AP05'!$D128</f>
        <v>1248.622512</v>
      </c>
      <c r="G128" s="51">
        <f>(Q127*'AP05'!$R128)/($I$5-A127)</f>
        <v>810.1618493</v>
      </c>
      <c r="H128" s="52">
        <f t="shared" ref="H128:L128" si="177">H127</f>
        <v>0</v>
      </c>
      <c r="I128" s="52">
        <f t="shared" si="177"/>
        <v>0</v>
      </c>
      <c r="J128" s="51">
        <f t="shared" si="177"/>
        <v>25</v>
      </c>
      <c r="K128" s="52">
        <f t="shared" si="177"/>
        <v>0</v>
      </c>
      <c r="L128" s="52">
        <f t="shared" si="177"/>
        <v>0</v>
      </c>
      <c r="M128" s="52"/>
      <c r="N128" s="85">
        <f>SUM('AP05'!$F128:$L128)</f>
        <v>2083.784362</v>
      </c>
      <c r="O128" s="51"/>
      <c r="P128" s="51">
        <f>Q127*('AP05'!$R128-1)</f>
        <v>0</v>
      </c>
      <c r="Q128" s="51">
        <f>(Q127*'AP05'!$R128)-'AP05'!$G128</f>
        <v>199299.8149</v>
      </c>
      <c r="R128" s="53">
        <f t="shared" si="149"/>
        <v>1</v>
      </c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56">
        <f t="shared" si="2"/>
        <v>115</v>
      </c>
      <c r="B129" s="50">
        <f t="shared" si="5"/>
        <v>46742</v>
      </c>
      <c r="C129" s="116">
        <f t="shared" si="126"/>
        <v>0.0775</v>
      </c>
      <c r="D129" s="116">
        <f>((1+'AP05'!$C129)^(1/12))-1</f>
        <v>0.006239681461</v>
      </c>
      <c r="E129" s="51">
        <f t="shared" si="127"/>
        <v>2137.579999</v>
      </c>
      <c r="F129" s="51">
        <f>(Q128*'AP05'!$R129)*'AP05'!$D129</f>
        <v>1243.56736</v>
      </c>
      <c r="G129" s="51">
        <f>(Q128*'AP05'!$R129)/($I$5-A128)</f>
        <v>810.1618493</v>
      </c>
      <c r="H129" s="52">
        <f t="shared" ref="H129:L129" si="178">H128</f>
        <v>0</v>
      </c>
      <c r="I129" s="52">
        <f t="shared" si="178"/>
        <v>0</v>
      </c>
      <c r="J129" s="51">
        <f t="shared" si="178"/>
        <v>25</v>
      </c>
      <c r="K129" s="52">
        <f t="shared" si="178"/>
        <v>0</v>
      </c>
      <c r="L129" s="52">
        <f t="shared" si="178"/>
        <v>0</v>
      </c>
      <c r="M129" s="52"/>
      <c r="N129" s="85">
        <f>SUM('AP05'!$F129:$L129)</f>
        <v>2078.72921</v>
      </c>
      <c r="O129" s="51"/>
      <c r="P129" s="51">
        <f>Q128*('AP05'!$R129-1)</f>
        <v>0</v>
      </c>
      <c r="Q129" s="51">
        <f>(Q128*'AP05'!$R129)-'AP05'!$G129</f>
        <v>198489.6531</v>
      </c>
      <c r="R129" s="53">
        <f t="shared" si="149"/>
        <v>1</v>
      </c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56">
        <f t="shared" si="2"/>
        <v>116</v>
      </c>
      <c r="B130" s="50">
        <f t="shared" si="5"/>
        <v>46773</v>
      </c>
      <c r="C130" s="116">
        <f t="shared" si="126"/>
        <v>0.0775</v>
      </c>
      <c r="D130" s="116">
        <f>((1+'AP05'!$C130)^(1/12))-1</f>
        <v>0.006239681461</v>
      </c>
      <c r="E130" s="51">
        <f t="shared" si="127"/>
        <v>2137.579999</v>
      </c>
      <c r="F130" s="51">
        <f>(Q129*'AP05'!$R130)*'AP05'!$D130</f>
        <v>1238.512209</v>
      </c>
      <c r="G130" s="51">
        <f>(Q129*'AP05'!$R130)/($I$5-A129)</f>
        <v>810.1618493</v>
      </c>
      <c r="H130" s="52">
        <f t="shared" ref="H130:L130" si="179">H129</f>
        <v>0</v>
      </c>
      <c r="I130" s="52">
        <f t="shared" si="179"/>
        <v>0</v>
      </c>
      <c r="J130" s="51">
        <f t="shared" si="179"/>
        <v>25</v>
      </c>
      <c r="K130" s="52">
        <f t="shared" si="179"/>
        <v>0</v>
      </c>
      <c r="L130" s="52">
        <f t="shared" si="179"/>
        <v>0</v>
      </c>
      <c r="M130" s="52"/>
      <c r="N130" s="85">
        <f>SUM('AP05'!$F130:$L130)</f>
        <v>2073.674058</v>
      </c>
      <c r="O130" s="51"/>
      <c r="P130" s="51">
        <f>Q129*('AP05'!$R130-1)</f>
        <v>0</v>
      </c>
      <c r="Q130" s="51">
        <f>(Q129*'AP05'!$R130)-'AP05'!$G130</f>
        <v>197679.4912</v>
      </c>
      <c r="R130" s="53">
        <f t="shared" si="149"/>
        <v>1</v>
      </c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56">
        <f t="shared" si="2"/>
        <v>117</v>
      </c>
      <c r="B131" s="50">
        <f t="shared" si="5"/>
        <v>46804</v>
      </c>
      <c r="C131" s="116">
        <f t="shared" si="126"/>
        <v>0.0775</v>
      </c>
      <c r="D131" s="116">
        <f>((1+'AP05'!$C131)^(1/12))-1</f>
        <v>0.006239681461</v>
      </c>
      <c r="E131" s="51">
        <f t="shared" si="127"/>
        <v>2137.579999</v>
      </c>
      <c r="F131" s="51">
        <f>(Q130*'AP05'!$R131)*'AP05'!$D131</f>
        <v>1233.457057</v>
      </c>
      <c r="G131" s="51">
        <f>(Q130*'AP05'!$R131)/($I$5-A130)</f>
        <v>810.1618493</v>
      </c>
      <c r="H131" s="52">
        <f t="shared" ref="H131:L131" si="180">H130</f>
        <v>0</v>
      </c>
      <c r="I131" s="52">
        <f t="shared" si="180"/>
        <v>0</v>
      </c>
      <c r="J131" s="51">
        <f t="shared" si="180"/>
        <v>25</v>
      </c>
      <c r="K131" s="52">
        <f t="shared" si="180"/>
        <v>0</v>
      </c>
      <c r="L131" s="52">
        <f t="shared" si="180"/>
        <v>0</v>
      </c>
      <c r="M131" s="52"/>
      <c r="N131" s="85">
        <f>SUM('AP05'!$F131:$L131)</f>
        <v>2068.618906</v>
      </c>
      <c r="O131" s="51"/>
      <c r="P131" s="51">
        <f>Q130*('AP05'!$R131-1)</f>
        <v>0</v>
      </c>
      <c r="Q131" s="51">
        <f>(Q130*'AP05'!$R131)-'AP05'!$G131</f>
        <v>196869.3294</v>
      </c>
      <c r="R131" s="53">
        <f t="shared" si="149"/>
        <v>1</v>
      </c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56">
        <f t="shared" si="2"/>
        <v>118</v>
      </c>
      <c r="B132" s="50">
        <f t="shared" si="5"/>
        <v>46833</v>
      </c>
      <c r="C132" s="116">
        <f t="shared" si="126"/>
        <v>0.0775</v>
      </c>
      <c r="D132" s="116">
        <f>((1+'AP05'!$C132)^(1/12))-1</f>
        <v>0.006239681461</v>
      </c>
      <c r="E132" s="51">
        <f t="shared" si="127"/>
        <v>2137.579999</v>
      </c>
      <c r="F132" s="51">
        <f>(Q131*'AP05'!$R132)*'AP05'!$D132</f>
        <v>1228.401905</v>
      </c>
      <c r="G132" s="51">
        <f>(Q131*'AP05'!$R132)/($I$5-A131)</f>
        <v>810.1618493</v>
      </c>
      <c r="H132" s="52">
        <f t="shared" ref="H132:L132" si="181">H131</f>
        <v>0</v>
      </c>
      <c r="I132" s="52">
        <f t="shared" si="181"/>
        <v>0</v>
      </c>
      <c r="J132" s="51">
        <f t="shared" si="181"/>
        <v>25</v>
      </c>
      <c r="K132" s="52">
        <f t="shared" si="181"/>
        <v>0</v>
      </c>
      <c r="L132" s="52">
        <f t="shared" si="181"/>
        <v>0</v>
      </c>
      <c r="M132" s="52"/>
      <c r="N132" s="85">
        <f>SUM('AP05'!$F132:$L132)</f>
        <v>2063.563754</v>
      </c>
      <c r="O132" s="51"/>
      <c r="P132" s="51">
        <f>Q131*('AP05'!$R132-1)</f>
        <v>0</v>
      </c>
      <c r="Q132" s="51">
        <f>(Q131*'AP05'!$R132)-'AP05'!$G132</f>
        <v>196059.1675</v>
      </c>
      <c r="R132" s="53">
        <f t="shared" si="149"/>
        <v>1</v>
      </c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56">
        <f t="shared" si="2"/>
        <v>119</v>
      </c>
      <c r="B133" s="50">
        <f t="shared" si="5"/>
        <v>46864</v>
      </c>
      <c r="C133" s="116">
        <f t="shared" si="126"/>
        <v>0.0775</v>
      </c>
      <c r="D133" s="116">
        <f>((1+'AP05'!$C133)^(1/12))-1</f>
        <v>0.006239681461</v>
      </c>
      <c r="E133" s="51">
        <f t="shared" si="127"/>
        <v>2137.579999</v>
      </c>
      <c r="F133" s="51">
        <f>(Q132*'AP05'!$R133)*'AP05'!$D133</f>
        <v>1223.346753</v>
      </c>
      <c r="G133" s="51">
        <f>(Q132*'AP05'!$R133)/($I$5-A132)</f>
        <v>810.1618493</v>
      </c>
      <c r="H133" s="52">
        <f t="shared" ref="H133:L133" si="182">H132</f>
        <v>0</v>
      </c>
      <c r="I133" s="52">
        <f t="shared" si="182"/>
        <v>0</v>
      </c>
      <c r="J133" s="51">
        <f t="shared" si="182"/>
        <v>25</v>
      </c>
      <c r="K133" s="52">
        <f t="shared" si="182"/>
        <v>0</v>
      </c>
      <c r="L133" s="52">
        <f t="shared" si="182"/>
        <v>0</v>
      </c>
      <c r="M133" s="52"/>
      <c r="N133" s="85">
        <f>SUM('AP05'!$F133:$L133)</f>
        <v>2058.508602</v>
      </c>
      <c r="O133" s="51"/>
      <c r="P133" s="51">
        <f>Q132*('AP05'!$R133-1)</f>
        <v>0</v>
      </c>
      <c r="Q133" s="51">
        <f>(Q132*'AP05'!$R133)-'AP05'!$G133</f>
        <v>195249.0057</v>
      </c>
      <c r="R133" s="53">
        <f t="shared" si="149"/>
        <v>1</v>
      </c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56">
        <f t="shared" si="2"/>
        <v>120</v>
      </c>
      <c r="B134" s="50">
        <f t="shared" si="5"/>
        <v>46894</v>
      </c>
      <c r="C134" s="116">
        <f t="shared" si="126"/>
        <v>0.0775</v>
      </c>
      <c r="D134" s="116">
        <f>((1+'AP05'!$C134)^(1/12))-1</f>
        <v>0.006239681461</v>
      </c>
      <c r="E134" s="51">
        <f t="shared" si="127"/>
        <v>2137.579999</v>
      </c>
      <c r="F134" s="51">
        <f>(Q133*'AP05'!$R134)*'AP05'!$D134</f>
        <v>1218.291601</v>
      </c>
      <c r="G134" s="51">
        <f>(Q133*'AP05'!$R134)/($I$5-A133)</f>
        <v>810.1618493</v>
      </c>
      <c r="H134" s="52">
        <f t="shared" ref="H134:L134" si="183">H133</f>
        <v>0</v>
      </c>
      <c r="I134" s="52">
        <f t="shared" si="183"/>
        <v>0</v>
      </c>
      <c r="J134" s="51">
        <f t="shared" si="183"/>
        <v>25</v>
      </c>
      <c r="K134" s="52">
        <f t="shared" si="183"/>
        <v>0</v>
      </c>
      <c r="L134" s="52">
        <f t="shared" si="183"/>
        <v>0</v>
      </c>
      <c r="M134" s="52"/>
      <c r="N134" s="85">
        <f>SUM('AP05'!$F134:$L134)</f>
        <v>2053.45345</v>
      </c>
      <c r="O134" s="51"/>
      <c r="P134" s="51">
        <f>Q133*('AP05'!$R134-1)</f>
        <v>0</v>
      </c>
      <c r="Q134" s="51">
        <f>(Q133*'AP05'!$R134)-'AP05'!$G134</f>
        <v>194438.8438</v>
      </c>
      <c r="R134" s="53">
        <f t="shared" si="149"/>
        <v>1</v>
      </c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56">
        <f t="shared" si="2"/>
        <v>121</v>
      </c>
      <c r="B135" s="50">
        <f t="shared" si="5"/>
        <v>46925</v>
      </c>
      <c r="C135" s="116">
        <f t="shared" si="126"/>
        <v>0.0775</v>
      </c>
      <c r="D135" s="116">
        <f>((1+'AP05'!$C135)^(1/12))-1</f>
        <v>0.006239681461</v>
      </c>
      <c r="E135" s="51">
        <f t="shared" si="127"/>
        <v>2137.579999</v>
      </c>
      <c r="F135" s="51">
        <f>(Q134*'AP05'!$R135)*'AP05'!$D135</f>
        <v>1213.236449</v>
      </c>
      <c r="G135" s="51">
        <f>(Q134*'AP05'!$R135)/($I$5-A134)</f>
        <v>810.1618493</v>
      </c>
      <c r="H135" s="52">
        <f t="shared" ref="H135:L135" si="184">H134</f>
        <v>0</v>
      </c>
      <c r="I135" s="52">
        <f t="shared" si="184"/>
        <v>0</v>
      </c>
      <c r="J135" s="51">
        <f t="shared" si="184"/>
        <v>25</v>
      </c>
      <c r="K135" s="52">
        <f t="shared" si="184"/>
        <v>0</v>
      </c>
      <c r="L135" s="52">
        <f t="shared" si="184"/>
        <v>0</v>
      </c>
      <c r="M135" s="52"/>
      <c r="N135" s="85">
        <f>SUM('AP05'!$F135:$L135)</f>
        <v>2048.398299</v>
      </c>
      <c r="O135" s="51"/>
      <c r="P135" s="51">
        <f>Q134*('AP05'!$R135-1)</f>
        <v>0</v>
      </c>
      <c r="Q135" s="51">
        <f>(Q134*'AP05'!$R135)-'AP05'!$G135</f>
        <v>193628.682</v>
      </c>
      <c r="R135" s="53">
        <f t="shared" si="149"/>
        <v>1</v>
      </c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56">
        <f t="shared" si="2"/>
        <v>122</v>
      </c>
      <c r="B136" s="50">
        <f t="shared" si="5"/>
        <v>46955</v>
      </c>
      <c r="C136" s="116">
        <f t="shared" si="126"/>
        <v>0.0775</v>
      </c>
      <c r="D136" s="116">
        <f>((1+'AP05'!$C136)^(1/12))-1</f>
        <v>0.006239681461</v>
      </c>
      <c r="E136" s="51">
        <f t="shared" si="127"/>
        <v>2137.579999</v>
      </c>
      <c r="F136" s="51">
        <f>(Q135*'AP05'!$R136)*'AP05'!$D136</f>
        <v>1208.181297</v>
      </c>
      <c r="G136" s="51">
        <f>(Q135*'AP05'!$R136)/($I$5-A135)</f>
        <v>810.1618493</v>
      </c>
      <c r="H136" s="52">
        <f t="shared" ref="H136:L136" si="185">H135</f>
        <v>0</v>
      </c>
      <c r="I136" s="52">
        <f t="shared" si="185"/>
        <v>0</v>
      </c>
      <c r="J136" s="51">
        <f t="shared" si="185"/>
        <v>25</v>
      </c>
      <c r="K136" s="52">
        <f t="shared" si="185"/>
        <v>0</v>
      </c>
      <c r="L136" s="52">
        <f t="shared" si="185"/>
        <v>0</v>
      </c>
      <c r="M136" s="52"/>
      <c r="N136" s="85">
        <f>SUM('AP05'!$F136:$L136)</f>
        <v>2043.343147</v>
      </c>
      <c r="O136" s="51"/>
      <c r="P136" s="51">
        <f>Q135*('AP05'!$R136-1)</f>
        <v>0</v>
      </c>
      <c r="Q136" s="51">
        <f>(Q135*'AP05'!$R136)-'AP05'!$G136</f>
        <v>192818.5201</v>
      </c>
      <c r="R136" s="53">
        <f t="shared" si="149"/>
        <v>1</v>
      </c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56">
        <f t="shared" si="2"/>
        <v>123</v>
      </c>
      <c r="B137" s="50">
        <f t="shared" si="5"/>
        <v>46986</v>
      </c>
      <c r="C137" s="116">
        <f t="shared" si="126"/>
        <v>0.0775</v>
      </c>
      <c r="D137" s="116">
        <f>((1+'AP05'!$C137)^(1/12))-1</f>
        <v>0.006239681461</v>
      </c>
      <c r="E137" s="51">
        <f t="shared" si="127"/>
        <v>2137.579999</v>
      </c>
      <c r="F137" s="51">
        <f>(Q136*'AP05'!$R137)*'AP05'!$D137</f>
        <v>1203.126145</v>
      </c>
      <c r="G137" s="51">
        <f>(Q136*'AP05'!$R137)/($I$5-A136)</f>
        <v>810.1618493</v>
      </c>
      <c r="H137" s="52">
        <f t="shared" ref="H137:L137" si="186">H136</f>
        <v>0</v>
      </c>
      <c r="I137" s="52">
        <f t="shared" si="186"/>
        <v>0</v>
      </c>
      <c r="J137" s="51">
        <f t="shared" si="186"/>
        <v>25</v>
      </c>
      <c r="K137" s="52">
        <f t="shared" si="186"/>
        <v>0</v>
      </c>
      <c r="L137" s="52">
        <f t="shared" si="186"/>
        <v>0</v>
      </c>
      <c r="M137" s="52"/>
      <c r="N137" s="85">
        <f>SUM('AP05'!$F137:$L137)</f>
        <v>2038.287995</v>
      </c>
      <c r="O137" s="51"/>
      <c r="P137" s="51">
        <f>Q136*('AP05'!$R137-1)</f>
        <v>0</v>
      </c>
      <c r="Q137" s="51">
        <f>(Q136*'AP05'!$R137)-'AP05'!$G137</f>
        <v>192008.3583</v>
      </c>
      <c r="R137" s="53">
        <f t="shared" si="149"/>
        <v>1</v>
      </c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56">
        <f t="shared" si="2"/>
        <v>124</v>
      </c>
      <c r="B138" s="50">
        <f t="shared" si="5"/>
        <v>47017</v>
      </c>
      <c r="C138" s="116">
        <f t="shared" si="126"/>
        <v>0.0775</v>
      </c>
      <c r="D138" s="116">
        <f>((1+'AP05'!$C138)^(1/12))-1</f>
        <v>0.006239681461</v>
      </c>
      <c r="E138" s="51">
        <f t="shared" si="127"/>
        <v>2137.579999</v>
      </c>
      <c r="F138" s="51">
        <f>(Q137*'AP05'!$R138)*'AP05'!$D138</f>
        <v>1198.070994</v>
      </c>
      <c r="G138" s="51">
        <f>(Q137*'AP05'!$R138)/($I$5-A137)</f>
        <v>810.1618493</v>
      </c>
      <c r="H138" s="52">
        <f t="shared" ref="H138:L138" si="187">H137</f>
        <v>0</v>
      </c>
      <c r="I138" s="52">
        <f t="shared" si="187"/>
        <v>0</v>
      </c>
      <c r="J138" s="51">
        <f t="shared" si="187"/>
        <v>25</v>
      </c>
      <c r="K138" s="52">
        <f t="shared" si="187"/>
        <v>0</v>
      </c>
      <c r="L138" s="52">
        <f t="shared" si="187"/>
        <v>0</v>
      </c>
      <c r="M138" s="52"/>
      <c r="N138" s="85">
        <f>SUM('AP05'!$F138:$L138)</f>
        <v>2033.232843</v>
      </c>
      <c r="O138" s="51"/>
      <c r="P138" s="51">
        <f>Q137*('AP05'!$R138-1)</f>
        <v>0</v>
      </c>
      <c r="Q138" s="51">
        <f>(Q137*'AP05'!$R138)-'AP05'!$G138</f>
        <v>191198.1964</v>
      </c>
      <c r="R138" s="53">
        <f t="shared" si="149"/>
        <v>1</v>
      </c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56">
        <f t="shared" si="2"/>
        <v>125</v>
      </c>
      <c r="B139" s="50">
        <f t="shared" si="5"/>
        <v>47047</v>
      </c>
      <c r="C139" s="116">
        <f t="shared" si="126"/>
        <v>0.0775</v>
      </c>
      <c r="D139" s="116">
        <f>((1+'AP05'!$C139)^(1/12))-1</f>
        <v>0.006239681461</v>
      </c>
      <c r="E139" s="51">
        <f t="shared" si="127"/>
        <v>2137.579999</v>
      </c>
      <c r="F139" s="51">
        <f>(Q138*'AP05'!$R139)*'AP05'!$D139</f>
        <v>1193.015842</v>
      </c>
      <c r="G139" s="51">
        <f>(Q138*'AP05'!$R139)/($I$5-A138)</f>
        <v>810.1618493</v>
      </c>
      <c r="H139" s="52">
        <f t="shared" ref="H139:L139" si="188">H138</f>
        <v>0</v>
      </c>
      <c r="I139" s="52">
        <f t="shared" si="188"/>
        <v>0</v>
      </c>
      <c r="J139" s="51">
        <f t="shared" si="188"/>
        <v>25</v>
      </c>
      <c r="K139" s="52">
        <f t="shared" si="188"/>
        <v>0</v>
      </c>
      <c r="L139" s="52">
        <f t="shared" si="188"/>
        <v>0</v>
      </c>
      <c r="M139" s="52"/>
      <c r="N139" s="85">
        <f>SUM('AP05'!$F139:$L139)</f>
        <v>2028.177691</v>
      </c>
      <c r="O139" s="51"/>
      <c r="P139" s="51">
        <f>Q138*('AP05'!$R139-1)</f>
        <v>0</v>
      </c>
      <c r="Q139" s="51">
        <f>(Q138*'AP05'!$R139)-'AP05'!$G139</f>
        <v>190388.0346</v>
      </c>
      <c r="R139" s="53">
        <f t="shared" si="149"/>
        <v>1</v>
      </c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6">
        <f t="shared" si="2"/>
        <v>126</v>
      </c>
      <c r="B140" s="50">
        <f t="shared" si="5"/>
        <v>47078</v>
      </c>
      <c r="C140" s="116">
        <f t="shared" si="126"/>
        <v>0.0775</v>
      </c>
      <c r="D140" s="116">
        <f>((1+'AP05'!$C140)^(1/12))-1</f>
        <v>0.006239681461</v>
      </c>
      <c r="E140" s="51">
        <f t="shared" si="127"/>
        <v>2137.579999</v>
      </c>
      <c r="F140" s="51">
        <f>(Q139*'AP05'!$R140)*'AP05'!$D140</f>
        <v>1187.96069</v>
      </c>
      <c r="G140" s="51">
        <f>(Q139*'AP05'!$R140)/($I$5-A139)</f>
        <v>810.1618493</v>
      </c>
      <c r="H140" s="52">
        <f t="shared" ref="H140:L140" si="189">H139</f>
        <v>0</v>
      </c>
      <c r="I140" s="52">
        <f t="shared" si="189"/>
        <v>0</v>
      </c>
      <c r="J140" s="51">
        <f t="shared" si="189"/>
        <v>25</v>
      </c>
      <c r="K140" s="52">
        <f t="shared" si="189"/>
        <v>0</v>
      </c>
      <c r="L140" s="52">
        <f t="shared" si="189"/>
        <v>0</v>
      </c>
      <c r="M140" s="52"/>
      <c r="N140" s="85">
        <f>SUM('AP05'!$F140:$L140)</f>
        <v>2023.122539</v>
      </c>
      <c r="O140" s="51"/>
      <c r="P140" s="51">
        <f>Q139*('AP05'!$R140-1)</f>
        <v>0</v>
      </c>
      <c r="Q140" s="51">
        <f>(Q139*'AP05'!$R140)-'AP05'!$G140</f>
        <v>189577.8727</v>
      </c>
      <c r="R140" s="53">
        <f t="shared" si="149"/>
        <v>1</v>
      </c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56">
        <f t="shared" si="2"/>
        <v>127</v>
      </c>
      <c r="B141" s="50">
        <f t="shared" si="5"/>
        <v>47108</v>
      </c>
      <c r="C141" s="116">
        <f t="shared" si="126"/>
        <v>0.0775</v>
      </c>
      <c r="D141" s="116">
        <f>((1+'AP05'!$C141)^(1/12))-1</f>
        <v>0.006239681461</v>
      </c>
      <c r="E141" s="51">
        <f t="shared" si="127"/>
        <v>2137.579999</v>
      </c>
      <c r="F141" s="51">
        <f>(Q140*'AP05'!$R141)*'AP05'!$D141</f>
        <v>1182.905538</v>
      </c>
      <c r="G141" s="51">
        <f>(Q140*'AP05'!$R141)/($I$5-A140)</f>
        <v>810.1618493</v>
      </c>
      <c r="H141" s="52">
        <f t="shared" ref="H141:L141" si="190">H140</f>
        <v>0</v>
      </c>
      <c r="I141" s="52">
        <f t="shared" si="190"/>
        <v>0</v>
      </c>
      <c r="J141" s="51">
        <f t="shared" si="190"/>
        <v>25</v>
      </c>
      <c r="K141" s="52">
        <f t="shared" si="190"/>
        <v>0</v>
      </c>
      <c r="L141" s="52">
        <f t="shared" si="190"/>
        <v>0</v>
      </c>
      <c r="M141" s="52"/>
      <c r="N141" s="85">
        <f>SUM('AP05'!$F141:$L141)</f>
        <v>2018.067387</v>
      </c>
      <c r="O141" s="51"/>
      <c r="P141" s="51">
        <f>Q140*('AP05'!$R141-1)</f>
        <v>0</v>
      </c>
      <c r="Q141" s="51">
        <f>(Q140*'AP05'!$R141)-'AP05'!$G141</f>
        <v>188767.7109</v>
      </c>
      <c r="R141" s="53">
        <f t="shared" si="149"/>
        <v>1</v>
      </c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56">
        <f t="shared" si="2"/>
        <v>128</v>
      </c>
      <c r="B142" s="50">
        <f t="shared" si="5"/>
        <v>47139</v>
      </c>
      <c r="C142" s="116">
        <f t="shared" si="126"/>
        <v>0.0775</v>
      </c>
      <c r="D142" s="116">
        <f>((1+'AP05'!$C142)^(1/12))-1</f>
        <v>0.006239681461</v>
      </c>
      <c r="E142" s="51">
        <f t="shared" si="127"/>
        <v>2137.579999</v>
      </c>
      <c r="F142" s="51">
        <f>(Q141*'AP05'!$R142)*'AP05'!$D142</f>
        <v>1177.850386</v>
      </c>
      <c r="G142" s="51">
        <f>(Q141*'AP05'!$R142)/($I$5-A141)</f>
        <v>810.1618493</v>
      </c>
      <c r="H142" s="52">
        <f t="shared" ref="H142:L142" si="191">H141</f>
        <v>0</v>
      </c>
      <c r="I142" s="52">
        <f t="shared" si="191"/>
        <v>0</v>
      </c>
      <c r="J142" s="51">
        <f t="shared" si="191"/>
        <v>25</v>
      </c>
      <c r="K142" s="52">
        <f t="shared" si="191"/>
        <v>0</v>
      </c>
      <c r="L142" s="52">
        <f t="shared" si="191"/>
        <v>0</v>
      </c>
      <c r="M142" s="52"/>
      <c r="N142" s="85">
        <f>SUM('AP05'!$F142:$L142)</f>
        <v>2013.012235</v>
      </c>
      <c r="O142" s="51"/>
      <c r="P142" s="51">
        <f>Q141*('AP05'!$R142-1)</f>
        <v>0</v>
      </c>
      <c r="Q142" s="51">
        <f>(Q141*'AP05'!$R142)-'AP05'!$G142</f>
        <v>187957.549</v>
      </c>
      <c r="R142" s="53">
        <f t="shared" si="149"/>
        <v>1</v>
      </c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56">
        <f t="shared" si="2"/>
        <v>129</v>
      </c>
      <c r="B143" s="50">
        <f t="shared" si="5"/>
        <v>47170</v>
      </c>
      <c r="C143" s="116">
        <f t="shared" si="126"/>
        <v>0.0775</v>
      </c>
      <c r="D143" s="116">
        <f>((1+'AP05'!$C143)^(1/12))-1</f>
        <v>0.006239681461</v>
      </c>
      <c r="E143" s="51">
        <f t="shared" si="127"/>
        <v>2137.579999</v>
      </c>
      <c r="F143" s="51">
        <f>(Q142*'AP05'!$R143)*'AP05'!$D143</f>
        <v>1172.795234</v>
      </c>
      <c r="G143" s="51">
        <f>(Q142*'AP05'!$R143)/($I$5-A142)</f>
        <v>810.1618493</v>
      </c>
      <c r="H143" s="52">
        <f t="shared" ref="H143:L143" si="192">H142</f>
        <v>0</v>
      </c>
      <c r="I143" s="52">
        <f t="shared" si="192"/>
        <v>0</v>
      </c>
      <c r="J143" s="51">
        <f t="shared" si="192"/>
        <v>25</v>
      </c>
      <c r="K143" s="52">
        <f t="shared" si="192"/>
        <v>0</v>
      </c>
      <c r="L143" s="52">
        <f t="shared" si="192"/>
        <v>0</v>
      </c>
      <c r="M143" s="52"/>
      <c r="N143" s="85">
        <f>SUM('AP05'!$F143:$L143)</f>
        <v>2007.957084</v>
      </c>
      <c r="O143" s="51"/>
      <c r="P143" s="51">
        <f>Q142*('AP05'!$R143-1)</f>
        <v>0</v>
      </c>
      <c r="Q143" s="51">
        <f>(Q142*'AP05'!$R143)-'AP05'!$G143</f>
        <v>187147.3872</v>
      </c>
      <c r="R143" s="53">
        <f t="shared" si="149"/>
        <v>1</v>
      </c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56">
        <f t="shared" si="2"/>
        <v>130</v>
      </c>
      <c r="B144" s="50">
        <f t="shared" si="5"/>
        <v>47198</v>
      </c>
      <c r="C144" s="116">
        <f t="shared" si="126"/>
        <v>0.0775</v>
      </c>
      <c r="D144" s="116">
        <f>((1+'AP05'!$C144)^(1/12))-1</f>
        <v>0.006239681461</v>
      </c>
      <c r="E144" s="51">
        <f t="shared" si="127"/>
        <v>2137.579999</v>
      </c>
      <c r="F144" s="51">
        <f>(Q143*'AP05'!$R144)*'AP05'!$D144</f>
        <v>1167.740082</v>
      </c>
      <c r="G144" s="51">
        <f>(Q143*'AP05'!$R144)/($I$5-A143)</f>
        <v>810.1618493</v>
      </c>
      <c r="H144" s="52">
        <f t="shared" ref="H144:L144" si="193">H143</f>
        <v>0</v>
      </c>
      <c r="I144" s="52">
        <f t="shared" si="193"/>
        <v>0</v>
      </c>
      <c r="J144" s="51">
        <f t="shared" si="193"/>
        <v>25</v>
      </c>
      <c r="K144" s="52">
        <f t="shared" si="193"/>
        <v>0</v>
      </c>
      <c r="L144" s="52">
        <f t="shared" si="193"/>
        <v>0</v>
      </c>
      <c r="M144" s="52"/>
      <c r="N144" s="85">
        <f>SUM('AP05'!$F144:$L144)</f>
        <v>2002.901932</v>
      </c>
      <c r="O144" s="51"/>
      <c r="P144" s="51">
        <f>Q143*('AP05'!$R144-1)</f>
        <v>0</v>
      </c>
      <c r="Q144" s="51">
        <f>(Q143*'AP05'!$R144)-'AP05'!$G144</f>
        <v>186337.2253</v>
      </c>
      <c r="R144" s="53">
        <f t="shared" si="149"/>
        <v>1</v>
      </c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56">
        <f t="shared" si="2"/>
        <v>131</v>
      </c>
      <c r="B145" s="50">
        <f t="shared" si="5"/>
        <v>47229</v>
      </c>
      <c r="C145" s="116">
        <f t="shared" si="126"/>
        <v>0.0775</v>
      </c>
      <c r="D145" s="116">
        <f>((1+'AP05'!$C145)^(1/12))-1</f>
        <v>0.006239681461</v>
      </c>
      <c r="E145" s="51">
        <f t="shared" si="127"/>
        <v>2137.579999</v>
      </c>
      <c r="F145" s="51">
        <f>(Q144*'AP05'!$R145)*'AP05'!$D145</f>
        <v>1162.684931</v>
      </c>
      <c r="G145" s="51">
        <f>(Q144*'AP05'!$R145)/($I$5-A144)</f>
        <v>810.1618493</v>
      </c>
      <c r="H145" s="52">
        <f t="shared" ref="H145:L145" si="194">H144</f>
        <v>0</v>
      </c>
      <c r="I145" s="52">
        <f t="shared" si="194"/>
        <v>0</v>
      </c>
      <c r="J145" s="51">
        <f t="shared" si="194"/>
        <v>25</v>
      </c>
      <c r="K145" s="52">
        <f t="shared" si="194"/>
        <v>0</v>
      </c>
      <c r="L145" s="52">
        <f t="shared" si="194"/>
        <v>0</v>
      </c>
      <c r="M145" s="52"/>
      <c r="N145" s="85">
        <f>SUM('AP05'!$F145:$L145)</f>
        <v>1997.84678</v>
      </c>
      <c r="O145" s="51"/>
      <c r="P145" s="51">
        <f>Q144*('AP05'!$R145-1)</f>
        <v>0</v>
      </c>
      <c r="Q145" s="51">
        <f>(Q144*'AP05'!$R145)-'AP05'!$G145</f>
        <v>185527.0635</v>
      </c>
      <c r="R145" s="53">
        <f t="shared" si="149"/>
        <v>1</v>
      </c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56">
        <f t="shared" si="2"/>
        <v>132</v>
      </c>
      <c r="B146" s="50">
        <f t="shared" si="5"/>
        <v>47259</v>
      </c>
      <c r="C146" s="116">
        <f t="shared" si="126"/>
        <v>0.0775</v>
      </c>
      <c r="D146" s="116">
        <f>((1+'AP05'!$C146)^(1/12))-1</f>
        <v>0.006239681461</v>
      </c>
      <c r="E146" s="51">
        <f t="shared" si="127"/>
        <v>2137.579999</v>
      </c>
      <c r="F146" s="51">
        <f>(Q145*'AP05'!$R146)*'AP05'!$D146</f>
        <v>1157.629779</v>
      </c>
      <c r="G146" s="51">
        <f>(Q145*'AP05'!$R146)/($I$5-A145)</f>
        <v>810.1618493</v>
      </c>
      <c r="H146" s="52">
        <f t="shared" ref="H146:L146" si="195">H145</f>
        <v>0</v>
      </c>
      <c r="I146" s="52">
        <f t="shared" si="195"/>
        <v>0</v>
      </c>
      <c r="J146" s="51">
        <f t="shared" si="195"/>
        <v>25</v>
      </c>
      <c r="K146" s="52">
        <f t="shared" si="195"/>
        <v>0</v>
      </c>
      <c r="L146" s="52">
        <f t="shared" si="195"/>
        <v>0</v>
      </c>
      <c r="M146" s="52"/>
      <c r="N146" s="85">
        <f>SUM('AP05'!$F146:$L146)</f>
        <v>1992.791628</v>
      </c>
      <c r="O146" s="51"/>
      <c r="P146" s="51">
        <f>Q145*('AP05'!$R146-1)</f>
        <v>0</v>
      </c>
      <c r="Q146" s="51">
        <f>(Q145*'AP05'!$R146)-'AP05'!$G146</f>
        <v>184716.9016</v>
      </c>
      <c r="R146" s="53">
        <f t="shared" si="149"/>
        <v>1</v>
      </c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56">
        <f t="shared" si="2"/>
        <v>133</v>
      </c>
      <c r="B147" s="50">
        <f t="shared" si="5"/>
        <v>47290</v>
      </c>
      <c r="C147" s="116">
        <f t="shared" si="126"/>
        <v>0.0775</v>
      </c>
      <c r="D147" s="116">
        <f>((1+'AP05'!$C147)^(1/12))-1</f>
        <v>0.006239681461</v>
      </c>
      <c r="E147" s="51">
        <f t="shared" si="127"/>
        <v>2137.579999</v>
      </c>
      <c r="F147" s="51">
        <f>(Q146*'AP05'!$R147)*'AP05'!$D147</f>
        <v>1152.574627</v>
      </c>
      <c r="G147" s="51">
        <f>(Q146*'AP05'!$R147)/($I$5-A146)</f>
        <v>810.1618493</v>
      </c>
      <c r="H147" s="52">
        <f t="shared" ref="H147:L147" si="196">H146</f>
        <v>0</v>
      </c>
      <c r="I147" s="52">
        <f t="shared" si="196"/>
        <v>0</v>
      </c>
      <c r="J147" s="51">
        <f t="shared" si="196"/>
        <v>25</v>
      </c>
      <c r="K147" s="52">
        <f t="shared" si="196"/>
        <v>0</v>
      </c>
      <c r="L147" s="52">
        <f t="shared" si="196"/>
        <v>0</v>
      </c>
      <c r="M147" s="52"/>
      <c r="N147" s="85">
        <f>SUM('AP05'!$F147:$L147)</f>
        <v>1987.736476</v>
      </c>
      <c r="O147" s="51"/>
      <c r="P147" s="51">
        <f>Q146*('AP05'!$R147-1)</f>
        <v>0</v>
      </c>
      <c r="Q147" s="51">
        <f>(Q146*'AP05'!$R147)-'AP05'!$G147</f>
        <v>183906.7398</v>
      </c>
      <c r="R147" s="53">
        <f t="shared" si="149"/>
        <v>1</v>
      </c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56">
        <f t="shared" si="2"/>
        <v>134</v>
      </c>
      <c r="B148" s="50">
        <f t="shared" si="5"/>
        <v>47320</v>
      </c>
      <c r="C148" s="116">
        <f t="shared" si="126"/>
        <v>0.0775</v>
      </c>
      <c r="D148" s="116">
        <f>((1+'AP05'!$C148)^(1/12))-1</f>
        <v>0.006239681461</v>
      </c>
      <c r="E148" s="51">
        <f t="shared" si="127"/>
        <v>2137.579999</v>
      </c>
      <c r="F148" s="51">
        <f>(Q147*'AP05'!$R148)*'AP05'!$D148</f>
        <v>1147.519475</v>
      </c>
      <c r="G148" s="51">
        <f>(Q147*'AP05'!$R148)/($I$5-A147)</f>
        <v>810.1618493</v>
      </c>
      <c r="H148" s="52">
        <f t="shared" ref="H148:L148" si="197">H147</f>
        <v>0</v>
      </c>
      <c r="I148" s="52">
        <f t="shared" si="197"/>
        <v>0</v>
      </c>
      <c r="J148" s="51">
        <f t="shared" si="197"/>
        <v>25</v>
      </c>
      <c r="K148" s="52">
        <f t="shared" si="197"/>
        <v>0</v>
      </c>
      <c r="L148" s="52">
        <f t="shared" si="197"/>
        <v>0</v>
      </c>
      <c r="M148" s="52"/>
      <c r="N148" s="85">
        <f>SUM('AP05'!$F148:$L148)</f>
        <v>1982.681324</v>
      </c>
      <c r="O148" s="51"/>
      <c r="P148" s="51">
        <f>Q147*('AP05'!$R148-1)</f>
        <v>0</v>
      </c>
      <c r="Q148" s="51">
        <f>(Q147*'AP05'!$R148)-'AP05'!$G148</f>
        <v>183096.5779</v>
      </c>
      <c r="R148" s="53">
        <f t="shared" si="149"/>
        <v>1</v>
      </c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56">
        <f t="shared" si="2"/>
        <v>135</v>
      </c>
      <c r="B149" s="50">
        <f t="shared" si="5"/>
        <v>47351</v>
      </c>
      <c r="C149" s="116">
        <f t="shared" si="126"/>
        <v>0.0775</v>
      </c>
      <c r="D149" s="116">
        <f>((1+'AP05'!$C149)^(1/12))-1</f>
        <v>0.006239681461</v>
      </c>
      <c r="E149" s="51">
        <f t="shared" si="127"/>
        <v>2137.579999</v>
      </c>
      <c r="F149" s="51">
        <f>(Q148*'AP05'!$R149)*'AP05'!$D149</f>
        <v>1142.464323</v>
      </c>
      <c r="G149" s="51">
        <f>(Q148*'AP05'!$R149)/($I$5-A148)</f>
        <v>810.1618493</v>
      </c>
      <c r="H149" s="52">
        <f t="shared" ref="H149:L149" si="198">H148</f>
        <v>0</v>
      </c>
      <c r="I149" s="52">
        <f t="shared" si="198"/>
        <v>0</v>
      </c>
      <c r="J149" s="51">
        <f t="shared" si="198"/>
        <v>25</v>
      </c>
      <c r="K149" s="52">
        <f t="shared" si="198"/>
        <v>0</v>
      </c>
      <c r="L149" s="52">
        <f t="shared" si="198"/>
        <v>0</v>
      </c>
      <c r="M149" s="52"/>
      <c r="N149" s="85">
        <f>SUM('AP05'!$F149:$L149)</f>
        <v>1977.626172</v>
      </c>
      <c r="O149" s="51"/>
      <c r="P149" s="51">
        <f>Q148*('AP05'!$R149-1)</f>
        <v>0</v>
      </c>
      <c r="Q149" s="51">
        <f>(Q148*'AP05'!$R149)-'AP05'!$G149</f>
        <v>182286.4161</v>
      </c>
      <c r="R149" s="53">
        <f t="shared" si="149"/>
        <v>1</v>
      </c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6">
        <f t="shared" si="2"/>
        <v>136</v>
      </c>
      <c r="B150" s="50">
        <f t="shared" si="5"/>
        <v>47382</v>
      </c>
      <c r="C150" s="116">
        <f t="shared" si="126"/>
        <v>0.0775</v>
      </c>
      <c r="D150" s="116">
        <f>((1+'AP05'!$C150)^(1/12))-1</f>
        <v>0.006239681461</v>
      </c>
      <c r="E150" s="51">
        <f t="shared" si="127"/>
        <v>2137.579999</v>
      </c>
      <c r="F150" s="51">
        <f>(Q149*'AP05'!$R150)*'AP05'!$D150</f>
        <v>1137.409171</v>
      </c>
      <c r="G150" s="51">
        <f>(Q149*'AP05'!$R150)/($I$5-A149)</f>
        <v>810.1618493</v>
      </c>
      <c r="H150" s="52">
        <f t="shared" ref="H150:L150" si="199">H149</f>
        <v>0</v>
      </c>
      <c r="I150" s="52">
        <f t="shared" si="199"/>
        <v>0</v>
      </c>
      <c r="J150" s="51">
        <f t="shared" si="199"/>
        <v>25</v>
      </c>
      <c r="K150" s="52">
        <f t="shared" si="199"/>
        <v>0</v>
      </c>
      <c r="L150" s="52">
        <f t="shared" si="199"/>
        <v>0</v>
      </c>
      <c r="M150" s="52"/>
      <c r="N150" s="85">
        <f>SUM('AP05'!$F150:$L150)</f>
        <v>1972.57102</v>
      </c>
      <c r="O150" s="51"/>
      <c r="P150" s="51">
        <f>Q149*('AP05'!$R150-1)</f>
        <v>0</v>
      </c>
      <c r="Q150" s="51">
        <f>(Q149*'AP05'!$R150)-'AP05'!$G150</f>
        <v>181476.2542</v>
      </c>
      <c r="R150" s="53">
        <f t="shared" si="149"/>
        <v>1</v>
      </c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56">
        <f t="shared" si="2"/>
        <v>137</v>
      </c>
      <c r="B151" s="50">
        <f t="shared" si="5"/>
        <v>47412</v>
      </c>
      <c r="C151" s="116">
        <f t="shared" si="126"/>
        <v>0.0775</v>
      </c>
      <c r="D151" s="116">
        <f>((1+'AP05'!$C151)^(1/12))-1</f>
        <v>0.006239681461</v>
      </c>
      <c r="E151" s="51">
        <f t="shared" si="127"/>
        <v>2137.579999</v>
      </c>
      <c r="F151" s="51">
        <f>(Q150*'AP05'!$R151)*'AP05'!$D151</f>
        <v>1132.354019</v>
      </c>
      <c r="G151" s="51">
        <f>(Q150*'AP05'!$R151)/($I$5-A150)</f>
        <v>810.1618493</v>
      </c>
      <c r="H151" s="52">
        <f t="shared" ref="H151:L151" si="200">H150</f>
        <v>0</v>
      </c>
      <c r="I151" s="52">
        <f t="shared" si="200"/>
        <v>0</v>
      </c>
      <c r="J151" s="51">
        <f t="shared" si="200"/>
        <v>25</v>
      </c>
      <c r="K151" s="52">
        <f t="shared" si="200"/>
        <v>0</v>
      </c>
      <c r="L151" s="52">
        <f t="shared" si="200"/>
        <v>0</v>
      </c>
      <c r="M151" s="52"/>
      <c r="N151" s="85">
        <f>SUM('AP05'!$F151:$L151)</f>
        <v>1967.515869</v>
      </c>
      <c r="O151" s="51"/>
      <c r="P151" s="51">
        <f>Q150*('AP05'!$R151-1)</f>
        <v>0</v>
      </c>
      <c r="Q151" s="51">
        <f>(Q150*'AP05'!$R151)-'AP05'!$G151</f>
        <v>180666.0924</v>
      </c>
      <c r="R151" s="53">
        <f t="shared" si="149"/>
        <v>1</v>
      </c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56">
        <f t="shared" si="2"/>
        <v>138</v>
      </c>
      <c r="B152" s="50">
        <f t="shared" si="5"/>
        <v>47443</v>
      </c>
      <c r="C152" s="116">
        <f t="shared" si="126"/>
        <v>0.0775</v>
      </c>
      <c r="D152" s="116">
        <f>((1+'AP05'!$C152)^(1/12))-1</f>
        <v>0.006239681461</v>
      </c>
      <c r="E152" s="51">
        <f t="shared" si="127"/>
        <v>2137.579999</v>
      </c>
      <c r="F152" s="51">
        <f>(Q151*'AP05'!$R152)*'AP05'!$D152</f>
        <v>1127.298867</v>
      </c>
      <c r="G152" s="51">
        <f>(Q151*'AP05'!$R152)/($I$5-A151)</f>
        <v>810.1618493</v>
      </c>
      <c r="H152" s="52">
        <f t="shared" ref="H152:L152" si="201">H151</f>
        <v>0</v>
      </c>
      <c r="I152" s="52">
        <f t="shared" si="201"/>
        <v>0</v>
      </c>
      <c r="J152" s="51">
        <f t="shared" si="201"/>
        <v>25</v>
      </c>
      <c r="K152" s="52">
        <f t="shared" si="201"/>
        <v>0</v>
      </c>
      <c r="L152" s="52">
        <f t="shared" si="201"/>
        <v>0</v>
      </c>
      <c r="M152" s="52"/>
      <c r="N152" s="85">
        <f>SUM('AP05'!$F152:$L152)</f>
        <v>1962.460717</v>
      </c>
      <c r="O152" s="51"/>
      <c r="P152" s="51">
        <f>Q151*('AP05'!$R152-1)</f>
        <v>0</v>
      </c>
      <c r="Q152" s="51">
        <f>(Q151*'AP05'!$R152)-'AP05'!$G152</f>
        <v>179855.9305</v>
      </c>
      <c r="R152" s="53">
        <f t="shared" si="149"/>
        <v>1</v>
      </c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56">
        <f t="shared" si="2"/>
        <v>139</v>
      </c>
      <c r="B153" s="50">
        <f t="shared" si="5"/>
        <v>47473</v>
      </c>
      <c r="C153" s="116">
        <f t="shared" si="126"/>
        <v>0.0775</v>
      </c>
      <c r="D153" s="116">
        <f>((1+'AP05'!$C153)^(1/12))-1</f>
        <v>0.006239681461</v>
      </c>
      <c r="E153" s="51">
        <f t="shared" si="127"/>
        <v>2137.579999</v>
      </c>
      <c r="F153" s="51">
        <f>(Q152*'AP05'!$R153)*'AP05'!$D153</f>
        <v>1122.243716</v>
      </c>
      <c r="G153" s="51">
        <f>(Q152*'AP05'!$R153)/($I$5-A152)</f>
        <v>810.1618493</v>
      </c>
      <c r="H153" s="52">
        <f t="shared" ref="H153:L153" si="202">H152</f>
        <v>0</v>
      </c>
      <c r="I153" s="52">
        <f t="shared" si="202"/>
        <v>0</v>
      </c>
      <c r="J153" s="51">
        <f t="shared" si="202"/>
        <v>25</v>
      </c>
      <c r="K153" s="52">
        <f t="shared" si="202"/>
        <v>0</v>
      </c>
      <c r="L153" s="52">
        <f t="shared" si="202"/>
        <v>0</v>
      </c>
      <c r="M153" s="52"/>
      <c r="N153" s="85">
        <f>SUM('AP05'!$F153:$L153)</f>
        <v>1957.405565</v>
      </c>
      <c r="O153" s="51"/>
      <c r="P153" s="51">
        <f>Q152*('AP05'!$R153-1)</f>
        <v>0</v>
      </c>
      <c r="Q153" s="51">
        <f>(Q152*'AP05'!$R153)-'AP05'!$G153</f>
        <v>179045.7687</v>
      </c>
      <c r="R153" s="53">
        <f t="shared" si="149"/>
        <v>1</v>
      </c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56">
        <f t="shared" si="2"/>
        <v>140</v>
      </c>
      <c r="B154" s="50">
        <f t="shared" si="5"/>
        <v>47504</v>
      </c>
      <c r="C154" s="116">
        <f t="shared" si="126"/>
        <v>0.0775</v>
      </c>
      <c r="D154" s="116">
        <f>((1+'AP05'!$C154)^(1/12))-1</f>
        <v>0.006239681461</v>
      </c>
      <c r="E154" s="51">
        <f t="shared" si="127"/>
        <v>2137.579999</v>
      </c>
      <c r="F154" s="51">
        <f>(Q153*'AP05'!$R154)*'AP05'!$D154</f>
        <v>1117.188564</v>
      </c>
      <c r="G154" s="51">
        <f>(Q153*'AP05'!$R154)/($I$5-A153)</f>
        <v>810.1618493</v>
      </c>
      <c r="H154" s="52">
        <f t="shared" ref="H154:L154" si="203">H153</f>
        <v>0</v>
      </c>
      <c r="I154" s="52">
        <f t="shared" si="203"/>
        <v>0</v>
      </c>
      <c r="J154" s="51">
        <f t="shared" si="203"/>
        <v>25</v>
      </c>
      <c r="K154" s="52">
        <f t="shared" si="203"/>
        <v>0</v>
      </c>
      <c r="L154" s="52">
        <f t="shared" si="203"/>
        <v>0</v>
      </c>
      <c r="M154" s="52"/>
      <c r="N154" s="85">
        <f>SUM('AP05'!$F154:$L154)</f>
        <v>1952.350413</v>
      </c>
      <c r="O154" s="51"/>
      <c r="P154" s="51">
        <f>Q153*('AP05'!$R154-1)</f>
        <v>0</v>
      </c>
      <c r="Q154" s="51">
        <f>(Q153*'AP05'!$R154)-'AP05'!$G154</f>
        <v>178235.6068</v>
      </c>
      <c r="R154" s="53">
        <f t="shared" si="149"/>
        <v>1</v>
      </c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56">
        <f t="shared" si="2"/>
        <v>141</v>
      </c>
      <c r="B155" s="50">
        <f t="shared" si="5"/>
        <v>47535</v>
      </c>
      <c r="C155" s="116">
        <f t="shared" si="126"/>
        <v>0.0775</v>
      </c>
      <c r="D155" s="116">
        <f>((1+'AP05'!$C155)^(1/12))-1</f>
        <v>0.006239681461</v>
      </c>
      <c r="E155" s="51">
        <f t="shared" si="127"/>
        <v>2137.579999</v>
      </c>
      <c r="F155" s="51">
        <f>(Q154*'AP05'!$R155)*'AP05'!$D155</f>
        <v>1112.133412</v>
      </c>
      <c r="G155" s="51">
        <f>(Q154*'AP05'!$R155)/($I$5-A154)</f>
        <v>810.1618493</v>
      </c>
      <c r="H155" s="52">
        <f t="shared" ref="H155:L155" si="204">H154</f>
        <v>0</v>
      </c>
      <c r="I155" s="52">
        <f t="shared" si="204"/>
        <v>0</v>
      </c>
      <c r="J155" s="51">
        <f t="shared" si="204"/>
        <v>25</v>
      </c>
      <c r="K155" s="52">
        <f t="shared" si="204"/>
        <v>0</v>
      </c>
      <c r="L155" s="52">
        <f t="shared" si="204"/>
        <v>0</v>
      </c>
      <c r="M155" s="52"/>
      <c r="N155" s="85">
        <f>SUM('AP05'!$F155:$L155)</f>
        <v>1947.295261</v>
      </c>
      <c r="O155" s="51"/>
      <c r="P155" s="51">
        <f>Q154*('AP05'!$R155-1)</f>
        <v>0</v>
      </c>
      <c r="Q155" s="51">
        <f>(Q154*'AP05'!$R155)-'AP05'!$G155</f>
        <v>177425.445</v>
      </c>
      <c r="R155" s="53">
        <f t="shared" si="149"/>
        <v>1</v>
      </c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56">
        <f t="shared" si="2"/>
        <v>142</v>
      </c>
      <c r="B156" s="50">
        <f t="shared" si="5"/>
        <v>47563</v>
      </c>
      <c r="C156" s="116">
        <f t="shared" si="126"/>
        <v>0.0775</v>
      </c>
      <c r="D156" s="116">
        <f>((1+'AP05'!$C156)^(1/12))-1</f>
        <v>0.006239681461</v>
      </c>
      <c r="E156" s="51">
        <f t="shared" si="127"/>
        <v>2137.579999</v>
      </c>
      <c r="F156" s="51">
        <f>(Q155*'AP05'!$R156)*'AP05'!$D156</f>
        <v>1107.07826</v>
      </c>
      <c r="G156" s="51">
        <f>(Q155*'AP05'!$R156)/($I$5-A155)</f>
        <v>810.1618493</v>
      </c>
      <c r="H156" s="52">
        <f t="shared" ref="H156:L156" si="205">H155</f>
        <v>0</v>
      </c>
      <c r="I156" s="52">
        <f t="shared" si="205"/>
        <v>0</v>
      </c>
      <c r="J156" s="51">
        <f t="shared" si="205"/>
        <v>25</v>
      </c>
      <c r="K156" s="52">
        <f t="shared" si="205"/>
        <v>0</v>
      </c>
      <c r="L156" s="52">
        <f t="shared" si="205"/>
        <v>0</v>
      </c>
      <c r="M156" s="52"/>
      <c r="N156" s="85">
        <f>SUM('AP05'!$F156:$L156)</f>
        <v>1942.240109</v>
      </c>
      <c r="O156" s="51"/>
      <c r="P156" s="51">
        <f>Q155*('AP05'!$R156-1)</f>
        <v>0</v>
      </c>
      <c r="Q156" s="51">
        <f>(Q155*'AP05'!$R156)-'AP05'!$G156</f>
        <v>176615.2832</v>
      </c>
      <c r="R156" s="53">
        <f t="shared" si="149"/>
        <v>1</v>
      </c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56">
        <f t="shared" si="2"/>
        <v>143</v>
      </c>
      <c r="B157" s="50">
        <f t="shared" si="5"/>
        <v>47594</v>
      </c>
      <c r="C157" s="116">
        <f t="shared" si="126"/>
        <v>0.0775</v>
      </c>
      <c r="D157" s="116">
        <f>((1+'AP05'!$C157)^(1/12))-1</f>
        <v>0.006239681461</v>
      </c>
      <c r="E157" s="51">
        <f t="shared" si="127"/>
        <v>2137.579999</v>
      </c>
      <c r="F157" s="51">
        <f>(Q156*'AP05'!$R157)*'AP05'!$D157</f>
        <v>1102.023108</v>
      </c>
      <c r="G157" s="51">
        <f>(Q156*'AP05'!$R157)/($I$5-A156)</f>
        <v>810.1618493</v>
      </c>
      <c r="H157" s="52">
        <f t="shared" ref="H157:L157" si="206">H156</f>
        <v>0</v>
      </c>
      <c r="I157" s="52">
        <f t="shared" si="206"/>
        <v>0</v>
      </c>
      <c r="J157" s="51">
        <f t="shared" si="206"/>
        <v>25</v>
      </c>
      <c r="K157" s="52">
        <f t="shared" si="206"/>
        <v>0</v>
      </c>
      <c r="L157" s="52">
        <f t="shared" si="206"/>
        <v>0</v>
      </c>
      <c r="M157" s="52"/>
      <c r="N157" s="85">
        <f>SUM('AP05'!$F157:$L157)</f>
        <v>1937.184957</v>
      </c>
      <c r="O157" s="51"/>
      <c r="P157" s="51">
        <f>Q156*('AP05'!$R157-1)</f>
        <v>0</v>
      </c>
      <c r="Q157" s="51">
        <f>(Q156*'AP05'!$R157)-'AP05'!$G157</f>
        <v>175805.1213</v>
      </c>
      <c r="R157" s="53">
        <f t="shared" si="149"/>
        <v>1</v>
      </c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56">
        <f t="shared" si="2"/>
        <v>144</v>
      </c>
      <c r="B158" s="50">
        <f t="shared" si="5"/>
        <v>47624</v>
      </c>
      <c r="C158" s="116">
        <f t="shared" si="126"/>
        <v>0.0775</v>
      </c>
      <c r="D158" s="116">
        <f>((1+'AP05'!$C158)^(1/12))-1</f>
        <v>0.006239681461</v>
      </c>
      <c r="E158" s="51">
        <f t="shared" si="127"/>
        <v>2137.579999</v>
      </c>
      <c r="F158" s="51">
        <f>(Q157*'AP05'!$R158)*'AP05'!$D158</f>
        <v>1096.967956</v>
      </c>
      <c r="G158" s="51">
        <f>(Q157*'AP05'!$R158)/($I$5-A157)</f>
        <v>810.1618493</v>
      </c>
      <c r="H158" s="52">
        <f t="shared" ref="H158:L158" si="207">H157</f>
        <v>0</v>
      </c>
      <c r="I158" s="52">
        <f t="shared" si="207"/>
        <v>0</v>
      </c>
      <c r="J158" s="51">
        <f t="shared" si="207"/>
        <v>25</v>
      </c>
      <c r="K158" s="52">
        <f t="shared" si="207"/>
        <v>0</v>
      </c>
      <c r="L158" s="52">
        <f t="shared" si="207"/>
        <v>0</v>
      </c>
      <c r="M158" s="52"/>
      <c r="N158" s="85">
        <f>SUM('AP05'!$F158:$L158)</f>
        <v>1932.129805</v>
      </c>
      <c r="O158" s="51"/>
      <c r="P158" s="51">
        <f>Q157*('AP05'!$R158-1)</f>
        <v>0</v>
      </c>
      <c r="Q158" s="51">
        <f>(Q157*'AP05'!$R158)-'AP05'!$G158</f>
        <v>174994.9595</v>
      </c>
      <c r="R158" s="53">
        <f t="shared" si="149"/>
        <v>1</v>
      </c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56">
        <f t="shared" si="2"/>
        <v>145</v>
      </c>
      <c r="B159" s="50">
        <f t="shared" si="5"/>
        <v>47655</v>
      </c>
      <c r="C159" s="116">
        <f t="shared" si="126"/>
        <v>0.0775</v>
      </c>
      <c r="D159" s="116">
        <f>((1+'AP05'!$C159)^(1/12))-1</f>
        <v>0.006239681461</v>
      </c>
      <c r="E159" s="51">
        <f t="shared" si="127"/>
        <v>2137.579999</v>
      </c>
      <c r="F159" s="51">
        <f>(Q158*'AP05'!$R159)*'AP05'!$D159</f>
        <v>1091.912804</v>
      </c>
      <c r="G159" s="51">
        <f>(Q158*'AP05'!$R159)/($I$5-A158)</f>
        <v>810.1618493</v>
      </c>
      <c r="H159" s="52">
        <f t="shared" ref="H159:L159" si="208">H158</f>
        <v>0</v>
      </c>
      <c r="I159" s="52">
        <f t="shared" si="208"/>
        <v>0</v>
      </c>
      <c r="J159" s="51">
        <f t="shared" si="208"/>
        <v>25</v>
      </c>
      <c r="K159" s="52">
        <f t="shared" si="208"/>
        <v>0</v>
      </c>
      <c r="L159" s="52">
        <f t="shared" si="208"/>
        <v>0</v>
      </c>
      <c r="M159" s="52"/>
      <c r="N159" s="85">
        <f>SUM('AP05'!$F159:$L159)</f>
        <v>1927.074654</v>
      </c>
      <c r="O159" s="51"/>
      <c r="P159" s="51">
        <f>Q158*('AP05'!$R159-1)</f>
        <v>0</v>
      </c>
      <c r="Q159" s="51">
        <f>(Q158*'AP05'!$R159)-'AP05'!$G159</f>
        <v>174184.7976</v>
      </c>
      <c r="R159" s="53">
        <f t="shared" si="149"/>
        <v>1</v>
      </c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56">
        <f t="shared" si="2"/>
        <v>146</v>
      </c>
      <c r="B160" s="50">
        <f t="shared" si="5"/>
        <v>47685</v>
      </c>
      <c r="C160" s="116">
        <f t="shared" si="126"/>
        <v>0.0775</v>
      </c>
      <c r="D160" s="116">
        <f>((1+'AP05'!$C160)^(1/12))-1</f>
        <v>0.006239681461</v>
      </c>
      <c r="E160" s="51">
        <f t="shared" si="127"/>
        <v>2137.579999</v>
      </c>
      <c r="F160" s="51">
        <f>(Q159*'AP05'!$R160)*'AP05'!$D160</f>
        <v>1086.857652</v>
      </c>
      <c r="G160" s="51">
        <f>(Q159*'AP05'!$R160)/($I$5-A159)</f>
        <v>810.1618493</v>
      </c>
      <c r="H160" s="52">
        <f t="shared" ref="H160:L160" si="209">H159</f>
        <v>0</v>
      </c>
      <c r="I160" s="52">
        <f t="shared" si="209"/>
        <v>0</v>
      </c>
      <c r="J160" s="51">
        <f t="shared" si="209"/>
        <v>25</v>
      </c>
      <c r="K160" s="52">
        <f t="shared" si="209"/>
        <v>0</v>
      </c>
      <c r="L160" s="52">
        <f t="shared" si="209"/>
        <v>0</v>
      </c>
      <c r="M160" s="52"/>
      <c r="N160" s="85">
        <f>SUM('AP05'!$F160:$L160)</f>
        <v>1922.019502</v>
      </c>
      <c r="O160" s="51"/>
      <c r="P160" s="51">
        <f>Q159*('AP05'!$R160-1)</f>
        <v>0</v>
      </c>
      <c r="Q160" s="51">
        <f>(Q159*'AP05'!$R160)-'AP05'!$G160</f>
        <v>173374.6358</v>
      </c>
      <c r="R160" s="53">
        <f t="shared" si="149"/>
        <v>1</v>
      </c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56">
        <f t="shared" si="2"/>
        <v>147</v>
      </c>
      <c r="B161" s="50">
        <f t="shared" si="5"/>
        <v>47716</v>
      </c>
      <c r="C161" s="116">
        <f t="shared" si="126"/>
        <v>0.0775</v>
      </c>
      <c r="D161" s="116">
        <f>((1+'AP05'!$C161)^(1/12))-1</f>
        <v>0.006239681461</v>
      </c>
      <c r="E161" s="51">
        <f t="shared" si="127"/>
        <v>2137.579999</v>
      </c>
      <c r="F161" s="51">
        <f>(Q160*'AP05'!$R161)*'AP05'!$D161</f>
        <v>1081.802501</v>
      </c>
      <c r="G161" s="51">
        <f>(Q160*'AP05'!$R161)/($I$5-A160)</f>
        <v>810.1618493</v>
      </c>
      <c r="H161" s="52">
        <f t="shared" ref="H161:L161" si="210">H160</f>
        <v>0</v>
      </c>
      <c r="I161" s="52">
        <f t="shared" si="210"/>
        <v>0</v>
      </c>
      <c r="J161" s="51">
        <f t="shared" si="210"/>
        <v>25</v>
      </c>
      <c r="K161" s="52">
        <f t="shared" si="210"/>
        <v>0</v>
      </c>
      <c r="L161" s="52">
        <f t="shared" si="210"/>
        <v>0</v>
      </c>
      <c r="M161" s="52"/>
      <c r="N161" s="85">
        <f>SUM('AP05'!$F161:$L161)</f>
        <v>1916.96435</v>
      </c>
      <c r="O161" s="51"/>
      <c r="P161" s="51">
        <f>Q160*('AP05'!$R161-1)</f>
        <v>0</v>
      </c>
      <c r="Q161" s="51">
        <f>(Q160*'AP05'!$R161)-'AP05'!$G161</f>
        <v>172564.4739</v>
      </c>
      <c r="R161" s="53">
        <f t="shared" si="149"/>
        <v>1</v>
      </c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56">
        <f t="shared" si="2"/>
        <v>148</v>
      </c>
      <c r="B162" s="50">
        <f t="shared" si="5"/>
        <v>47747</v>
      </c>
      <c r="C162" s="116">
        <f t="shared" si="126"/>
        <v>0.0775</v>
      </c>
      <c r="D162" s="116">
        <f>((1+'AP05'!$C162)^(1/12))-1</f>
        <v>0.006239681461</v>
      </c>
      <c r="E162" s="51">
        <f t="shared" si="127"/>
        <v>2137.579999</v>
      </c>
      <c r="F162" s="51">
        <f>(Q161*'AP05'!$R162)*'AP05'!$D162</f>
        <v>1076.747349</v>
      </c>
      <c r="G162" s="51">
        <f>(Q161*'AP05'!$R162)/($I$5-A161)</f>
        <v>810.1618493</v>
      </c>
      <c r="H162" s="52">
        <f t="shared" ref="H162:L162" si="211">H161</f>
        <v>0</v>
      </c>
      <c r="I162" s="52">
        <f t="shared" si="211"/>
        <v>0</v>
      </c>
      <c r="J162" s="51">
        <f t="shared" si="211"/>
        <v>25</v>
      </c>
      <c r="K162" s="52">
        <f t="shared" si="211"/>
        <v>0</v>
      </c>
      <c r="L162" s="52">
        <f t="shared" si="211"/>
        <v>0</v>
      </c>
      <c r="M162" s="52"/>
      <c r="N162" s="85">
        <f>SUM('AP05'!$F162:$L162)</f>
        <v>1911.909198</v>
      </c>
      <c r="O162" s="51"/>
      <c r="P162" s="51">
        <f>Q161*('AP05'!$R162-1)</f>
        <v>0</v>
      </c>
      <c r="Q162" s="51">
        <f>(Q161*'AP05'!$R162)-'AP05'!$G162</f>
        <v>171754.3121</v>
      </c>
      <c r="R162" s="53">
        <f t="shared" si="149"/>
        <v>1</v>
      </c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56">
        <f t="shared" si="2"/>
        <v>149</v>
      </c>
      <c r="B163" s="50">
        <f t="shared" si="5"/>
        <v>47777</v>
      </c>
      <c r="C163" s="116">
        <f t="shared" si="126"/>
        <v>0.0775</v>
      </c>
      <c r="D163" s="116">
        <f>((1+'AP05'!$C163)^(1/12))-1</f>
        <v>0.006239681461</v>
      </c>
      <c r="E163" s="51">
        <f t="shared" si="127"/>
        <v>2137.579999</v>
      </c>
      <c r="F163" s="51">
        <f>(Q162*'AP05'!$R163)*'AP05'!$D163</f>
        <v>1071.692197</v>
      </c>
      <c r="G163" s="51">
        <f>(Q162*'AP05'!$R163)/($I$5-A162)</f>
        <v>810.1618493</v>
      </c>
      <c r="H163" s="52">
        <f t="shared" ref="H163:L163" si="212">H162</f>
        <v>0</v>
      </c>
      <c r="I163" s="52">
        <f t="shared" si="212"/>
        <v>0</v>
      </c>
      <c r="J163" s="51">
        <f t="shared" si="212"/>
        <v>25</v>
      </c>
      <c r="K163" s="52">
        <f t="shared" si="212"/>
        <v>0</v>
      </c>
      <c r="L163" s="52">
        <f t="shared" si="212"/>
        <v>0</v>
      </c>
      <c r="M163" s="52"/>
      <c r="N163" s="85">
        <f>SUM('AP05'!$F163:$L163)</f>
        <v>1906.854046</v>
      </c>
      <c r="O163" s="51"/>
      <c r="P163" s="51">
        <f>Q162*('AP05'!$R163-1)</f>
        <v>0</v>
      </c>
      <c r="Q163" s="51">
        <f>(Q162*'AP05'!$R163)-'AP05'!$G163</f>
        <v>170944.1502</v>
      </c>
      <c r="R163" s="53">
        <f t="shared" si="149"/>
        <v>1</v>
      </c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56">
        <f t="shared" si="2"/>
        <v>150</v>
      </c>
      <c r="B164" s="50">
        <f t="shared" si="5"/>
        <v>47808</v>
      </c>
      <c r="C164" s="116">
        <f t="shared" si="126"/>
        <v>0.0775</v>
      </c>
      <c r="D164" s="116">
        <f>((1+'AP05'!$C164)^(1/12))-1</f>
        <v>0.006239681461</v>
      </c>
      <c r="E164" s="51">
        <f t="shared" si="127"/>
        <v>2137.579999</v>
      </c>
      <c r="F164" s="51">
        <f>(Q163*'AP05'!$R164)*'AP05'!$D164</f>
        <v>1066.637045</v>
      </c>
      <c r="G164" s="51">
        <f>(Q163*'AP05'!$R164)/($I$5-A163)</f>
        <v>810.1618493</v>
      </c>
      <c r="H164" s="52">
        <f t="shared" ref="H164:L164" si="213">H163</f>
        <v>0</v>
      </c>
      <c r="I164" s="52">
        <f t="shared" si="213"/>
        <v>0</v>
      </c>
      <c r="J164" s="51">
        <f t="shared" si="213"/>
        <v>25</v>
      </c>
      <c r="K164" s="52">
        <f t="shared" si="213"/>
        <v>0</v>
      </c>
      <c r="L164" s="52">
        <f t="shared" si="213"/>
        <v>0</v>
      </c>
      <c r="M164" s="52"/>
      <c r="N164" s="85">
        <f>SUM('AP05'!$F164:$L164)</f>
        <v>1901.798894</v>
      </c>
      <c r="O164" s="51"/>
      <c r="P164" s="51">
        <f>Q163*('AP05'!$R164-1)</f>
        <v>0</v>
      </c>
      <c r="Q164" s="51">
        <f>(Q163*'AP05'!$R164)-'AP05'!$G164</f>
        <v>170133.9884</v>
      </c>
      <c r="R164" s="53">
        <f t="shared" si="149"/>
        <v>1</v>
      </c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56">
        <f t="shared" si="2"/>
        <v>151</v>
      </c>
      <c r="B165" s="50">
        <f t="shared" si="5"/>
        <v>47838</v>
      </c>
      <c r="C165" s="116">
        <f t="shared" si="126"/>
        <v>0.0775</v>
      </c>
      <c r="D165" s="116">
        <f>((1+'AP05'!$C165)^(1/12))-1</f>
        <v>0.006239681461</v>
      </c>
      <c r="E165" s="51">
        <f t="shared" si="127"/>
        <v>2137.579999</v>
      </c>
      <c r="F165" s="51">
        <f>(Q164*'AP05'!$R165)*'AP05'!$D165</f>
        <v>1061.581893</v>
      </c>
      <c r="G165" s="51">
        <f>(Q164*'AP05'!$R165)/($I$5-A164)</f>
        <v>810.1618493</v>
      </c>
      <c r="H165" s="52">
        <f t="shared" ref="H165:L165" si="214">H164</f>
        <v>0</v>
      </c>
      <c r="I165" s="52">
        <f t="shared" si="214"/>
        <v>0</v>
      </c>
      <c r="J165" s="51">
        <f t="shared" si="214"/>
        <v>25</v>
      </c>
      <c r="K165" s="52">
        <f t="shared" si="214"/>
        <v>0</v>
      </c>
      <c r="L165" s="52">
        <f t="shared" si="214"/>
        <v>0</v>
      </c>
      <c r="M165" s="52"/>
      <c r="N165" s="85">
        <f>SUM('AP05'!$F165:$L165)</f>
        <v>1896.743742</v>
      </c>
      <c r="O165" s="51"/>
      <c r="P165" s="51">
        <f>Q164*('AP05'!$R165-1)</f>
        <v>0</v>
      </c>
      <c r="Q165" s="51">
        <f>(Q164*'AP05'!$R165)-'AP05'!$G165</f>
        <v>169323.8265</v>
      </c>
      <c r="R165" s="53">
        <f t="shared" si="149"/>
        <v>1</v>
      </c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56">
        <f t="shared" si="2"/>
        <v>152</v>
      </c>
      <c r="B166" s="50">
        <f t="shared" si="5"/>
        <v>47869</v>
      </c>
      <c r="C166" s="116">
        <f t="shared" si="126"/>
        <v>0.0775</v>
      </c>
      <c r="D166" s="116">
        <f>((1+'AP05'!$C166)^(1/12))-1</f>
        <v>0.006239681461</v>
      </c>
      <c r="E166" s="51">
        <f t="shared" si="127"/>
        <v>2137.579999</v>
      </c>
      <c r="F166" s="51">
        <f>(Q165*'AP05'!$R166)*'AP05'!$D166</f>
        <v>1056.526741</v>
      </c>
      <c r="G166" s="51">
        <f>(Q165*'AP05'!$R166)/($I$5-A165)</f>
        <v>810.1618493</v>
      </c>
      <c r="H166" s="52">
        <f t="shared" ref="H166:L166" si="215">H165</f>
        <v>0</v>
      </c>
      <c r="I166" s="52">
        <f t="shared" si="215"/>
        <v>0</v>
      </c>
      <c r="J166" s="51">
        <f t="shared" si="215"/>
        <v>25</v>
      </c>
      <c r="K166" s="52">
        <f t="shared" si="215"/>
        <v>0</v>
      </c>
      <c r="L166" s="52">
        <f t="shared" si="215"/>
        <v>0</v>
      </c>
      <c r="M166" s="52"/>
      <c r="N166" s="85">
        <f>SUM('AP05'!$F166:$L166)</f>
        <v>1891.688591</v>
      </c>
      <c r="O166" s="51"/>
      <c r="P166" s="51">
        <f>Q165*('AP05'!$R166-1)</f>
        <v>0</v>
      </c>
      <c r="Q166" s="51">
        <f>(Q165*'AP05'!$R166)-'AP05'!$G166</f>
        <v>168513.6647</v>
      </c>
      <c r="R166" s="53">
        <f t="shared" si="149"/>
        <v>1</v>
      </c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56">
        <f t="shared" si="2"/>
        <v>153</v>
      </c>
      <c r="B167" s="50">
        <f t="shared" si="5"/>
        <v>47900</v>
      </c>
      <c r="C167" s="116">
        <f t="shared" si="126"/>
        <v>0.0775</v>
      </c>
      <c r="D167" s="116">
        <f>((1+'AP05'!$C167)^(1/12))-1</f>
        <v>0.006239681461</v>
      </c>
      <c r="E167" s="51">
        <f t="shared" si="127"/>
        <v>2137.579999</v>
      </c>
      <c r="F167" s="51">
        <f>(Q166*'AP05'!$R167)*'AP05'!$D167</f>
        <v>1051.471589</v>
      </c>
      <c r="G167" s="51">
        <f>(Q166*'AP05'!$R167)/($I$5-A166)</f>
        <v>810.1618493</v>
      </c>
      <c r="H167" s="52">
        <f t="shared" ref="H167:L167" si="216">H166</f>
        <v>0</v>
      </c>
      <c r="I167" s="52">
        <f t="shared" si="216"/>
        <v>0</v>
      </c>
      <c r="J167" s="51">
        <f t="shared" si="216"/>
        <v>25</v>
      </c>
      <c r="K167" s="52">
        <f t="shared" si="216"/>
        <v>0</v>
      </c>
      <c r="L167" s="52">
        <f t="shared" si="216"/>
        <v>0</v>
      </c>
      <c r="M167" s="52"/>
      <c r="N167" s="85">
        <f>SUM('AP05'!$F167:$L167)</f>
        <v>1886.633439</v>
      </c>
      <c r="O167" s="51"/>
      <c r="P167" s="51">
        <f>Q166*('AP05'!$R167-1)</f>
        <v>0</v>
      </c>
      <c r="Q167" s="51">
        <f>(Q166*'AP05'!$R167)-'AP05'!$G167</f>
        <v>167703.5028</v>
      </c>
      <c r="R167" s="53">
        <f t="shared" si="149"/>
        <v>1</v>
      </c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56">
        <f t="shared" si="2"/>
        <v>154</v>
      </c>
      <c r="B168" s="50">
        <f t="shared" si="5"/>
        <v>47928</v>
      </c>
      <c r="C168" s="116">
        <f t="shared" si="126"/>
        <v>0.0775</v>
      </c>
      <c r="D168" s="116">
        <f>((1+'AP05'!$C168)^(1/12))-1</f>
        <v>0.006239681461</v>
      </c>
      <c r="E168" s="51">
        <f t="shared" si="127"/>
        <v>2137.579999</v>
      </c>
      <c r="F168" s="51">
        <f>(Q167*'AP05'!$R168)*'AP05'!$D168</f>
        <v>1046.416437</v>
      </c>
      <c r="G168" s="51">
        <f>(Q167*'AP05'!$R168)/($I$5-A167)</f>
        <v>810.1618493</v>
      </c>
      <c r="H168" s="52">
        <f t="shared" ref="H168:L168" si="217">H167</f>
        <v>0</v>
      </c>
      <c r="I168" s="52">
        <f t="shared" si="217"/>
        <v>0</v>
      </c>
      <c r="J168" s="51">
        <f t="shared" si="217"/>
        <v>25</v>
      </c>
      <c r="K168" s="52">
        <f t="shared" si="217"/>
        <v>0</v>
      </c>
      <c r="L168" s="52">
        <f t="shared" si="217"/>
        <v>0</v>
      </c>
      <c r="M168" s="52"/>
      <c r="N168" s="85">
        <f>SUM('AP05'!$F168:$L168)</f>
        <v>1881.578287</v>
      </c>
      <c r="O168" s="51"/>
      <c r="P168" s="51">
        <f>Q167*('AP05'!$R168-1)</f>
        <v>0</v>
      </c>
      <c r="Q168" s="51">
        <f>(Q167*'AP05'!$R168)-'AP05'!$G168</f>
        <v>166893.341</v>
      </c>
      <c r="R168" s="53">
        <f t="shared" si="149"/>
        <v>1</v>
      </c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56">
        <f t="shared" si="2"/>
        <v>155</v>
      </c>
      <c r="B169" s="50">
        <f t="shared" si="5"/>
        <v>47959</v>
      </c>
      <c r="C169" s="116">
        <f t="shared" si="126"/>
        <v>0.0775</v>
      </c>
      <c r="D169" s="116">
        <f>((1+'AP05'!$C169)^(1/12))-1</f>
        <v>0.006239681461</v>
      </c>
      <c r="E169" s="51">
        <f t="shared" si="127"/>
        <v>2137.579999</v>
      </c>
      <c r="F169" s="51">
        <f>(Q168*'AP05'!$R169)*'AP05'!$D169</f>
        <v>1041.361286</v>
      </c>
      <c r="G169" s="51">
        <f>(Q168*'AP05'!$R169)/($I$5-A168)</f>
        <v>810.1618493</v>
      </c>
      <c r="H169" s="52">
        <f t="shared" ref="H169:L169" si="218">H168</f>
        <v>0</v>
      </c>
      <c r="I169" s="52">
        <f t="shared" si="218"/>
        <v>0</v>
      </c>
      <c r="J169" s="51">
        <f t="shared" si="218"/>
        <v>25</v>
      </c>
      <c r="K169" s="52">
        <f t="shared" si="218"/>
        <v>0</v>
      </c>
      <c r="L169" s="52">
        <f t="shared" si="218"/>
        <v>0</v>
      </c>
      <c r="M169" s="52"/>
      <c r="N169" s="85">
        <f>SUM('AP05'!$F169:$L169)</f>
        <v>1876.523135</v>
      </c>
      <c r="O169" s="51"/>
      <c r="P169" s="51">
        <f>Q168*('AP05'!$R169-1)</f>
        <v>0</v>
      </c>
      <c r="Q169" s="51">
        <f>(Q168*'AP05'!$R169)-'AP05'!$G169</f>
        <v>166083.1791</v>
      </c>
      <c r="R169" s="53">
        <f t="shared" si="149"/>
        <v>1</v>
      </c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56">
        <f t="shared" si="2"/>
        <v>156</v>
      </c>
      <c r="B170" s="50">
        <f t="shared" si="5"/>
        <v>47989</v>
      </c>
      <c r="C170" s="116">
        <f t="shared" si="126"/>
        <v>0.0775</v>
      </c>
      <c r="D170" s="116">
        <f>((1+'AP05'!$C170)^(1/12))-1</f>
        <v>0.006239681461</v>
      </c>
      <c r="E170" s="51">
        <f t="shared" si="127"/>
        <v>2137.579999</v>
      </c>
      <c r="F170" s="51">
        <f>(Q169*'AP05'!$R170)*'AP05'!$D170</f>
        <v>1036.306134</v>
      </c>
      <c r="G170" s="51">
        <f>(Q169*'AP05'!$R170)/($I$5-A169)</f>
        <v>810.1618493</v>
      </c>
      <c r="H170" s="52">
        <f t="shared" ref="H170:L170" si="219">H169</f>
        <v>0</v>
      </c>
      <c r="I170" s="52">
        <f t="shared" si="219"/>
        <v>0</v>
      </c>
      <c r="J170" s="51">
        <f t="shared" si="219"/>
        <v>25</v>
      </c>
      <c r="K170" s="52">
        <f t="shared" si="219"/>
        <v>0</v>
      </c>
      <c r="L170" s="52">
        <f t="shared" si="219"/>
        <v>0</v>
      </c>
      <c r="M170" s="52"/>
      <c r="N170" s="85">
        <f>SUM('AP05'!$F170:$L170)</f>
        <v>1871.467983</v>
      </c>
      <c r="O170" s="51"/>
      <c r="P170" s="51">
        <f>Q169*('AP05'!$R170-1)</f>
        <v>0</v>
      </c>
      <c r="Q170" s="51">
        <f>(Q169*'AP05'!$R170)-'AP05'!$G170</f>
        <v>165273.0173</v>
      </c>
      <c r="R170" s="53">
        <f t="shared" si="149"/>
        <v>1</v>
      </c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56">
        <f t="shared" si="2"/>
        <v>157</v>
      </c>
      <c r="B171" s="50">
        <f t="shared" si="5"/>
        <v>48020</v>
      </c>
      <c r="C171" s="116">
        <f t="shared" si="126"/>
        <v>0.0775</v>
      </c>
      <c r="D171" s="116">
        <f>((1+'AP05'!$C171)^(1/12))-1</f>
        <v>0.006239681461</v>
      </c>
      <c r="E171" s="51">
        <f t="shared" si="127"/>
        <v>2137.579999</v>
      </c>
      <c r="F171" s="51">
        <f>(Q170*'AP05'!$R171)*'AP05'!$D171</f>
        <v>1031.250982</v>
      </c>
      <c r="G171" s="51">
        <f>(Q170*'AP05'!$R171)/($I$5-A170)</f>
        <v>810.1618493</v>
      </c>
      <c r="H171" s="52">
        <f t="shared" ref="H171:L171" si="220">H170</f>
        <v>0</v>
      </c>
      <c r="I171" s="52">
        <f t="shared" si="220"/>
        <v>0</v>
      </c>
      <c r="J171" s="51">
        <f t="shared" si="220"/>
        <v>25</v>
      </c>
      <c r="K171" s="52">
        <f t="shared" si="220"/>
        <v>0</v>
      </c>
      <c r="L171" s="52">
        <f t="shared" si="220"/>
        <v>0</v>
      </c>
      <c r="M171" s="52"/>
      <c r="N171" s="85">
        <f>SUM('AP05'!$F171:$L171)</f>
        <v>1866.412831</v>
      </c>
      <c r="O171" s="51"/>
      <c r="P171" s="51">
        <f>Q170*('AP05'!$R171-1)</f>
        <v>0</v>
      </c>
      <c r="Q171" s="51">
        <f>(Q170*'AP05'!$R171)-'AP05'!$G171</f>
        <v>164462.8554</v>
      </c>
      <c r="R171" s="53">
        <f t="shared" si="149"/>
        <v>1</v>
      </c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56">
        <f t="shared" si="2"/>
        <v>158</v>
      </c>
      <c r="B172" s="50">
        <f t="shared" si="5"/>
        <v>48050</v>
      </c>
      <c r="C172" s="116">
        <f t="shared" si="126"/>
        <v>0.0775</v>
      </c>
      <c r="D172" s="116">
        <f>((1+'AP05'!$C172)^(1/12))-1</f>
        <v>0.006239681461</v>
      </c>
      <c r="E172" s="51">
        <f t="shared" si="127"/>
        <v>2137.579999</v>
      </c>
      <c r="F172" s="51">
        <f>(Q171*'AP05'!$R172)*'AP05'!$D172</f>
        <v>1026.19583</v>
      </c>
      <c r="G172" s="51">
        <f>(Q171*'AP05'!$R172)/($I$5-A171)</f>
        <v>810.1618493</v>
      </c>
      <c r="H172" s="52">
        <f t="shared" ref="H172:L172" si="221">H171</f>
        <v>0</v>
      </c>
      <c r="I172" s="52">
        <f t="shared" si="221"/>
        <v>0</v>
      </c>
      <c r="J172" s="51">
        <f t="shared" si="221"/>
        <v>25</v>
      </c>
      <c r="K172" s="52">
        <f t="shared" si="221"/>
        <v>0</v>
      </c>
      <c r="L172" s="52">
        <f t="shared" si="221"/>
        <v>0</v>
      </c>
      <c r="M172" s="52"/>
      <c r="N172" s="85">
        <f>SUM('AP05'!$F172:$L172)</f>
        <v>1861.357679</v>
      </c>
      <c r="O172" s="51"/>
      <c r="P172" s="51">
        <f>Q171*('AP05'!$R172-1)</f>
        <v>0</v>
      </c>
      <c r="Q172" s="51">
        <f>(Q171*'AP05'!$R172)-'AP05'!$G172</f>
        <v>163652.6936</v>
      </c>
      <c r="R172" s="53">
        <f t="shared" si="149"/>
        <v>1</v>
      </c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56">
        <f t="shared" si="2"/>
        <v>159</v>
      </c>
      <c r="B173" s="50">
        <f t="shared" si="5"/>
        <v>48081</v>
      </c>
      <c r="C173" s="116">
        <f t="shared" si="126"/>
        <v>0.0775</v>
      </c>
      <c r="D173" s="116">
        <f>((1+'AP05'!$C173)^(1/12))-1</f>
        <v>0.006239681461</v>
      </c>
      <c r="E173" s="51">
        <f t="shared" si="127"/>
        <v>2137.579999</v>
      </c>
      <c r="F173" s="51">
        <f>(Q172*'AP05'!$R173)*'AP05'!$D173</f>
        <v>1021.140678</v>
      </c>
      <c r="G173" s="51">
        <f>(Q172*'AP05'!$R173)/($I$5-A172)</f>
        <v>810.1618493</v>
      </c>
      <c r="H173" s="52">
        <f t="shared" ref="H173:L173" si="222">H172</f>
        <v>0</v>
      </c>
      <c r="I173" s="52">
        <f t="shared" si="222"/>
        <v>0</v>
      </c>
      <c r="J173" s="51">
        <f t="shared" si="222"/>
        <v>25</v>
      </c>
      <c r="K173" s="52">
        <f t="shared" si="222"/>
        <v>0</v>
      </c>
      <c r="L173" s="52">
        <f t="shared" si="222"/>
        <v>0</v>
      </c>
      <c r="M173" s="52"/>
      <c r="N173" s="85">
        <f>SUM('AP05'!$F173:$L173)</f>
        <v>1856.302527</v>
      </c>
      <c r="O173" s="51"/>
      <c r="P173" s="51">
        <f>Q172*('AP05'!$R173-1)</f>
        <v>0</v>
      </c>
      <c r="Q173" s="51">
        <f>(Q172*'AP05'!$R173)-'AP05'!$G173</f>
        <v>162842.5317</v>
      </c>
      <c r="R173" s="53">
        <f t="shared" si="149"/>
        <v>1</v>
      </c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56">
        <f t="shared" si="2"/>
        <v>160</v>
      </c>
      <c r="B174" s="50">
        <f t="shared" si="5"/>
        <v>48112</v>
      </c>
      <c r="C174" s="116">
        <f t="shared" si="126"/>
        <v>0.0775</v>
      </c>
      <c r="D174" s="116">
        <f>((1+'AP05'!$C174)^(1/12))-1</f>
        <v>0.006239681461</v>
      </c>
      <c r="E174" s="51">
        <f t="shared" si="127"/>
        <v>2137.579999</v>
      </c>
      <c r="F174" s="51">
        <f>(Q173*'AP05'!$R174)*'AP05'!$D174</f>
        <v>1016.085526</v>
      </c>
      <c r="G174" s="51">
        <f>(Q173*'AP05'!$R174)/($I$5-A173)</f>
        <v>810.1618493</v>
      </c>
      <c r="H174" s="52">
        <f t="shared" ref="H174:L174" si="223">H173</f>
        <v>0</v>
      </c>
      <c r="I174" s="52">
        <f t="shared" si="223"/>
        <v>0</v>
      </c>
      <c r="J174" s="51">
        <f t="shared" si="223"/>
        <v>25</v>
      </c>
      <c r="K174" s="52">
        <f t="shared" si="223"/>
        <v>0</v>
      </c>
      <c r="L174" s="52">
        <f t="shared" si="223"/>
        <v>0</v>
      </c>
      <c r="M174" s="52"/>
      <c r="N174" s="85">
        <f>SUM('AP05'!$F174:$L174)</f>
        <v>1851.247376</v>
      </c>
      <c r="O174" s="51"/>
      <c r="P174" s="51">
        <f>Q173*('AP05'!$R174-1)</f>
        <v>0</v>
      </c>
      <c r="Q174" s="51">
        <f>(Q173*'AP05'!$R174)-'AP05'!$G174</f>
        <v>162032.3699</v>
      </c>
      <c r="R174" s="53">
        <f t="shared" si="149"/>
        <v>1</v>
      </c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56">
        <f t="shared" si="2"/>
        <v>161</v>
      </c>
      <c r="B175" s="50">
        <f t="shared" si="5"/>
        <v>48142</v>
      </c>
      <c r="C175" s="116">
        <f t="shared" si="126"/>
        <v>0.0775</v>
      </c>
      <c r="D175" s="116">
        <f>((1+'AP05'!$C175)^(1/12))-1</f>
        <v>0.006239681461</v>
      </c>
      <c r="E175" s="51">
        <f t="shared" si="127"/>
        <v>2137.579999</v>
      </c>
      <c r="F175" s="51">
        <f>(Q174*'AP05'!$R175)*'AP05'!$D175</f>
        <v>1011.030374</v>
      </c>
      <c r="G175" s="51">
        <f>(Q174*'AP05'!$R175)/($I$5-A174)</f>
        <v>810.1618493</v>
      </c>
      <c r="H175" s="52">
        <f t="shared" ref="H175:L175" si="224">H174</f>
        <v>0</v>
      </c>
      <c r="I175" s="52">
        <f t="shared" si="224"/>
        <v>0</v>
      </c>
      <c r="J175" s="51">
        <f t="shared" si="224"/>
        <v>25</v>
      </c>
      <c r="K175" s="52">
        <f t="shared" si="224"/>
        <v>0</v>
      </c>
      <c r="L175" s="52">
        <f t="shared" si="224"/>
        <v>0</v>
      </c>
      <c r="M175" s="52"/>
      <c r="N175" s="85">
        <f>SUM('AP05'!$F175:$L175)</f>
        <v>1846.192224</v>
      </c>
      <c r="O175" s="51"/>
      <c r="P175" s="51">
        <f>Q174*('AP05'!$R175-1)</f>
        <v>0</v>
      </c>
      <c r="Q175" s="51">
        <f>(Q174*'AP05'!$R175)-'AP05'!$G175</f>
        <v>161222.208</v>
      </c>
      <c r="R175" s="53">
        <f t="shared" si="149"/>
        <v>1</v>
      </c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56">
        <f t="shared" si="2"/>
        <v>162</v>
      </c>
      <c r="B176" s="50">
        <f t="shared" si="5"/>
        <v>48173</v>
      </c>
      <c r="C176" s="116">
        <f t="shared" si="126"/>
        <v>0.0775</v>
      </c>
      <c r="D176" s="116">
        <f>((1+'AP05'!$C176)^(1/12))-1</f>
        <v>0.006239681461</v>
      </c>
      <c r="E176" s="51">
        <f t="shared" si="127"/>
        <v>2137.579999</v>
      </c>
      <c r="F176" s="51">
        <f>(Q175*'AP05'!$R176)*'AP05'!$D176</f>
        <v>1005.975222</v>
      </c>
      <c r="G176" s="51">
        <f>(Q175*'AP05'!$R176)/($I$5-A175)</f>
        <v>810.1618493</v>
      </c>
      <c r="H176" s="52">
        <f t="shared" ref="H176:L176" si="225">H175</f>
        <v>0</v>
      </c>
      <c r="I176" s="52">
        <f t="shared" si="225"/>
        <v>0</v>
      </c>
      <c r="J176" s="51">
        <f t="shared" si="225"/>
        <v>25</v>
      </c>
      <c r="K176" s="52">
        <f t="shared" si="225"/>
        <v>0</v>
      </c>
      <c r="L176" s="52">
        <f t="shared" si="225"/>
        <v>0</v>
      </c>
      <c r="M176" s="52"/>
      <c r="N176" s="85">
        <f>SUM('AP05'!$F176:$L176)</f>
        <v>1841.137072</v>
      </c>
      <c r="O176" s="51"/>
      <c r="P176" s="51">
        <f>Q175*('AP05'!$R176-1)</f>
        <v>0</v>
      </c>
      <c r="Q176" s="51">
        <f>(Q175*'AP05'!$R176)-'AP05'!$G176</f>
        <v>160412.0462</v>
      </c>
      <c r="R176" s="53">
        <f t="shared" si="149"/>
        <v>1</v>
      </c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56">
        <f t="shared" si="2"/>
        <v>163</v>
      </c>
      <c r="B177" s="50">
        <f t="shared" si="5"/>
        <v>48203</v>
      </c>
      <c r="C177" s="116">
        <f t="shared" si="126"/>
        <v>0.0775</v>
      </c>
      <c r="D177" s="116">
        <f>((1+'AP05'!$C177)^(1/12))-1</f>
        <v>0.006239681461</v>
      </c>
      <c r="E177" s="51">
        <f t="shared" si="127"/>
        <v>2137.579999</v>
      </c>
      <c r="F177" s="51">
        <f>(Q176*'AP05'!$R177)*'AP05'!$D177</f>
        <v>1000.920071</v>
      </c>
      <c r="G177" s="51">
        <f>(Q176*'AP05'!$R177)/($I$5-A176)</f>
        <v>810.1618493</v>
      </c>
      <c r="H177" s="52">
        <f t="shared" ref="H177:L177" si="226">H176</f>
        <v>0</v>
      </c>
      <c r="I177" s="52">
        <f t="shared" si="226"/>
        <v>0</v>
      </c>
      <c r="J177" s="51">
        <f t="shared" si="226"/>
        <v>25</v>
      </c>
      <c r="K177" s="52">
        <f t="shared" si="226"/>
        <v>0</v>
      </c>
      <c r="L177" s="52">
        <f t="shared" si="226"/>
        <v>0</v>
      </c>
      <c r="M177" s="52"/>
      <c r="N177" s="85">
        <f>SUM('AP05'!$F177:$L177)</f>
        <v>1836.08192</v>
      </c>
      <c r="O177" s="51"/>
      <c r="P177" s="51">
        <f>Q176*('AP05'!$R177-1)</f>
        <v>0</v>
      </c>
      <c r="Q177" s="51">
        <f>(Q176*'AP05'!$R177)-'AP05'!$G177</f>
        <v>159601.8843</v>
      </c>
      <c r="R177" s="53">
        <f t="shared" si="149"/>
        <v>1</v>
      </c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56">
        <f t="shared" si="2"/>
        <v>164</v>
      </c>
      <c r="B178" s="50">
        <f t="shared" si="5"/>
        <v>48234</v>
      </c>
      <c r="C178" s="116">
        <f t="shared" si="126"/>
        <v>0.0775</v>
      </c>
      <c r="D178" s="116">
        <f>((1+'AP05'!$C178)^(1/12))-1</f>
        <v>0.006239681461</v>
      </c>
      <c r="E178" s="51">
        <f t="shared" si="127"/>
        <v>2137.579999</v>
      </c>
      <c r="F178" s="51">
        <f>(Q177*'AP05'!$R178)*'AP05'!$D178</f>
        <v>995.8649187</v>
      </c>
      <c r="G178" s="51">
        <f>(Q177*'AP05'!$R178)/($I$5-A177)</f>
        <v>810.1618493</v>
      </c>
      <c r="H178" s="52">
        <f t="shared" ref="H178:L178" si="227">H177</f>
        <v>0</v>
      </c>
      <c r="I178" s="52">
        <f t="shared" si="227"/>
        <v>0</v>
      </c>
      <c r="J178" s="51">
        <f t="shared" si="227"/>
        <v>25</v>
      </c>
      <c r="K178" s="52">
        <f t="shared" si="227"/>
        <v>0</v>
      </c>
      <c r="L178" s="52">
        <f t="shared" si="227"/>
        <v>0</v>
      </c>
      <c r="M178" s="52"/>
      <c r="N178" s="85">
        <f>SUM('AP05'!$F178:$L178)</f>
        <v>1831.026768</v>
      </c>
      <c r="O178" s="51"/>
      <c r="P178" s="51">
        <f>Q177*('AP05'!$R178-1)</f>
        <v>0</v>
      </c>
      <c r="Q178" s="51">
        <f>(Q177*'AP05'!$R178)-'AP05'!$G178</f>
        <v>158791.7225</v>
      </c>
      <c r="R178" s="53">
        <f t="shared" si="149"/>
        <v>1</v>
      </c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56">
        <f t="shared" si="2"/>
        <v>165</v>
      </c>
      <c r="B179" s="50">
        <f t="shared" si="5"/>
        <v>48265</v>
      </c>
      <c r="C179" s="116">
        <f t="shared" si="126"/>
        <v>0.0775</v>
      </c>
      <c r="D179" s="116">
        <f>((1+'AP05'!$C179)^(1/12))-1</f>
        <v>0.006239681461</v>
      </c>
      <c r="E179" s="51">
        <f t="shared" si="127"/>
        <v>2137.579999</v>
      </c>
      <c r="F179" s="51">
        <f>(Q178*'AP05'!$R179)*'AP05'!$D179</f>
        <v>990.8097669</v>
      </c>
      <c r="G179" s="51">
        <f>(Q178*'AP05'!$R179)/($I$5-A178)</f>
        <v>810.1618493</v>
      </c>
      <c r="H179" s="52">
        <f t="shared" ref="H179:L179" si="228">H178</f>
        <v>0</v>
      </c>
      <c r="I179" s="52">
        <f t="shared" si="228"/>
        <v>0</v>
      </c>
      <c r="J179" s="51">
        <f t="shared" si="228"/>
        <v>25</v>
      </c>
      <c r="K179" s="52">
        <f t="shared" si="228"/>
        <v>0</v>
      </c>
      <c r="L179" s="52">
        <f t="shared" si="228"/>
        <v>0</v>
      </c>
      <c r="M179" s="52"/>
      <c r="N179" s="85">
        <f>SUM('AP05'!$F179:$L179)</f>
        <v>1825.971616</v>
      </c>
      <c r="O179" s="51"/>
      <c r="P179" s="51">
        <f>Q178*('AP05'!$R179-1)</f>
        <v>0</v>
      </c>
      <c r="Q179" s="51">
        <f>(Q178*'AP05'!$R179)-'AP05'!$G179</f>
        <v>157981.5606</v>
      </c>
      <c r="R179" s="53">
        <f t="shared" si="149"/>
        <v>1</v>
      </c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56">
        <f t="shared" si="2"/>
        <v>166</v>
      </c>
      <c r="B180" s="50">
        <f t="shared" si="5"/>
        <v>48294</v>
      </c>
      <c r="C180" s="116">
        <f t="shared" si="126"/>
        <v>0.0775</v>
      </c>
      <c r="D180" s="116">
        <f>((1+'AP05'!$C180)^(1/12))-1</f>
        <v>0.006239681461</v>
      </c>
      <c r="E180" s="51">
        <f t="shared" si="127"/>
        <v>2137.579999</v>
      </c>
      <c r="F180" s="51">
        <f>(Q179*'AP05'!$R180)*'AP05'!$D180</f>
        <v>985.754615</v>
      </c>
      <c r="G180" s="51">
        <f>(Q179*'AP05'!$R180)/($I$5-A179)</f>
        <v>810.1618493</v>
      </c>
      <c r="H180" s="52">
        <f t="shared" ref="H180:L180" si="229">H179</f>
        <v>0</v>
      </c>
      <c r="I180" s="52">
        <f t="shared" si="229"/>
        <v>0</v>
      </c>
      <c r="J180" s="51">
        <f t="shared" si="229"/>
        <v>25</v>
      </c>
      <c r="K180" s="52">
        <f t="shared" si="229"/>
        <v>0</v>
      </c>
      <c r="L180" s="52">
        <f t="shared" si="229"/>
        <v>0</v>
      </c>
      <c r="M180" s="52"/>
      <c r="N180" s="85">
        <f>SUM('AP05'!$F180:$L180)</f>
        <v>1820.916464</v>
      </c>
      <c r="O180" s="51"/>
      <c r="P180" s="51">
        <f>Q179*('AP05'!$R180-1)</f>
        <v>0</v>
      </c>
      <c r="Q180" s="51">
        <f>(Q179*'AP05'!$R180)-'AP05'!$G180</f>
        <v>157171.3988</v>
      </c>
      <c r="R180" s="53">
        <f t="shared" si="149"/>
        <v>1</v>
      </c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56">
        <f t="shared" si="2"/>
        <v>167</v>
      </c>
      <c r="B181" s="50">
        <f t="shared" si="5"/>
        <v>48325</v>
      </c>
      <c r="C181" s="116">
        <f t="shared" si="126"/>
        <v>0.0775</v>
      </c>
      <c r="D181" s="116">
        <f>((1+'AP05'!$C181)^(1/12))-1</f>
        <v>0.006239681461</v>
      </c>
      <c r="E181" s="51">
        <f t="shared" si="127"/>
        <v>2137.579999</v>
      </c>
      <c r="F181" s="51">
        <f>(Q180*'AP05'!$R181)*'AP05'!$D181</f>
        <v>980.6994631</v>
      </c>
      <c r="G181" s="51">
        <f>(Q180*'AP05'!$R181)/($I$5-A180)</f>
        <v>810.1618493</v>
      </c>
      <c r="H181" s="52">
        <f t="shared" ref="H181:L181" si="230">H180</f>
        <v>0</v>
      </c>
      <c r="I181" s="52">
        <f t="shared" si="230"/>
        <v>0</v>
      </c>
      <c r="J181" s="51">
        <f t="shared" si="230"/>
        <v>25</v>
      </c>
      <c r="K181" s="52">
        <f t="shared" si="230"/>
        <v>0</v>
      </c>
      <c r="L181" s="52">
        <f t="shared" si="230"/>
        <v>0</v>
      </c>
      <c r="M181" s="52"/>
      <c r="N181" s="85">
        <f>SUM('AP05'!$F181:$L181)</f>
        <v>1815.861312</v>
      </c>
      <c r="O181" s="51"/>
      <c r="P181" s="51">
        <f>Q180*('AP05'!$R181-1)</f>
        <v>0</v>
      </c>
      <c r="Q181" s="51">
        <f>(Q180*'AP05'!$R181)-'AP05'!$G181</f>
        <v>156361.2369</v>
      </c>
      <c r="R181" s="53">
        <f t="shared" si="149"/>
        <v>1</v>
      </c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56">
        <f t="shared" si="2"/>
        <v>168</v>
      </c>
      <c r="B182" s="50">
        <f t="shared" si="5"/>
        <v>48355</v>
      </c>
      <c r="C182" s="116">
        <f t="shared" si="126"/>
        <v>0.0775</v>
      </c>
      <c r="D182" s="116">
        <f>((1+'AP05'!$C182)^(1/12))-1</f>
        <v>0.006239681461</v>
      </c>
      <c r="E182" s="51">
        <f t="shared" si="127"/>
        <v>2137.579999</v>
      </c>
      <c r="F182" s="51">
        <f>(Q181*'AP05'!$R182)*'AP05'!$D182</f>
        <v>975.6443113</v>
      </c>
      <c r="G182" s="51">
        <f>(Q181*'AP05'!$R182)/($I$5-A181)</f>
        <v>810.1618493</v>
      </c>
      <c r="H182" s="52">
        <f t="shared" ref="H182:L182" si="231">H181</f>
        <v>0</v>
      </c>
      <c r="I182" s="52">
        <f t="shared" si="231"/>
        <v>0</v>
      </c>
      <c r="J182" s="51">
        <f t="shared" si="231"/>
        <v>25</v>
      </c>
      <c r="K182" s="52">
        <f t="shared" si="231"/>
        <v>0</v>
      </c>
      <c r="L182" s="52">
        <f t="shared" si="231"/>
        <v>0</v>
      </c>
      <c r="M182" s="52"/>
      <c r="N182" s="85">
        <f>SUM('AP05'!$F182:$L182)</f>
        <v>1810.806161</v>
      </c>
      <c r="O182" s="51"/>
      <c r="P182" s="51">
        <f>Q181*('AP05'!$R182-1)</f>
        <v>0</v>
      </c>
      <c r="Q182" s="51">
        <f>(Q181*'AP05'!$R182)-'AP05'!$G182</f>
        <v>155551.0751</v>
      </c>
      <c r="R182" s="53">
        <f t="shared" si="149"/>
        <v>1</v>
      </c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56">
        <f t="shared" si="2"/>
        <v>169</v>
      </c>
      <c r="B183" s="50">
        <f t="shared" si="5"/>
        <v>48386</v>
      </c>
      <c r="C183" s="116">
        <f t="shared" si="126"/>
        <v>0.0775</v>
      </c>
      <c r="D183" s="116">
        <f>((1+'AP05'!$C183)^(1/12))-1</f>
        <v>0.006239681461</v>
      </c>
      <c r="E183" s="51">
        <f t="shared" si="127"/>
        <v>2137.579999</v>
      </c>
      <c r="F183" s="51">
        <f>(Q182*'AP05'!$R183)*'AP05'!$D183</f>
        <v>970.5891594</v>
      </c>
      <c r="G183" s="51">
        <f>(Q182*'AP05'!$R183)/($I$5-A182)</f>
        <v>810.1618493</v>
      </c>
      <c r="H183" s="52">
        <f t="shared" ref="H183:L183" si="232">H182</f>
        <v>0</v>
      </c>
      <c r="I183" s="52">
        <f t="shared" si="232"/>
        <v>0</v>
      </c>
      <c r="J183" s="51">
        <f t="shared" si="232"/>
        <v>25</v>
      </c>
      <c r="K183" s="52">
        <f t="shared" si="232"/>
        <v>0</v>
      </c>
      <c r="L183" s="52">
        <f t="shared" si="232"/>
        <v>0</v>
      </c>
      <c r="M183" s="52"/>
      <c r="N183" s="85">
        <f>SUM('AP05'!$F183:$L183)</f>
        <v>1805.751009</v>
      </c>
      <c r="O183" s="51"/>
      <c r="P183" s="51">
        <f>Q182*('AP05'!$R183-1)</f>
        <v>0</v>
      </c>
      <c r="Q183" s="51">
        <f>(Q182*'AP05'!$R183)-'AP05'!$G183</f>
        <v>154740.9132</v>
      </c>
      <c r="R183" s="53">
        <f t="shared" si="149"/>
        <v>1</v>
      </c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56">
        <f t="shared" si="2"/>
        <v>170</v>
      </c>
      <c r="B184" s="50">
        <f t="shared" si="5"/>
        <v>48416</v>
      </c>
      <c r="C184" s="116">
        <f t="shared" si="126"/>
        <v>0.0775</v>
      </c>
      <c r="D184" s="116">
        <f>((1+'AP05'!$C184)^(1/12))-1</f>
        <v>0.006239681461</v>
      </c>
      <c r="E184" s="51">
        <f t="shared" si="127"/>
        <v>2137.579999</v>
      </c>
      <c r="F184" s="51">
        <f>(Q183*'AP05'!$R184)*'AP05'!$D184</f>
        <v>965.5340075</v>
      </c>
      <c r="G184" s="51">
        <f>(Q183*'AP05'!$R184)/($I$5-A183)</f>
        <v>810.1618493</v>
      </c>
      <c r="H184" s="52">
        <f t="shared" ref="H184:L184" si="233">H183</f>
        <v>0</v>
      </c>
      <c r="I184" s="52">
        <f t="shared" si="233"/>
        <v>0</v>
      </c>
      <c r="J184" s="51">
        <f t="shared" si="233"/>
        <v>25</v>
      </c>
      <c r="K184" s="52">
        <f t="shared" si="233"/>
        <v>0</v>
      </c>
      <c r="L184" s="52">
        <f t="shared" si="233"/>
        <v>0</v>
      </c>
      <c r="M184" s="52"/>
      <c r="N184" s="85">
        <f>SUM('AP05'!$F184:$L184)</f>
        <v>1800.695857</v>
      </c>
      <c r="O184" s="51"/>
      <c r="P184" s="51">
        <f>Q183*('AP05'!$R184-1)</f>
        <v>0</v>
      </c>
      <c r="Q184" s="51">
        <f>(Q183*'AP05'!$R184)-'AP05'!$G184</f>
        <v>153930.7514</v>
      </c>
      <c r="R184" s="53">
        <f t="shared" si="149"/>
        <v>1</v>
      </c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56">
        <f t="shared" si="2"/>
        <v>171</v>
      </c>
      <c r="B185" s="50">
        <f t="shared" si="5"/>
        <v>48447</v>
      </c>
      <c r="C185" s="116">
        <f t="shared" si="126"/>
        <v>0.0775</v>
      </c>
      <c r="D185" s="116">
        <f>((1+'AP05'!$C185)^(1/12))-1</f>
        <v>0.006239681461</v>
      </c>
      <c r="E185" s="51">
        <f t="shared" si="127"/>
        <v>2137.579999</v>
      </c>
      <c r="F185" s="51">
        <f>(Q184*'AP05'!$R185)*'AP05'!$D185</f>
        <v>960.4788556</v>
      </c>
      <c r="G185" s="51">
        <f>(Q184*'AP05'!$R185)/($I$5-A184)</f>
        <v>810.1618493</v>
      </c>
      <c r="H185" s="52">
        <f t="shared" ref="H185:L185" si="234">H184</f>
        <v>0</v>
      </c>
      <c r="I185" s="52">
        <f t="shared" si="234"/>
        <v>0</v>
      </c>
      <c r="J185" s="51">
        <f t="shared" si="234"/>
        <v>25</v>
      </c>
      <c r="K185" s="52">
        <f t="shared" si="234"/>
        <v>0</v>
      </c>
      <c r="L185" s="52">
        <f t="shared" si="234"/>
        <v>0</v>
      </c>
      <c r="M185" s="52"/>
      <c r="N185" s="85">
        <f>SUM('AP05'!$F185:$L185)</f>
        <v>1795.640705</v>
      </c>
      <c r="O185" s="51"/>
      <c r="P185" s="51">
        <f>Q184*('AP05'!$R185-1)</f>
        <v>0</v>
      </c>
      <c r="Q185" s="51">
        <f>(Q184*'AP05'!$R185)-'AP05'!$G185</f>
        <v>153120.5895</v>
      </c>
      <c r="R185" s="53">
        <f t="shared" si="149"/>
        <v>1</v>
      </c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56">
        <f t="shared" si="2"/>
        <v>172</v>
      </c>
      <c r="B186" s="50">
        <f t="shared" si="5"/>
        <v>48478</v>
      </c>
      <c r="C186" s="116">
        <f t="shared" si="126"/>
        <v>0.0775</v>
      </c>
      <c r="D186" s="116">
        <f>((1+'AP05'!$C186)^(1/12))-1</f>
        <v>0.006239681461</v>
      </c>
      <c r="E186" s="51">
        <f t="shared" si="127"/>
        <v>2137.579999</v>
      </c>
      <c r="F186" s="51">
        <f>(Q185*'AP05'!$R186)*'AP05'!$D186</f>
        <v>955.4237038</v>
      </c>
      <c r="G186" s="51">
        <f>(Q185*'AP05'!$R186)/($I$5-A185)</f>
        <v>810.1618493</v>
      </c>
      <c r="H186" s="52">
        <f t="shared" ref="H186:L186" si="235">H185</f>
        <v>0</v>
      </c>
      <c r="I186" s="52">
        <f t="shared" si="235"/>
        <v>0</v>
      </c>
      <c r="J186" s="51">
        <f t="shared" si="235"/>
        <v>25</v>
      </c>
      <c r="K186" s="52">
        <f t="shared" si="235"/>
        <v>0</v>
      </c>
      <c r="L186" s="52">
        <f t="shared" si="235"/>
        <v>0</v>
      </c>
      <c r="M186" s="52"/>
      <c r="N186" s="85">
        <f>SUM('AP05'!$F186:$L186)</f>
        <v>1790.585553</v>
      </c>
      <c r="O186" s="51"/>
      <c r="P186" s="51">
        <f>Q185*('AP05'!$R186-1)</f>
        <v>0</v>
      </c>
      <c r="Q186" s="51">
        <f>(Q185*'AP05'!$R186)-'AP05'!$G186</f>
        <v>152310.4277</v>
      </c>
      <c r="R186" s="53">
        <f t="shared" si="149"/>
        <v>1</v>
      </c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56">
        <f t="shared" si="2"/>
        <v>173</v>
      </c>
      <c r="B187" s="50">
        <f t="shared" si="5"/>
        <v>48508</v>
      </c>
      <c r="C187" s="116">
        <f t="shared" si="126"/>
        <v>0.0775</v>
      </c>
      <c r="D187" s="116">
        <f>((1+'AP05'!$C187)^(1/12))-1</f>
        <v>0.006239681461</v>
      </c>
      <c r="E187" s="51">
        <f t="shared" si="127"/>
        <v>2137.579999</v>
      </c>
      <c r="F187" s="51">
        <f>(Q186*'AP05'!$R187)*'AP05'!$D187</f>
        <v>950.3685519</v>
      </c>
      <c r="G187" s="51">
        <f>(Q186*'AP05'!$R187)/($I$5-A186)</f>
        <v>810.1618493</v>
      </c>
      <c r="H187" s="52">
        <f t="shared" ref="H187:L187" si="236">H186</f>
        <v>0</v>
      </c>
      <c r="I187" s="52">
        <f t="shared" si="236"/>
        <v>0</v>
      </c>
      <c r="J187" s="51">
        <f t="shared" si="236"/>
        <v>25</v>
      </c>
      <c r="K187" s="52">
        <f t="shared" si="236"/>
        <v>0</v>
      </c>
      <c r="L187" s="52">
        <f t="shared" si="236"/>
        <v>0</v>
      </c>
      <c r="M187" s="52"/>
      <c r="N187" s="85">
        <f>SUM('AP05'!$F187:$L187)</f>
        <v>1785.530401</v>
      </c>
      <c r="O187" s="51"/>
      <c r="P187" s="51">
        <f>Q186*('AP05'!$R187-1)</f>
        <v>0</v>
      </c>
      <c r="Q187" s="51">
        <f>(Q186*'AP05'!$R187)-'AP05'!$G187</f>
        <v>151500.2658</v>
      </c>
      <c r="R187" s="53">
        <f t="shared" si="149"/>
        <v>1</v>
      </c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56">
        <f t="shared" si="2"/>
        <v>174</v>
      </c>
      <c r="B188" s="50">
        <f t="shared" si="5"/>
        <v>48539</v>
      </c>
      <c r="C188" s="116">
        <f t="shared" si="126"/>
        <v>0.0775</v>
      </c>
      <c r="D188" s="116">
        <f>((1+'AP05'!$C188)^(1/12))-1</f>
        <v>0.006239681461</v>
      </c>
      <c r="E188" s="51">
        <f t="shared" si="127"/>
        <v>2137.579999</v>
      </c>
      <c r="F188" s="51">
        <f>(Q187*'AP05'!$R188)*'AP05'!$D188</f>
        <v>945.3134</v>
      </c>
      <c r="G188" s="51">
        <f>(Q187*'AP05'!$R188)/($I$5-A187)</f>
        <v>810.1618493</v>
      </c>
      <c r="H188" s="52">
        <f t="shared" ref="H188:L188" si="237">H187</f>
        <v>0</v>
      </c>
      <c r="I188" s="52">
        <f t="shared" si="237"/>
        <v>0</v>
      </c>
      <c r="J188" s="51">
        <f t="shared" si="237"/>
        <v>25</v>
      </c>
      <c r="K188" s="52">
        <f t="shared" si="237"/>
        <v>0</v>
      </c>
      <c r="L188" s="52">
        <f t="shared" si="237"/>
        <v>0</v>
      </c>
      <c r="M188" s="52"/>
      <c r="N188" s="85">
        <f>SUM('AP05'!$F188:$L188)</f>
        <v>1780.475249</v>
      </c>
      <c r="O188" s="51"/>
      <c r="P188" s="51">
        <f>Q187*('AP05'!$R188-1)</f>
        <v>0</v>
      </c>
      <c r="Q188" s="51">
        <f>(Q187*'AP05'!$R188)-'AP05'!$G188</f>
        <v>150690.104</v>
      </c>
      <c r="R188" s="53">
        <f t="shared" si="149"/>
        <v>1</v>
      </c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56">
        <f t="shared" si="2"/>
        <v>175</v>
      </c>
      <c r="B189" s="50">
        <f t="shared" si="5"/>
        <v>48569</v>
      </c>
      <c r="C189" s="116">
        <f t="shared" si="126"/>
        <v>0.0775</v>
      </c>
      <c r="D189" s="116">
        <f>((1+'AP05'!$C189)^(1/12))-1</f>
        <v>0.006239681461</v>
      </c>
      <c r="E189" s="51">
        <f t="shared" si="127"/>
        <v>2137.579999</v>
      </c>
      <c r="F189" s="51">
        <f>(Q188*'AP05'!$R189)*'AP05'!$D189</f>
        <v>940.2582482</v>
      </c>
      <c r="G189" s="51">
        <f>(Q188*'AP05'!$R189)/($I$5-A188)</f>
        <v>810.1618493</v>
      </c>
      <c r="H189" s="52">
        <f t="shared" ref="H189:L189" si="238">H188</f>
        <v>0</v>
      </c>
      <c r="I189" s="52">
        <f t="shared" si="238"/>
        <v>0</v>
      </c>
      <c r="J189" s="51">
        <f t="shared" si="238"/>
        <v>25</v>
      </c>
      <c r="K189" s="52">
        <f t="shared" si="238"/>
        <v>0</v>
      </c>
      <c r="L189" s="52">
        <f t="shared" si="238"/>
        <v>0</v>
      </c>
      <c r="M189" s="52"/>
      <c r="N189" s="85">
        <f>SUM('AP05'!$F189:$L189)</f>
        <v>1775.420097</v>
      </c>
      <c r="O189" s="51"/>
      <c r="P189" s="51">
        <f>Q188*('AP05'!$R189-1)</f>
        <v>0</v>
      </c>
      <c r="Q189" s="51">
        <f>(Q188*'AP05'!$R189)-'AP05'!$G189</f>
        <v>149879.9421</v>
      </c>
      <c r="R189" s="53">
        <f t="shared" si="149"/>
        <v>1</v>
      </c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56">
        <f t="shared" si="2"/>
        <v>176</v>
      </c>
      <c r="B190" s="50">
        <f t="shared" si="5"/>
        <v>48600</v>
      </c>
      <c r="C190" s="116">
        <f t="shared" si="126"/>
        <v>0.0775</v>
      </c>
      <c r="D190" s="116">
        <f>((1+'AP05'!$C190)^(1/12))-1</f>
        <v>0.006239681461</v>
      </c>
      <c r="E190" s="51">
        <f t="shared" si="127"/>
        <v>2137.579999</v>
      </c>
      <c r="F190" s="51">
        <f>(Q189*'AP05'!$R190)*'AP05'!$D190</f>
        <v>935.2030963</v>
      </c>
      <c r="G190" s="51">
        <f>(Q189*'AP05'!$R190)/($I$5-A189)</f>
        <v>810.1618493</v>
      </c>
      <c r="H190" s="52">
        <f t="shared" ref="H190:L190" si="239">H189</f>
        <v>0</v>
      </c>
      <c r="I190" s="52">
        <f t="shared" si="239"/>
        <v>0</v>
      </c>
      <c r="J190" s="51">
        <f t="shared" si="239"/>
        <v>25</v>
      </c>
      <c r="K190" s="52">
        <f t="shared" si="239"/>
        <v>0</v>
      </c>
      <c r="L190" s="52">
        <f t="shared" si="239"/>
        <v>0</v>
      </c>
      <c r="M190" s="52"/>
      <c r="N190" s="85">
        <f>SUM('AP05'!$F190:$L190)</f>
        <v>1770.364946</v>
      </c>
      <c r="O190" s="51"/>
      <c r="P190" s="51">
        <f>Q189*('AP05'!$R190-1)</f>
        <v>0</v>
      </c>
      <c r="Q190" s="51">
        <f>(Q189*'AP05'!$R190)-'AP05'!$G190</f>
        <v>149069.7803</v>
      </c>
      <c r="R190" s="53">
        <f t="shared" si="149"/>
        <v>1</v>
      </c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56">
        <f t="shared" si="2"/>
        <v>177</v>
      </c>
      <c r="B191" s="50">
        <f t="shared" si="5"/>
        <v>48631</v>
      </c>
      <c r="C191" s="116">
        <f t="shared" si="126"/>
        <v>0.0775</v>
      </c>
      <c r="D191" s="116">
        <f>((1+'AP05'!$C191)^(1/12))-1</f>
        <v>0.006239681461</v>
      </c>
      <c r="E191" s="51">
        <f t="shared" si="127"/>
        <v>2137.579999</v>
      </c>
      <c r="F191" s="51">
        <f>(Q190*'AP05'!$R191)*'AP05'!$D191</f>
        <v>930.1479444</v>
      </c>
      <c r="G191" s="51">
        <f>(Q190*'AP05'!$R191)/($I$5-A190)</f>
        <v>810.1618493</v>
      </c>
      <c r="H191" s="52">
        <f t="shared" ref="H191:L191" si="240">H190</f>
        <v>0</v>
      </c>
      <c r="I191" s="52">
        <f t="shared" si="240"/>
        <v>0</v>
      </c>
      <c r="J191" s="51">
        <f t="shared" si="240"/>
        <v>25</v>
      </c>
      <c r="K191" s="52">
        <f t="shared" si="240"/>
        <v>0</v>
      </c>
      <c r="L191" s="52">
        <f t="shared" si="240"/>
        <v>0</v>
      </c>
      <c r="M191" s="52"/>
      <c r="N191" s="85">
        <f>SUM('AP05'!$F191:$L191)</f>
        <v>1765.309794</v>
      </c>
      <c r="O191" s="51"/>
      <c r="P191" s="51">
        <f>Q190*('AP05'!$R191-1)</f>
        <v>0</v>
      </c>
      <c r="Q191" s="51">
        <f>(Q190*'AP05'!$R191)-'AP05'!$G191</f>
        <v>148259.6184</v>
      </c>
      <c r="R191" s="53">
        <f t="shared" si="149"/>
        <v>1</v>
      </c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56">
        <f t="shared" si="2"/>
        <v>178</v>
      </c>
      <c r="B192" s="50">
        <f t="shared" si="5"/>
        <v>48659</v>
      </c>
      <c r="C192" s="116">
        <f t="shared" si="126"/>
        <v>0.0775</v>
      </c>
      <c r="D192" s="116">
        <f>((1+'AP05'!$C192)^(1/12))-1</f>
        <v>0.006239681461</v>
      </c>
      <c r="E192" s="51">
        <f t="shared" si="127"/>
        <v>2137.579999</v>
      </c>
      <c r="F192" s="51">
        <f>(Q191*'AP05'!$R192)*'AP05'!$D192</f>
        <v>925.0927925</v>
      </c>
      <c r="G192" s="51">
        <f>(Q191*'AP05'!$R192)/($I$5-A191)</f>
        <v>810.1618493</v>
      </c>
      <c r="H192" s="52">
        <f t="shared" ref="H192:L192" si="241">H191</f>
        <v>0</v>
      </c>
      <c r="I192" s="52">
        <f t="shared" si="241"/>
        <v>0</v>
      </c>
      <c r="J192" s="51">
        <f t="shared" si="241"/>
        <v>25</v>
      </c>
      <c r="K192" s="52">
        <f t="shared" si="241"/>
        <v>0</v>
      </c>
      <c r="L192" s="52">
        <f t="shared" si="241"/>
        <v>0</v>
      </c>
      <c r="M192" s="52"/>
      <c r="N192" s="85">
        <f>SUM('AP05'!$F192:$L192)</f>
        <v>1760.254642</v>
      </c>
      <c r="O192" s="51"/>
      <c r="P192" s="51">
        <f>Q191*('AP05'!$R192-1)</f>
        <v>0</v>
      </c>
      <c r="Q192" s="51">
        <f>(Q191*'AP05'!$R192)-'AP05'!$G192</f>
        <v>147449.4566</v>
      </c>
      <c r="R192" s="53">
        <f t="shared" si="149"/>
        <v>1</v>
      </c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56">
        <f t="shared" si="2"/>
        <v>179</v>
      </c>
      <c r="B193" s="50">
        <f t="shared" si="5"/>
        <v>48690</v>
      </c>
      <c r="C193" s="116">
        <f t="shared" si="126"/>
        <v>0.0775</v>
      </c>
      <c r="D193" s="116">
        <f>((1+'AP05'!$C193)^(1/12))-1</f>
        <v>0.006239681461</v>
      </c>
      <c r="E193" s="51">
        <f t="shared" si="127"/>
        <v>2137.579999</v>
      </c>
      <c r="F193" s="51">
        <f>(Q192*'AP05'!$R193)*'AP05'!$D193</f>
        <v>920.0376407</v>
      </c>
      <c r="G193" s="51">
        <f>(Q192*'AP05'!$R193)/($I$5-A192)</f>
        <v>810.1618493</v>
      </c>
      <c r="H193" s="52">
        <f t="shared" ref="H193:L193" si="242">H192</f>
        <v>0</v>
      </c>
      <c r="I193" s="52">
        <f t="shared" si="242"/>
        <v>0</v>
      </c>
      <c r="J193" s="51">
        <f t="shared" si="242"/>
        <v>25</v>
      </c>
      <c r="K193" s="52">
        <f t="shared" si="242"/>
        <v>0</v>
      </c>
      <c r="L193" s="52">
        <f t="shared" si="242"/>
        <v>0</v>
      </c>
      <c r="M193" s="52"/>
      <c r="N193" s="85">
        <f>SUM('AP05'!$F193:$L193)</f>
        <v>1755.19949</v>
      </c>
      <c r="O193" s="51"/>
      <c r="P193" s="51">
        <f>Q192*('AP05'!$R193-1)</f>
        <v>0</v>
      </c>
      <c r="Q193" s="51">
        <f>(Q192*'AP05'!$R193)-'AP05'!$G193</f>
        <v>146639.2947</v>
      </c>
      <c r="R193" s="53">
        <f t="shared" si="149"/>
        <v>1</v>
      </c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56">
        <f t="shared" si="2"/>
        <v>180</v>
      </c>
      <c r="B194" s="50">
        <f t="shared" si="5"/>
        <v>48720</v>
      </c>
      <c r="C194" s="116">
        <f t="shared" si="126"/>
        <v>0.0775</v>
      </c>
      <c r="D194" s="116">
        <f>((1+'AP05'!$C194)^(1/12))-1</f>
        <v>0.006239681461</v>
      </c>
      <c r="E194" s="51">
        <f t="shared" si="127"/>
        <v>2137.579999</v>
      </c>
      <c r="F194" s="51">
        <f>(Q193*'AP05'!$R194)*'AP05'!$D194</f>
        <v>914.9824888</v>
      </c>
      <c r="G194" s="51">
        <f>(Q193*'AP05'!$R194)/($I$5-A193)</f>
        <v>810.1618493</v>
      </c>
      <c r="H194" s="52">
        <f t="shared" ref="H194:L194" si="243">H193</f>
        <v>0</v>
      </c>
      <c r="I194" s="52">
        <f t="shared" si="243"/>
        <v>0</v>
      </c>
      <c r="J194" s="51">
        <f t="shared" si="243"/>
        <v>25</v>
      </c>
      <c r="K194" s="52">
        <f t="shared" si="243"/>
        <v>0</v>
      </c>
      <c r="L194" s="52">
        <f t="shared" si="243"/>
        <v>0</v>
      </c>
      <c r="M194" s="52"/>
      <c r="N194" s="85">
        <f>SUM('AP05'!$F194:$L194)</f>
        <v>1750.144338</v>
      </c>
      <c r="O194" s="51"/>
      <c r="P194" s="51">
        <f>Q193*('AP05'!$R194-1)</f>
        <v>0</v>
      </c>
      <c r="Q194" s="51">
        <f>(Q193*'AP05'!$R194)-'AP05'!$G194</f>
        <v>145829.1329</v>
      </c>
      <c r="R194" s="53">
        <f t="shared" si="149"/>
        <v>1</v>
      </c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56">
        <f t="shared" si="2"/>
        <v>181</v>
      </c>
      <c r="B195" s="50">
        <f t="shared" si="5"/>
        <v>48751</v>
      </c>
      <c r="C195" s="116">
        <f t="shared" si="126"/>
        <v>0.0775</v>
      </c>
      <c r="D195" s="116">
        <f>((1+'AP05'!$C195)^(1/12))-1</f>
        <v>0.006239681461</v>
      </c>
      <c r="E195" s="51">
        <f t="shared" si="127"/>
        <v>2137.579999</v>
      </c>
      <c r="F195" s="51">
        <f>(Q194*'AP05'!$R195)*'AP05'!$D195</f>
        <v>909.9273369</v>
      </c>
      <c r="G195" s="51">
        <f>(Q194*'AP05'!$R195)/($I$5-A194)</f>
        <v>810.1618493</v>
      </c>
      <c r="H195" s="52">
        <f t="shared" ref="H195:L195" si="244">H194</f>
        <v>0</v>
      </c>
      <c r="I195" s="52">
        <f t="shared" si="244"/>
        <v>0</v>
      </c>
      <c r="J195" s="51">
        <f t="shared" si="244"/>
        <v>25</v>
      </c>
      <c r="K195" s="52">
        <f t="shared" si="244"/>
        <v>0</v>
      </c>
      <c r="L195" s="52">
        <f t="shared" si="244"/>
        <v>0</v>
      </c>
      <c r="M195" s="52"/>
      <c r="N195" s="85">
        <f>SUM('AP05'!$F195:$L195)</f>
        <v>1745.089186</v>
      </c>
      <c r="O195" s="51"/>
      <c r="P195" s="51">
        <f>Q194*('AP05'!$R195-1)</f>
        <v>0</v>
      </c>
      <c r="Q195" s="51">
        <f>(Q194*'AP05'!$R195)-'AP05'!$G195</f>
        <v>145018.971</v>
      </c>
      <c r="R195" s="53">
        <f t="shared" si="149"/>
        <v>1</v>
      </c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56">
        <f t="shared" si="2"/>
        <v>182</v>
      </c>
      <c r="B196" s="50">
        <f t="shared" si="5"/>
        <v>48781</v>
      </c>
      <c r="C196" s="116">
        <f t="shared" si="126"/>
        <v>0.0775</v>
      </c>
      <c r="D196" s="116">
        <f>((1+'AP05'!$C196)^(1/12))-1</f>
        <v>0.006239681461</v>
      </c>
      <c r="E196" s="51">
        <f t="shared" si="127"/>
        <v>2137.579999</v>
      </c>
      <c r="F196" s="51">
        <f>(Q195*'AP05'!$R196)*'AP05'!$D196</f>
        <v>904.8721851</v>
      </c>
      <c r="G196" s="51">
        <f>(Q195*'AP05'!$R196)/($I$5-A195)</f>
        <v>810.1618493</v>
      </c>
      <c r="H196" s="52">
        <f t="shared" ref="H196:L196" si="245">H195</f>
        <v>0</v>
      </c>
      <c r="I196" s="52">
        <f t="shared" si="245"/>
        <v>0</v>
      </c>
      <c r="J196" s="51">
        <f t="shared" si="245"/>
        <v>25</v>
      </c>
      <c r="K196" s="52">
        <f t="shared" si="245"/>
        <v>0</v>
      </c>
      <c r="L196" s="52">
        <f t="shared" si="245"/>
        <v>0</v>
      </c>
      <c r="M196" s="52"/>
      <c r="N196" s="85">
        <f>SUM('AP05'!$F196:$L196)</f>
        <v>1740.034034</v>
      </c>
      <c r="O196" s="51"/>
      <c r="P196" s="51">
        <f>Q195*('AP05'!$R196-1)</f>
        <v>0</v>
      </c>
      <c r="Q196" s="51">
        <f>(Q195*'AP05'!$R196)-'AP05'!$G196</f>
        <v>144208.8092</v>
      </c>
      <c r="R196" s="53">
        <f t="shared" si="149"/>
        <v>1</v>
      </c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56">
        <f t="shared" si="2"/>
        <v>183</v>
      </c>
      <c r="B197" s="50">
        <f t="shared" si="5"/>
        <v>48812</v>
      </c>
      <c r="C197" s="116">
        <f t="shared" si="126"/>
        <v>0.0775</v>
      </c>
      <c r="D197" s="116">
        <f>((1+'AP05'!$C197)^(1/12))-1</f>
        <v>0.006239681461</v>
      </c>
      <c r="E197" s="51">
        <f t="shared" si="127"/>
        <v>2137.579999</v>
      </c>
      <c r="F197" s="51">
        <f>(Q196*'AP05'!$R197)*'AP05'!$D197</f>
        <v>899.8170332</v>
      </c>
      <c r="G197" s="51">
        <f>(Q196*'AP05'!$R197)/($I$5-A196)</f>
        <v>810.1618493</v>
      </c>
      <c r="H197" s="52">
        <f t="shared" ref="H197:L197" si="246">H196</f>
        <v>0</v>
      </c>
      <c r="I197" s="52">
        <f t="shared" si="246"/>
        <v>0</v>
      </c>
      <c r="J197" s="51">
        <f t="shared" si="246"/>
        <v>25</v>
      </c>
      <c r="K197" s="52">
        <f t="shared" si="246"/>
        <v>0</v>
      </c>
      <c r="L197" s="52">
        <f t="shared" si="246"/>
        <v>0</v>
      </c>
      <c r="M197" s="52"/>
      <c r="N197" s="85">
        <f>SUM('AP05'!$F197:$L197)</f>
        <v>1734.978882</v>
      </c>
      <c r="O197" s="51"/>
      <c r="P197" s="51">
        <f>Q196*('AP05'!$R197-1)</f>
        <v>0</v>
      </c>
      <c r="Q197" s="51">
        <f>(Q196*'AP05'!$R197)-'AP05'!$G197</f>
        <v>143398.6473</v>
      </c>
      <c r="R197" s="53">
        <f t="shared" si="149"/>
        <v>1</v>
      </c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56">
        <f t="shared" si="2"/>
        <v>184</v>
      </c>
      <c r="B198" s="50">
        <f t="shared" si="5"/>
        <v>48843</v>
      </c>
      <c r="C198" s="116">
        <f t="shared" si="126"/>
        <v>0.0775</v>
      </c>
      <c r="D198" s="116">
        <f>((1+'AP05'!$C198)^(1/12))-1</f>
        <v>0.006239681461</v>
      </c>
      <c r="E198" s="51">
        <f t="shared" si="127"/>
        <v>2137.579999</v>
      </c>
      <c r="F198" s="51">
        <f>(Q197*'AP05'!$R198)*'AP05'!$D198</f>
        <v>894.7618813</v>
      </c>
      <c r="G198" s="51">
        <f>(Q197*'AP05'!$R198)/($I$5-A197)</f>
        <v>810.1618493</v>
      </c>
      <c r="H198" s="52">
        <f t="shared" ref="H198:L198" si="247">H197</f>
        <v>0</v>
      </c>
      <c r="I198" s="52">
        <f t="shared" si="247"/>
        <v>0</v>
      </c>
      <c r="J198" s="51">
        <f t="shared" si="247"/>
        <v>25</v>
      </c>
      <c r="K198" s="52">
        <f t="shared" si="247"/>
        <v>0</v>
      </c>
      <c r="L198" s="52">
        <f t="shared" si="247"/>
        <v>0</v>
      </c>
      <c r="M198" s="52"/>
      <c r="N198" s="85">
        <f>SUM('AP05'!$F198:$L198)</f>
        <v>1729.923731</v>
      </c>
      <c r="O198" s="51"/>
      <c r="P198" s="51">
        <f>Q197*('AP05'!$R198-1)</f>
        <v>0</v>
      </c>
      <c r="Q198" s="51">
        <f>(Q197*'AP05'!$R198)-'AP05'!$G198</f>
        <v>142588.4855</v>
      </c>
      <c r="R198" s="53">
        <f t="shared" si="149"/>
        <v>1</v>
      </c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56">
        <f t="shared" si="2"/>
        <v>185</v>
      </c>
      <c r="B199" s="50">
        <f t="shared" si="5"/>
        <v>48873</v>
      </c>
      <c r="C199" s="116">
        <f t="shared" si="126"/>
        <v>0.0775</v>
      </c>
      <c r="D199" s="116">
        <f>((1+'AP05'!$C199)^(1/12))-1</f>
        <v>0.006239681461</v>
      </c>
      <c r="E199" s="51">
        <f t="shared" si="127"/>
        <v>2137.579999</v>
      </c>
      <c r="F199" s="51">
        <f>(Q198*'AP05'!$R199)*'AP05'!$D199</f>
        <v>889.7067294</v>
      </c>
      <c r="G199" s="51">
        <f>(Q198*'AP05'!$R199)/($I$5-A198)</f>
        <v>810.1618493</v>
      </c>
      <c r="H199" s="52">
        <f t="shared" ref="H199:L199" si="248">H198</f>
        <v>0</v>
      </c>
      <c r="I199" s="52">
        <f t="shared" si="248"/>
        <v>0</v>
      </c>
      <c r="J199" s="51">
        <f t="shared" si="248"/>
        <v>25</v>
      </c>
      <c r="K199" s="52">
        <f t="shared" si="248"/>
        <v>0</v>
      </c>
      <c r="L199" s="52">
        <f t="shared" si="248"/>
        <v>0</v>
      </c>
      <c r="M199" s="52"/>
      <c r="N199" s="85">
        <f>SUM('AP05'!$F199:$L199)</f>
        <v>1724.868579</v>
      </c>
      <c r="O199" s="51"/>
      <c r="P199" s="51">
        <f>Q198*('AP05'!$R199-1)</f>
        <v>0</v>
      </c>
      <c r="Q199" s="51">
        <f>(Q198*'AP05'!$R199)-'AP05'!$G199</f>
        <v>141778.3236</v>
      </c>
      <c r="R199" s="53">
        <f t="shared" si="149"/>
        <v>1</v>
      </c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56">
        <f t="shared" si="2"/>
        <v>186</v>
      </c>
      <c r="B200" s="50">
        <f t="shared" si="5"/>
        <v>48904</v>
      </c>
      <c r="C200" s="116">
        <f t="shared" si="126"/>
        <v>0.0775</v>
      </c>
      <c r="D200" s="116">
        <f>((1+'AP05'!$C200)^(1/12))-1</f>
        <v>0.006239681461</v>
      </c>
      <c r="E200" s="51">
        <f t="shared" si="127"/>
        <v>2137.579999</v>
      </c>
      <c r="F200" s="51">
        <f>(Q199*'AP05'!$R200)*'AP05'!$D200</f>
        <v>884.6515776</v>
      </c>
      <c r="G200" s="51">
        <f>(Q199*'AP05'!$R200)/($I$5-A199)</f>
        <v>810.1618493</v>
      </c>
      <c r="H200" s="52">
        <f t="shared" ref="H200:L200" si="249">H199</f>
        <v>0</v>
      </c>
      <c r="I200" s="52">
        <f t="shared" si="249"/>
        <v>0</v>
      </c>
      <c r="J200" s="51">
        <f t="shared" si="249"/>
        <v>25</v>
      </c>
      <c r="K200" s="52">
        <f t="shared" si="249"/>
        <v>0</v>
      </c>
      <c r="L200" s="52">
        <f t="shared" si="249"/>
        <v>0</v>
      </c>
      <c r="M200" s="52"/>
      <c r="N200" s="85">
        <f>SUM('AP05'!$F200:$L200)</f>
        <v>1719.813427</v>
      </c>
      <c r="O200" s="51"/>
      <c r="P200" s="51">
        <f>Q199*('AP05'!$R200-1)</f>
        <v>0</v>
      </c>
      <c r="Q200" s="51">
        <f>(Q199*'AP05'!$R200)-'AP05'!$G200</f>
        <v>140968.1618</v>
      </c>
      <c r="R200" s="53">
        <f t="shared" si="149"/>
        <v>1</v>
      </c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56">
        <f t="shared" si="2"/>
        <v>187</v>
      </c>
      <c r="B201" s="50">
        <f t="shared" si="5"/>
        <v>48934</v>
      </c>
      <c r="C201" s="116">
        <f t="shared" si="126"/>
        <v>0.0775</v>
      </c>
      <c r="D201" s="116">
        <f>((1+'AP05'!$C201)^(1/12))-1</f>
        <v>0.006239681461</v>
      </c>
      <c r="E201" s="51">
        <f t="shared" si="127"/>
        <v>2137.579999</v>
      </c>
      <c r="F201" s="51">
        <f>(Q200*'AP05'!$R201)*'AP05'!$D201</f>
        <v>879.5964257</v>
      </c>
      <c r="G201" s="51">
        <f>(Q200*'AP05'!$R201)/($I$5-A200)</f>
        <v>810.1618493</v>
      </c>
      <c r="H201" s="52">
        <f t="shared" ref="H201:L201" si="250">H200</f>
        <v>0</v>
      </c>
      <c r="I201" s="52">
        <f t="shared" si="250"/>
        <v>0</v>
      </c>
      <c r="J201" s="51">
        <f t="shared" si="250"/>
        <v>25</v>
      </c>
      <c r="K201" s="52">
        <f t="shared" si="250"/>
        <v>0</v>
      </c>
      <c r="L201" s="52">
        <f t="shared" si="250"/>
        <v>0</v>
      </c>
      <c r="M201" s="52"/>
      <c r="N201" s="85">
        <f>SUM('AP05'!$F201:$L201)</f>
        <v>1714.758275</v>
      </c>
      <c r="O201" s="51"/>
      <c r="P201" s="51">
        <f>Q200*('AP05'!$R201-1)</f>
        <v>0</v>
      </c>
      <c r="Q201" s="51">
        <f>(Q200*'AP05'!$R201)-'AP05'!$G201</f>
        <v>140157.9999</v>
      </c>
      <c r="R201" s="53">
        <f t="shared" si="149"/>
        <v>1</v>
      </c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56">
        <f t="shared" si="2"/>
        <v>188</v>
      </c>
      <c r="B202" s="50">
        <f t="shared" si="5"/>
        <v>48965</v>
      </c>
      <c r="C202" s="116">
        <f t="shared" si="126"/>
        <v>0.0775</v>
      </c>
      <c r="D202" s="116">
        <f>((1+'AP05'!$C202)^(1/12))-1</f>
        <v>0.006239681461</v>
      </c>
      <c r="E202" s="51">
        <f t="shared" si="127"/>
        <v>2137.579999</v>
      </c>
      <c r="F202" s="51">
        <f>(Q201*'AP05'!$R202)*'AP05'!$D202</f>
        <v>874.5412738</v>
      </c>
      <c r="G202" s="51">
        <f>(Q201*'AP05'!$R202)/($I$5-A201)</f>
        <v>810.1618493</v>
      </c>
      <c r="H202" s="52">
        <f t="shared" ref="H202:L202" si="251">H201</f>
        <v>0</v>
      </c>
      <c r="I202" s="52">
        <f t="shared" si="251"/>
        <v>0</v>
      </c>
      <c r="J202" s="51">
        <f t="shared" si="251"/>
        <v>25</v>
      </c>
      <c r="K202" s="52">
        <f t="shared" si="251"/>
        <v>0</v>
      </c>
      <c r="L202" s="52">
        <f t="shared" si="251"/>
        <v>0</v>
      </c>
      <c r="M202" s="52"/>
      <c r="N202" s="85">
        <f>SUM('AP05'!$F202:$L202)</f>
        <v>1709.703123</v>
      </c>
      <c r="O202" s="51"/>
      <c r="P202" s="51">
        <f>Q201*('AP05'!$R202-1)</f>
        <v>0</v>
      </c>
      <c r="Q202" s="51">
        <f>(Q201*'AP05'!$R202)-'AP05'!$G202</f>
        <v>139347.8381</v>
      </c>
      <c r="R202" s="53">
        <f t="shared" si="149"/>
        <v>1</v>
      </c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56">
        <f t="shared" si="2"/>
        <v>189</v>
      </c>
      <c r="B203" s="50">
        <f t="shared" si="5"/>
        <v>48996</v>
      </c>
      <c r="C203" s="116">
        <f t="shared" si="126"/>
        <v>0.0775</v>
      </c>
      <c r="D203" s="116">
        <f>((1+'AP05'!$C203)^(1/12))-1</f>
        <v>0.006239681461</v>
      </c>
      <c r="E203" s="51">
        <f t="shared" si="127"/>
        <v>2137.579999</v>
      </c>
      <c r="F203" s="51">
        <f>(Q202*'AP05'!$R203)*'AP05'!$D203</f>
        <v>869.4861219</v>
      </c>
      <c r="G203" s="51">
        <f>(Q202*'AP05'!$R203)/($I$5-A202)</f>
        <v>810.1618493</v>
      </c>
      <c r="H203" s="52">
        <f t="shared" ref="H203:L203" si="252">H202</f>
        <v>0</v>
      </c>
      <c r="I203" s="52">
        <f t="shared" si="252"/>
        <v>0</v>
      </c>
      <c r="J203" s="51">
        <f t="shared" si="252"/>
        <v>25</v>
      </c>
      <c r="K203" s="52">
        <f t="shared" si="252"/>
        <v>0</v>
      </c>
      <c r="L203" s="52">
        <f t="shared" si="252"/>
        <v>0</v>
      </c>
      <c r="M203" s="52"/>
      <c r="N203" s="85">
        <f>SUM('AP05'!$F203:$L203)</f>
        <v>1704.647971</v>
      </c>
      <c r="O203" s="51"/>
      <c r="P203" s="51">
        <f>Q202*('AP05'!$R203-1)</f>
        <v>0</v>
      </c>
      <c r="Q203" s="51">
        <f>(Q202*'AP05'!$R203)-'AP05'!$G203</f>
        <v>138537.6762</v>
      </c>
      <c r="R203" s="53">
        <f t="shared" si="149"/>
        <v>1</v>
      </c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56">
        <f t="shared" si="2"/>
        <v>190</v>
      </c>
      <c r="B204" s="50">
        <f t="shared" si="5"/>
        <v>49024</v>
      </c>
      <c r="C204" s="116">
        <f t="shared" si="126"/>
        <v>0.0775</v>
      </c>
      <c r="D204" s="116">
        <f>((1+'AP05'!$C204)^(1/12))-1</f>
        <v>0.006239681461</v>
      </c>
      <c r="E204" s="51">
        <f t="shared" si="127"/>
        <v>2137.579999</v>
      </c>
      <c r="F204" s="51">
        <f>(Q203*'AP05'!$R204)*'AP05'!$D204</f>
        <v>864.4309701</v>
      </c>
      <c r="G204" s="51">
        <f>(Q203*'AP05'!$R204)/($I$5-A203)</f>
        <v>810.1618493</v>
      </c>
      <c r="H204" s="52">
        <f t="shared" ref="H204:L204" si="253">H203</f>
        <v>0</v>
      </c>
      <c r="I204" s="52">
        <f t="shared" si="253"/>
        <v>0</v>
      </c>
      <c r="J204" s="51">
        <f t="shared" si="253"/>
        <v>25</v>
      </c>
      <c r="K204" s="52">
        <f t="shared" si="253"/>
        <v>0</v>
      </c>
      <c r="L204" s="52">
        <f t="shared" si="253"/>
        <v>0</v>
      </c>
      <c r="M204" s="52"/>
      <c r="N204" s="85">
        <f>SUM('AP05'!$F204:$L204)</f>
        <v>1699.592819</v>
      </c>
      <c r="O204" s="51"/>
      <c r="P204" s="51">
        <f>Q203*('AP05'!$R204-1)</f>
        <v>0</v>
      </c>
      <c r="Q204" s="51">
        <f>(Q203*'AP05'!$R204)-'AP05'!$G204</f>
        <v>137727.5144</v>
      </c>
      <c r="R204" s="53">
        <f t="shared" si="149"/>
        <v>1</v>
      </c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56">
        <f t="shared" si="2"/>
        <v>191</v>
      </c>
      <c r="B205" s="50">
        <f t="shared" si="5"/>
        <v>49055</v>
      </c>
      <c r="C205" s="116">
        <f t="shared" si="126"/>
        <v>0.0775</v>
      </c>
      <c r="D205" s="116">
        <f>((1+'AP05'!$C205)^(1/12))-1</f>
        <v>0.006239681461</v>
      </c>
      <c r="E205" s="51">
        <f t="shared" si="127"/>
        <v>2137.579999</v>
      </c>
      <c r="F205" s="51">
        <f>(Q204*'AP05'!$R205)*'AP05'!$D205</f>
        <v>859.3758182</v>
      </c>
      <c r="G205" s="51">
        <f>(Q204*'AP05'!$R205)/($I$5-A204)</f>
        <v>810.1618493</v>
      </c>
      <c r="H205" s="52">
        <f t="shared" ref="H205:L205" si="254">H204</f>
        <v>0</v>
      </c>
      <c r="I205" s="52">
        <f t="shared" si="254"/>
        <v>0</v>
      </c>
      <c r="J205" s="51">
        <f t="shared" si="254"/>
        <v>25</v>
      </c>
      <c r="K205" s="52">
        <f t="shared" si="254"/>
        <v>0</v>
      </c>
      <c r="L205" s="52">
        <f t="shared" si="254"/>
        <v>0</v>
      </c>
      <c r="M205" s="52"/>
      <c r="N205" s="85">
        <f>SUM('AP05'!$F205:$L205)</f>
        <v>1694.537668</v>
      </c>
      <c r="O205" s="51"/>
      <c r="P205" s="51">
        <f>Q204*('AP05'!$R205-1)</f>
        <v>0</v>
      </c>
      <c r="Q205" s="51">
        <f>(Q204*'AP05'!$R205)-'AP05'!$G205</f>
        <v>136917.3525</v>
      </c>
      <c r="R205" s="53">
        <f t="shared" si="149"/>
        <v>1</v>
      </c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56">
        <f t="shared" si="2"/>
        <v>192</v>
      </c>
      <c r="B206" s="50">
        <f t="shared" si="5"/>
        <v>49085</v>
      </c>
      <c r="C206" s="116">
        <f t="shared" si="126"/>
        <v>0.0775</v>
      </c>
      <c r="D206" s="116">
        <f>((1+'AP05'!$C206)^(1/12))-1</f>
        <v>0.006239681461</v>
      </c>
      <c r="E206" s="51">
        <f t="shared" si="127"/>
        <v>2137.579999</v>
      </c>
      <c r="F206" s="51">
        <f>(Q205*'AP05'!$R206)*'AP05'!$D206</f>
        <v>854.3206663</v>
      </c>
      <c r="G206" s="51">
        <f>(Q205*'AP05'!$R206)/($I$5-A205)</f>
        <v>810.1618493</v>
      </c>
      <c r="H206" s="52">
        <f t="shared" ref="H206:L206" si="255">H205</f>
        <v>0</v>
      </c>
      <c r="I206" s="52">
        <f t="shared" si="255"/>
        <v>0</v>
      </c>
      <c r="J206" s="51">
        <f t="shared" si="255"/>
        <v>25</v>
      </c>
      <c r="K206" s="52">
        <f t="shared" si="255"/>
        <v>0</v>
      </c>
      <c r="L206" s="52">
        <f t="shared" si="255"/>
        <v>0</v>
      </c>
      <c r="M206" s="52"/>
      <c r="N206" s="85">
        <f>SUM('AP05'!$F206:$L206)</f>
        <v>1689.482516</v>
      </c>
      <c r="O206" s="51"/>
      <c r="P206" s="51">
        <f>Q205*('AP05'!$R206-1)</f>
        <v>0</v>
      </c>
      <c r="Q206" s="51">
        <f>(Q205*'AP05'!$R206)-'AP05'!$G206</f>
        <v>136107.1907</v>
      </c>
      <c r="R206" s="53">
        <f t="shared" si="149"/>
        <v>1</v>
      </c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56">
        <f t="shared" si="2"/>
        <v>193</v>
      </c>
      <c r="B207" s="50">
        <f t="shared" si="5"/>
        <v>49116</v>
      </c>
      <c r="C207" s="116">
        <f t="shared" si="126"/>
        <v>0.0775</v>
      </c>
      <c r="D207" s="116">
        <f>((1+'AP05'!$C207)^(1/12))-1</f>
        <v>0.006239681461</v>
      </c>
      <c r="E207" s="51">
        <f t="shared" si="127"/>
        <v>2137.579999</v>
      </c>
      <c r="F207" s="51">
        <f>(Q206*'AP05'!$R207)*'AP05'!$D207</f>
        <v>849.2655145</v>
      </c>
      <c r="G207" s="51">
        <f>(Q206*'AP05'!$R207)/($I$5-A206)</f>
        <v>810.1618493</v>
      </c>
      <c r="H207" s="52">
        <f t="shared" ref="H207:L207" si="256">H206</f>
        <v>0</v>
      </c>
      <c r="I207" s="52">
        <f t="shared" si="256"/>
        <v>0</v>
      </c>
      <c r="J207" s="51">
        <f t="shared" si="256"/>
        <v>25</v>
      </c>
      <c r="K207" s="52">
        <f t="shared" si="256"/>
        <v>0</v>
      </c>
      <c r="L207" s="52">
        <f t="shared" si="256"/>
        <v>0</v>
      </c>
      <c r="M207" s="52"/>
      <c r="N207" s="85">
        <f>SUM('AP05'!$F207:$L207)</f>
        <v>1684.427364</v>
      </c>
      <c r="O207" s="51"/>
      <c r="P207" s="51">
        <f>Q206*('AP05'!$R207-1)</f>
        <v>0</v>
      </c>
      <c r="Q207" s="51">
        <f>(Q206*'AP05'!$R207)-'AP05'!$G207</f>
        <v>135297.0288</v>
      </c>
      <c r="R207" s="53">
        <f t="shared" si="149"/>
        <v>1</v>
      </c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56">
        <f t="shared" si="2"/>
        <v>194</v>
      </c>
      <c r="B208" s="50">
        <f t="shared" si="5"/>
        <v>49146</v>
      </c>
      <c r="C208" s="116">
        <f t="shared" si="126"/>
        <v>0.0775</v>
      </c>
      <c r="D208" s="116">
        <f>((1+'AP05'!$C208)^(1/12))-1</f>
        <v>0.006239681461</v>
      </c>
      <c r="E208" s="51">
        <f t="shared" si="127"/>
        <v>2137.579999</v>
      </c>
      <c r="F208" s="51">
        <f>(Q207*'AP05'!$R208)*'AP05'!$D208</f>
        <v>844.2103626</v>
      </c>
      <c r="G208" s="51">
        <f>(Q207*'AP05'!$R208)/($I$5-A207)</f>
        <v>810.1618493</v>
      </c>
      <c r="H208" s="52">
        <f t="shared" ref="H208:L208" si="257">H207</f>
        <v>0</v>
      </c>
      <c r="I208" s="52">
        <f t="shared" si="257"/>
        <v>0</v>
      </c>
      <c r="J208" s="51">
        <f t="shared" si="257"/>
        <v>25</v>
      </c>
      <c r="K208" s="52">
        <f t="shared" si="257"/>
        <v>0</v>
      </c>
      <c r="L208" s="52">
        <f t="shared" si="257"/>
        <v>0</v>
      </c>
      <c r="M208" s="52"/>
      <c r="N208" s="85">
        <f>SUM('AP05'!$F208:$L208)</f>
        <v>1679.372212</v>
      </c>
      <c r="O208" s="51"/>
      <c r="P208" s="51">
        <f>Q207*('AP05'!$R208-1)</f>
        <v>0</v>
      </c>
      <c r="Q208" s="51">
        <f>(Q207*'AP05'!$R208)-'AP05'!$G208</f>
        <v>134486.867</v>
      </c>
      <c r="R208" s="53">
        <f t="shared" si="149"/>
        <v>1</v>
      </c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56">
        <f t="shared" si="2"/>
        <v>195</v>
      </c>
      <c r="B209" s="50">
        <f t="shared" si="5"/>
        <v>49177</v>
      </c>
      <c r="C209" s="116">
        <f t="shared" si="126"/>
        <v>0.0775</v>
      </c>
      <c r="D209" s="116">
        <f>((1+'AP05'!$C209)^(1/12))-1</f>
        <v>0.006239681461</v>
      </c>
      <c r="E209" s="51">
        <f t="shared" si="127"/>
        <v>2137.579999</v>
      </c>
      <c r="F209" s="51">
        <f>(Q208*'AP05'!$R209)*'AP05'!$D209</f>
        <v>839.1552107</v>
      </c>
      <c r="G209" s="51">
        <f>(Q208*'AP05'!$R209)/($I$5-A208)</f>
        <v>810.1618493</v>
      </c>
      <c r="H209" s="52">
        <f t="shared" ref="H209:L209" si="258">H208</f>
        <v>0</v>
      </c>
      <c r="I209" s="52">
        <f t="shared" si="258"/>
        <v>0</v>
      </c>
      <c r="J209" s="51">
        <f t="shared" si="258"/>
        <v>25</v>
      </c>
      <c r="K209" s="52">
        <f t="shared" si="258"/>
        <v>0</v>
      </c>
      <c r="L209" s="52">
        <f t="shared" si="258"/>
        <v>0</v>
      </c>
      <c r="M209" s="52"/>
      <c r="N209" s="85">
        <f>SUM('AP05'!$F209:$L209)</f>
        <v>1674.31706</v>
      </c>
      <c r="O209" s="51"/>
      <c r="P209" s="51">
        <f>Q208*('AP05'!$R209-1)</f>
        <v>0</v>
      </c>
      <c r="Q209" s="51">
        <f>(Q208*'AP05'!$R209)-'AP05'!$G209</f>
        <v>133676.7051</v>
      </c>
      <c r="R209" s="53">
        <f t="shared" si="149"/>
        <v>1</v>
      </c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56">
        <f t="shared" si="2"/>
        <v>196</v>
      </c>
      <c r="B210" s="50">
        <f t="shared" si="5"/>
        <v>49208</v>
      </c>
      <c r="C210" s="116">
        <f t="shared" si="126"/>
        <v>0.0775</v>
      </c>
      <c r="D210" s="116">
        <f>((1+'AP05'!$C210)^(1/12))-1</f>
        <v>0.006239681461</v>
      </c>
      <c r="E210" s="51">
        <f t="shared" si="127"/>
        <v>2137.579999</v>
      </c>
      <c r="F210" s="51">
        <f>(Q209*'AP05'!$R210)*'AP05'!$D210</f>
        <v>834.1000588</v>
      </c>
      <c r="G210" s="51">
        <f>(Q209*'AP05'!$R210)/($I$5-A209)</f>
        <v>810.1618493</v>
      </c>
      <c r="H210" s="52">
        <f t="shared" ref="H210:L210" si="259">H209</f>
        <v>0</v>
      </c>
      <c r="I210" s="52">
        <f t="shared" si="259"/>
        <v>0</v>
      </c>
      <c r="J210" s="51">
        <f t="shared" si="259"/>
        <v>25</v>
      </c>
      <c r="K210" s="52">
        <f t="shared" si="259"/>
        <v>0</v>
      </c>
      <c r="L210" s="52">
        <f t="shared" si="259"/>
        <v>0</v>
      </c>
      <c r="M210" s="52"/>
      <c r="N210" s="85">
        <f>SUM('AP05'!$F210:$L210)</f>
        <v>1669.261908</v>
      </c>
      <c r="O210" s="51"/>
      <c r="P210" s="51">
        <f>Q209*('AP05'!$R210-1)</f>
        <v>0</v>
      </c>
      <c r="Q210" s="51">
        <f>(Q209*'AP05'!$R210)-'AP05'!$G210</f>
        <v>132866.5433</v>
      </c>
      <c r="R210" s="53">
        <f t="shared" si="149"/>
        <v>1</v>
      </c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56">
        <f t="shared" si="2"/>
        <v>197</v>
      </c>
      <c r="B211" s="50">
        <f t="shared" si="5"/>
        <v>49238</v>
      </c>
      <c r="C211" s="116">
        <f t="shared" si="126"/>
        <v>0.0775</v>
      </c>
      <c r="D211" s="116">
        <f>((1+'AP05'!$C211)^(1/12))-1</f>
        <v>0.006239681461</v>
      </c>
      <c r="E211" s="51">
        <f t="shared" si="127"/>
        <v>2137.579999</v>
      </c>
      <c r="F211" s="51">
        <f>(Q210*'AP05'!$R211)*'AP05'!$D211</f>
        <v>829.044907</v>
      </c>
      <c r="G211" s="51">
        <f>(Q210*'AP05'!$R211)/($I$5-A210)</f>
        <v>810.1618493</v>
      </c>
      <c r="H211" s="52">
        <f t="shared" ref="H211:L211" si="260">H210</f>
        <v>0</v>
      </c>
      <c r="I211" s="52">
        <f t="shared" si="260"/>
        <v>0</v>
      </c>
      <c r="J211" s="51">
        <f t="shared" si="260"/>
        <v>25</v>
      </c>
      <c r="K211" s="52">
        <f t="shared" si="260"/>
        <v>0</v>
      </c>
      <c r="L211" s="52">
        <f t="shared" si="260"/>
        <v>0</v>
      </c>
      <c r="M211" s="52"/>
      <c r="N211" s="85">
        <f>SUM('AP05'!$F211:$L211)</f>
        <v>1664.206756</v>
      </c>
      <c r="O211" s="51"/>
      <c r="P211" s="51">
        <f>Q210*('AP05'!$R211-1)</f>
        <v>0</v>
      </c>
      <c r="Q211" s="51">
        <f>(Q210*'AP05'!$R211)-'AP05'!$G211</f>
        <v>132056.3814</v>
      </c>
      <c r="R211" s="53">
        <f t="shared" si="149"/>
        <v>1</v>
      </c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56">
        <f t="shared" si="2"/>
        <v>198</v>
      </c>
      <c r="B212" s="50">
        <f t="shared" si="5"/>
        <v>49269</v>
      </c>
      <c r="C212" s="116">
        <f t="shared" si="126"/>
        <v>0.0775</v>
      </c>
      <c r="D212" s="116">
        <f>((1+'AP05'!$C212)^(1/12))-1</f>
        <v>0.006239681461</v>
      </c>
      <c r="E212" s="51">
        <f t="shared" si="127"/>
        <v>2137.579999</v>
      </c>
      <c r="F212" s="51">
        <f>(Q211*'AP05'!$R212)*'AP05'!$D212</f>
        <v>823.9897551</v>
      </c>
      <c r="G212" s="51">
        <f>(Q211*'AP05'!$R212)/($I$5-A211)</f>
        <v>810.1618493</v>
      </c>
      <c r="H212" s="52">
        <f t="shared" ref="H212:L212" si="261">H211</f>
        <v>0</v>
      </c>
      <c r="I212" s="52">
        <f t="shared" si="261"/>
        <v>0</v>
      </c>
      <c r="J212" s="51">
        <f t="shared" si="261"/>
        <v>25</v>
      </c>
      <c r="K212" s="52">
        <f t="shared" si="261"/>
        <v>0</v>
      </c>
      <c r="L212" s="52">
        <f t="shared" si="261"/>
        <v>0</v>
      </c>
      <c r="M212" s="52"/>
      <c r="N212" s="85">
        <f>SUM('AP05'!$F212:$L212)</f>
        <v>1659.151604</v>
      </c>
      <c r="O212" s="51"/>
      <c r="P212" s="51">
        <f>Q211*('AP05'!$R212-1)</f>
        <v>0</v>
      </c>
      <c r="Q212" s="51">
        <f>(Q211*'AP05'!$R212)-'AP05'!$G212</f>
        <v>131246.2196</v>
      </c>
      <c r="R212" s="53">
        <f t="shared" si="149"/>
        <v>1</v>
      </c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56">
        <f t="shared" si="2"/>
        <v>199</v>
      </c>
      <c r="B213" s="50">
        <f t="shared" si="5"/>
        <v>49299</v>
      </c>
      <c r="C213" s="116">
        <f t="shared" si="126"/>
        <v>0.0775</v>
      </c>
      <c r="D213" s="116">
        <f>((1+'AP05'!$C213)^(1/12))-1</f>
        <v>0.006239681461</v>
      </c>
      <c r="E213" s="51">
        <f t="shared" si="127"/>
        <v>2137.579999</v>
      </c>
      <c r="F213" s="51">
        <f>(Q212*'AP05'!$R213)*'AP05'!$D213</f>
        <v>818.9346032</v>
      </c>
      <c r="G213" s="51">
        <f>(Q212*'AP05'!$R213)/($I$5-A212)</f>
        <v>810.1618493</v>
      </c>
      <c r="H213" s="52">
        <f t="shared" ref="H213:L213" si="262">H212</f>
        <v>0</v>
      </c>
      <c r="I213" s="52">
        <f t="shared" si="262"/>
        <v>0</v>
      </c>
      <c r="J213" s="51">
        <f t="shared" si="262"/>
        <v>25</v>
      </c>
      <c r="K213" s="52">
        <f t="shared" si="262"/>
        <v>0</v>
      </c>
      <c r="L213" s="52">
        <f t="shared" si="262"/>
        <v>0</v>
      </c>
      <c r="M213" s="52"/>
      <c r="N213" s="85">
        <f>SUM('AP05'!$F213:$L213)</f>
        <v>1654.096453</v>
      </c>
      <c r="O213" s="51"/>
      <c r="P213" s="51">
        <f>Q212*('AP05'!$R213-1)</f>
        <v>0</v>
      </c>
      <c r="Q213" s="51">
        <f>(Q212*'AP05'!$R213)-'AP05'!$G213</f>
        <v>130436.0577</v>
      </c>
      <c r="R213" s="53">
        <f t="shared" si="149"/>
        <v>1</v>
      </c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56">
        <f t="shared" si="2"/>
        <v>200</v>
      </c>
      <c r="B214" s="50">
        <f t="shared" si="5"/>
        <v>49330</v>
      </c>
      <c r="C214" s="116">
        <f t="shared" si="126"/>
        <v>0.0775</v>
      </c>
      <c r="D214" s="116">
        <f>((1+'AP05'!$C214)^(1/12))-1</f>
        <v>0.006239681461</v>
      </c>
      <c r="E214" s="51">
        <f t="shared" si="127"/>
        <v>2137.579999</v>
      </c>
      <c r="F214" s="51">
        <f>(Q213*'AP05'!$R214)*'AP05'!$D214</f>
        <v>813.8794514</v>
      </c>
      <c r="G214" s="51">
        <f>(Q213*'AP05'!$R214)/($I$5-A213)</f>
        <v>810.1618493</v>
      </c>
      <c r="H214" s="52">
        <f t="shared" ref="H214:L214" si="263">H213</f>
        <v>0</v>
      </c>
      <c r="I214" s="52">
        <f t="shared" si="263"/>
        <v>0</v>
      </c>
      <c r="J214" s="51">
        <f t="shared" si="263"/>
        <v>25</v>
      </c>
      <c r="K214" s="52">
        <f t="shared" si="263"/>
        <v>0</v>
      </c>
      <c r="L214" s="52">
        <f t="shared" si="263"/>
        <v>0</v>
      </c>
      <c r="M214" s="52"/>
      <c r="N214" s="85">
        <f>SUM('AP05'!$F214:$L214)</f>
        <v>1649.041301</v>
      </c>
      <c r="O214" s="51"/>
      <c r="P214" s="51">
        <f>Q213*('AP05'!$R214-1)</f>
        <v>0</v>
      </c>
      <c r="Q214" s="51">
        <f>(Q213*'AP05'!$R214)-'AP05'!$G214</f>
        <v>129625.8959</v>
      </c>
      <c r="R214" s="53">
        <f t="shared" si="149"/>
        <v>1</v>
      </c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56">
        <f t="shared" si="2"/>
        <v>201</v>
      </c>
      <c r="B215" s="50">
        <f t="shared" si="5"/>
        <v>49361</v>
      </c>
      <c r="C215" s="116">
        <f t="shared" si="126"/>
        <v>0.0775</v>
      </c>
      <c r="D215" s="116">
        <f>((1+'AP05'!$C215)^(1/12))-1</f>
        <v>0.006239681461</v>
      </c>
      <c r="E215" s="51">
        <f t="shared" si="127"/>
        <v>2137.579999</v>
      </c>
      <c r="F215" s="51">
        <f>(Q214*'AP05'!$R215)*'AP05'!$D215</f>
        <v>808.8242995</v>
      </c>
      <c r="G215" s="51">
        <f>(Q214*'AP05'!$R215)/($I$5-A214)</f>
        <v>810.1618493</v>
      </c>
      <c r="H215" s="52">
        <f t="shared" ref="H215:L215" si="264">H214</f>
        <v>0</v>
      </c>
      <c r="I215" s="52">
        <f t="shared" si="264"/>
        <v>0</v>
      </c>
      <c r="J215" s="51">
        <f t="shared" si="264"/>
        <v>25</v>
      </c>
      <c r="K215" s="52">
        <f t="shared" si="264"/>
        <v>0</v>
      </c>
      <c r="L215" s="52">
        <f t="shared" si="264"/>
        <v>0</v>
      </c>
      <c r="M215" s="52"/>
      <c r="N215" s="85">
        <f>SUM('AP05'!$F215:$L215)</f>
        <v>1643.986149</v>
      </c>
      <c r="O215" s="51"/>
      <c r="P215" s="51">
        <f>Q214*('AP05'!$R215-1)</f>
        <v>0</v>
      </c>
      <c r="Q215" s="51">
        <f>(Q214*'AP05'!$R215)-'AP05'!$G215</f>
        <v>128815.734</v>
      </c>
      <c r="R215" s="53">
        <f t="shared" si="149"/>
        <v>1</v>
      </c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56">
        <f t="shared" si="2"/>
        <v>202</v>
      </c>
      <c r="B216" s="50">
        <f t="shared" si="5"/>
        <v>49389</v>
      </c>
      <c r="C216" s="116">
        <f t="shared" si="126"/>
        <v>0.0775</v>
      </c>
      <c r="D216" s="116">
        <f>((1+'AP05'!$C216)^(1/12))-1</f>
        <v>0.006239681461</v>
      </c>
      <c r="E216" s="51">
        <f t="shared" si="127"/>
        <v>2137.579999</v>
      </c>
      <c r="F216" s="51">
        <f>(Q215*'AP05'!$R216)*'AP05'!$D216</f>
        <v>803.7691476</v>
      </c>
      <c r="G216" s="51">
        <f>(Q215*'AP05'!$R216)/($I$5-A215)</f>
        <v>810.1618493</v>
      </c>
      <c r="H216" s="52">
        <f t="shared" ref="H216:L216" si="265">H215</f>
        <v>0</v>
      </c>
      <c r="I216" s="52">
        <f t="shared" si="265"/>
        <v>0</v>
      </c>
      <c r="J216" s="51">
        <f t="shared" si="265"/>
        <v>25</v>
      </c>
      <c r="K216" s="52">
        <f t="shared" si="265"/>
        <v>0</v>
      </c>
      <c r="L216" s="52">
        <f t="shared" si="265"/>
        <v>0</v>
      </c>
      <c r="M216" s="52"/>
      <c r="N216" s="85">
        <f>SUM('AP05'!$F216:$L216)</f>
        <v>1638.930997</v>
      </c>
      <c r="O216" s="51"/>
      <c r="P216" s="51">
        <f>Q215*('AP05'!$R216-1)</f>
        <v>0</v>
      </c>
      <c r="Q216" s="51">
        <f>(Q215*'AP05'!$R216)-'AP05'!$G216</f>
        <v>128005.5722</v>
      </c>
      <c r="R216" s="53">
        <f t="shared" si="149"/>
        <v>1</v>
      </c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56">
        <f t="shared" si="2"/>
        <v>203</v>
      </c>
      <c r="B217" s="50">
        <f t="shared" si="5"/>
        <v>49420</v>
      </c>
      <c r="C217" s="116">
        <f t="shared" si="126"/>
        <v>0.0775</v>
      </c>
      <c r="D217" s="116">
        <f>((1+'AP05'!$C217)^(1/12))-1</f>
        <v>0.006239681461</v>
      </c>
      <c r="E217" s="51">
        <f t="shared" si="127"/>
        <v>2137.579999</v>
      </c>
      <c r="F217" s="51">
        <f>(Q216*'AP05'!$R217)*'AP05'!$D217</f>
        <v>798.7139957</v>
      </c>
      <c r="G217" s="51">
        <f>(Q216*'AP05'!$R217)/($I$5-A216)</f>
        <v>810.1618493</v>
      </c>
      <c r="H217" s="52">
        <f t="shared" ref="H217:L217" si="266">H216</f>
        <v>0</v>
      </c>
      <c r="I217" s="52">
        <f t="shared" si="266"/>
        <v>0</v>
      </c>
      <c r="J217" s="51">
        <f t="shared" si="266"/>
        <v>25</v>
      </c>
      <c r="K217" s="52">
        <f t="shared" si="266"/>
        <v>0</v>
      </c>
      <c r="L217" s="52">
        <f t="shared" si="266"/>
        <v>0</v>
      </c>
      <c r="M217" s="52"/>
      <c r="N217" s="85">
        <f>SUM('AP05'!$F217:$L217)</f>
        <v>1633.875845</v>
      </c>
      <c r="O217" s="51"/>
      <c r="P217" s="51">
        <f>Q216*('AP05'!$R217-1)</f>
        <v>0</v>
      </c>
      <c r="Q217" s="51">
        <f>(Q216*'AP05'!$R217)-'AP05'!$G217</f>
        <v>127195.4103</v>
      </c>
      <c r="R217" s="53">
        <f t="shared" si="149"/>
        <v>1</v>
      </c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56">
        <f t="shared" si="2"/>
        <v>204</v>
      </c>
      <c r="B218" s="50">
        <f t="shared" si="5"/>
        <v>49450</v>
      </c>
      <c r="C218" s="116">
        <f t="shared" si="126"/>
        <v>0.0775</v>
      </c>
      <c r="D218" s="116">
        <f>((1+'AP05'!$C218)^(1/12))-1</f>
        <v>0.006239681461</v>
      </c>
      <c r="E218" s="51">
        <f t="shared" si="127"/>
        <v>2137.579999</v>
      </c>
      <c r="F218" s="51">
        <f>(Q217*'AP05'!$R218)*'AP05'!$D218</f>
        <v>793.6588439</v>
      </c>
      <c r="G218" s="51">
        <f>(Q217*'AP05'!$R218)/($I$5-A217)</f>
        <v>810.1618493</v>
      </c>
      <c r="H218" s="52">
        <f t="shared" ref="H218:L218" si="267">H217</f>
        <v>0</v>
      </c>
      <c r="I218" s="52">
        <f t="shared" si="267"/>
        <v>0</v>
      </c>
      <c r="J218" s="51">
        <f t="shared" si="267"/>
        <v>25</v>
      </c>
      <c r="K218" s="52">
        <f t="shared" si="267"/>
        <v>0</v>
      </c>
      <c r="L218" s="52">
        <f t="shared" si="267"/>
        <v>0</v>
      </c>
      <c r="M218" s="52"/>
      <c r="N218" s="85">
        <f>SUM('AP05'!$F218:$L218)</f>
        <v>1628.820693</v>
      </c>
      <c r="O218" s="51"/>
      <c r="P218" s="51">
        <f>Q217*('AP05'!$R218-1)</f>
        <v>0</v>
      </c>
      <c r="Q218" s="51">
        <f>(Q217*'AP05'!$R218)-'AP05'!$G218</f>
        <v>126385.2485</v>
      </c>
      <c r="R218" s="53">
        <f t="shared" si="149"/>
        <v>1</v>
      </c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56">
        <f t="shared" si="2"/>
        <v>205</v>
      </c>
      <c r="B219" s="50">
        <f t="shared" si="5"/>
        <v>49481</v>
      </c>
      <c r="C219" s="116">
        <f t="shared" si="126"/>
        <v>0.0775</v>
      </c>
      <c r="D219" s="116">
        <f>((1+'AP05'!$C219)^(1/12))-1</f>
        <v>0.006239681461</v>
      </c>
      <c r="E219" s="51">
        <f t="shared" si="127"/>
        <v>2137.579999</v>
      </c>
      <c r="F219" s="51">
        <f>(Q218*'AP05'!$R219)*'AP05'!$D219</f>
        <v>788.603692</v>
      </c>
      <c r="G219" s="51">
        <f>(Q218*'AP05'!$R219)/($I$5-A218)</f>
        <v>810.1618493</v>
      </c>
      <c r="H219" s="52">
        <f t="shared" ref="H219:L219" si="268">H218</f>
        <v>0</v>
      </c>
      <c r="I219" s="52">
        <f t="shared" si="268"/>
        <v>0</v>
      </c>
      <c r="J219" s="51">
        <f t="shared" si="268"/>
        <v>25</v>
      </c>
      <c r="K219" s="52">
        <f t="shared" si="268"/>
        <v>0</v>
      </c>
      <c r="L219" s="52">
        <f t="shared" si="268"/>
        <v>0</v>
      </c>
      <c r="M219" s="52"/>
      <c r="N219" s="85">
        <f>SUM('AP05'!$F219:$L219)</f>
        <v>1623.765541</v>
      </c>
      <c r="O219" s="51"/>
      <c r="P219" s="51">
        <f>Q218*('AP05'!$R219-1)</f>
        <v>0</v>
      </c>
      <c r="Q219" s="51">
        <f>(Q218*'AP05'!$R219)-'AP05'!$G219</f>
        <v>125575.0866</v>
      </c>
      <c r="R219" s="53">
        <f t="shared" si="149"/>
        <v>1</v>
      </c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56">
        <f t="shared" si="2"/>
        <v>206</v>
      </c>
      <c r="B220" s="50">
        <f t="shared" si="5"/>
        <v>49511</v>
      </c>
      <c r="C220" s="116">
        <f t="shared" si="126"/>
        <v>0.0775</v>
      </c>
      <c r="D220" s="116">
        <f>((1+'AP05'!$C220)^(1/12))-1</f>
        <v>0.006239681461</v>
      </c>
      <c r="E220" s="51">
        <f t="shared" si="127"/>
        <v>2137.579999</v>
      </c>
      <c r="F220" s="51">
        <f>(Q219*'AP05'!$R220)*'AP05'!$D220</f>
        <v>783.5485401</v>
      </c>
      <c r="G220" s="51">
        <f>(Q219*'AP05'!$R220)/($I$5-A219)</f>
        <v>810.1618493</v>
      </c>
      <c r="H220" s="52">
        <f t="shared" ref="H220:L220" si="269">H219</f>
        <v>0</v>
      </c>
      <c r="I220" s="52">
        <f t="shared" si="269"/>
        <v>0</v>
      </c>
      <c r="J220" s="51">
        <f t="shared" si="269"/>
        <v>25</v>
      </c>
      <c r="K220" s="52">
        <f t="shared" si="269"/>
        <v>0</v>
      </c>
      <c r="L220" s="52">
        <f t="shared" si="269"/>
        <v>0</v>
      </c>
      <c r="M220" s="52"/>
      <c r="N220" s="85">
        <f>SUM('AP05'!$F220:$L220)</f>
        <v>1618.710389</v>
      </c>
      <c r="O220" s="51"/>
      <c r="P220" s="51">
        <f>Q219*('AP05'!$R220-1)</f>
        <v>0</v>
      </c>
      <c r="Q220" s="51">
        <f>(Q219*'AP05'!$R220)-'AP05'!$G220</f>
        <v>124764.9248</v>
      </c>
      <c r="R220" s="53">
        <f t="shared" si="149"/>
        <v>1</v>
      </c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56">
        <f t="shared" si="2"/>
        <v>207</v>
      </c>
      <c r="B221" s="50">
        <f t="shared" si="5"/>
        <v>49542</v>
      </c>
      <c r="C221" s="116">
        <f t="shared" si="126"/>
        <v>0.0775</v>
      </c>
      <c r="D221" s="116">
        <f>((1+'AP05'!$C221)^(1/12))-1</f>
        <v>0.006239681461</v>
      </c>
      <c r="E221" s="51">
        <f t="shared" si="127"/>
        <v>2137.579999</v>
      </c>
      <c r="F221" s="51">
        <f>(Q220*'AP05'!$R221)*'AP05'!$D221</f>
        <v>778.4933883</v>
      </c>
      <c r="G221" s="51">
        <f>(Q220*'AP05'!$R221)/($I$5-A220)</f>
        <v>810.1618493</v>
      </c>
      <c r="H221" s="52">
        <f t="shared" ref="H221:L221" si="270">H220</f>
        <v>0</v>
      </c>
      <c r="I221" s="52">
        <f t="shared" si="270"/>
        <v>0</v>
      </c>
      <c r="J221" s="51">
        <f t="shared" si="270"/>
        <v>25</v>
      </c>
      <c r="K221" s="52">
        <f t="shared" si="270"/>
        <v>0</v>
      </c>
      <c r="L221" s="52">
        <f t="shared" si="270"/>
        <v>0</v>
      </c>
      <c r="M221" s="52"/>
      <c r="N221" s="85">
        <f>SUM('AP05'!$F221:$L221)</f>
        <v>1613.655238</v>
      </c>
      <c r="O221" s="51"/>
      <c r="P221" s="51">
        <f>Q220*('AP05'!$R221-1)</f>
        <v>0</v>
      </c>
      <c r="Q221" s="51">
        <f>(Q220*'AP05'!$R221)-'AP05'!$G221</f>
        <v>123954.7629</v>
      </c>
      <c r="R221" s="53">
        <f t="shared" si="149"/>
        <v>1</v>
      </c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56">
        <f t="shared" si="2"/>
        <v>208</v>
      </c>
      <c r="B222" s="50">
        <f t="shared" si="5"/>
        <v>49573</v>
      </c>
      <c r="C222" s="116">
        <f t="shared" si="126"/>
        <v>0.0775</v>
      </c>
      <c r="D222" s="116">
        <f>((1+'AP05'!$C222)^(1/12))-1</f>
        <v>0.006239681461</v>
      </c>
      <c r="E222" s="51">
        <f t="shared" si="127"/>
        <v>2137.579999</v>
      </c>
      <c r="F222" s="51">
        <f>(Q221*'AP05'!$R222)*'AP05'!$D222</f>
        <v>773.4382364</v>
      </c>
      <c r="G222" s="51">
        <f>(Q221*'AP05'!$R222)/($I$5-A221)</f>
        <v>810.1618493</v>
      </c>
      <c r="H222" s="52">
        <f t="shared" ref="H222:L222" si="271">H221</f>
        <v>0</v>
      </c>
      <c r="I222" s="52">
        <f t="shared" si="271"/>
        <v>0</v>
      </c>
      <c r="J222" s="51">
        <f t="shared" si="271"/>
        <v>25</v>
      </c>
      <c r="K222" s="52">
        <f t="shared" si="271"/>
        <v>0</v>
      </c>
      <c r="L222" s="52">
        <f t="shared" si="271"/>
        <v>0</v>
      </c>
      <c r="M222" s="52"/>
      <c r="N222" s="85">
        <f>SUM('AP05'!$F222:$L222)</f>
        <v>1608.600086</v>
      </c>
      <c r="O222" s="51"/>
      <c r="P222" s="51">
        <f>Q221*('AP05'!$R222-1)</f>
        <v>0</v>
      </c>
      <c r="Q222" s="51">
        <f>(Q221*'AP05'!$R222)-'AP05'!$G222</f>
        <v>123144.6011</v>
      </c>
      <c r="R222" s="53">
        <f t="shared" si="149"/>
        <v>1</v>
      </c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56">
        <f t="shared" si="2"/>
        <v>209</v>
      </c>
      <c r="B223" s="50">
        <f t="shared" si="5"/>
        <v>49603</v>
      </c>
      <c r="C223" s="116">
        <f t="shared" si="126"/>
        <v>0.0775</v>
      </c>
      <c r="D223" s="116">
        <f>((1+'AP05'!$C223)^(1/12))-1</f>
        <v>0.006239681461</v>
      </c>
      <c r="E223" s="51">
        <f t="shared" si="127"/>
        <v>2137.579999</v>
      </c>
      <c r="F223" s="51">
        <f>(Q222*'AP05'!$R223)*'AP05'!$D223</f>
        <v>768.3830845</v>
      </c>
      <c r="G223" s="51">
        <f>(Q222*'AP05'!$R223)/($I$5-A222)</f>
        <v>810.1618493</v>
      </c>
      <c r="H223" s="52">
        <f t="shared" ref="H223:L223" si="272">H222</f>
        <v>0</v>
      </c>
      <c r="I223" s="52">
        <f t="shared" si="272"/>
        <v>0</v>
      </c>
      <c r="J223" s="51">
        <f t="shared" si="272"/>
        <v>25</v>
      </c>
      <c r="K223" s="52">
        <f t="shared" si="272"/>
        <v>0</v>
      </c>
      <c r="L223" s="52">
        <f t="shared" si="272"/>
        <v>0</v>
      </c>
      <c r="M223" s="52"/>
      <c r="N223" s="85">
        <f>SUM('AP05'!$F223:$L223)</f>
        <v>1603.544934</v>
      </c>
      <c r="O223" s="51"/>
      <c r="P223" s="51">
        <f>Q222*('AP05'!$R223-1)</f>
        <v>0</v>
      </c>
      <c r="Q223" s="51">
        <f>(Q222*'AP05'!$R223)-'AP05'!$G223</f>
        <v>122334.4392</v>
      </c>
      <c r="R223" s="53">
        <f t="shared" si="149"/>
        <v>1</v>
      </c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56">
        <f t="shared" si="2"/>
        <v>210</v>
      </c>
      <c r="B224" s="50">
        <f t="shared" si="5"/>
        <v>49634</v>
      </c>
      <c r="C224" s="116">
        <f t="shared" si="126"/>
        <v>0.0775</v>
      </c>
      <c r="D224" s="116">
        <f>((1+'AP05'!$C224)^(1/12))-1</f>
        <v>0.006239681461</v>
      </c>
      <c r="E224" s="51">
        <f t="shared" si="127"/>
        <v>2137.579999</v>
      </c>
      <c r="F224" s="51">
        <f>(Q223*'AP05'!$R224)*'AP05'!$D224</f>
        <v>763.3279326</v>
      </c>
      <c r="G224" s="51">
        <f>(Q223*'AP05'!$R224)/($I$5-A223)</f>
        <v>810.1618493</v>
      </c>
      <c r="H224" s="52">
        <f t="shared" ref="H224:L224" si="273">H223</f>
        <v>0</v>
      </c>
      <c r="I224" s="52">
        <f t="shared" si="273"/>
        <v>0</v>
      </c>
      <c r="J224" s="51">
        <f t="shared" si="273"/>
        <v>25</v>
      </c>
      <c r="K224" s="52">
        <f t="shared" si="273"/>
        <v>0</v>
      </c>
      <c r="L224" s="52">
        <f t="shared" si="273"/>
        <v>0</v>
      </c>
      <c r="M224" s="52"/>
      <c r="N224" s="85">
        <f>SUM('AP05'!$F224:$L224)</f>
        <v>1598.489782</v>
      </c>
      <c r="O224" s="51"/>
      <c r="P224" s="51">
        <f>Q223*('AP05'!$R224-1)</f>
        <v>0</v>
      </c>
      <c r="Q224" s="51">
        <f>(Q223*'AP05'!$R224)-'AP05'!$G224</f>
        <v>121524.2774</v>
      </c>
      <c r="R224" s="53">
        <f t="shared" si="149"/>
        <v>1</v>
      </c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56">
        <f t="shared" si="2"/>
        <v>211</v>
      </c>
      <c r="B225" s="50">
        <f t="shared" si="5"/>
        <v>49664</v>
      </c>
      <c r="C225" s="116">
        <f t="shared" si="126"/>
        <v>0.0775</v>
      </c>
      <c r="D225" s="116">
        <f>((1+'AP05'!$C225)^(1/12))-1</f>
        <v>0.006239681461</v>
      </c>
      <c r="E225" s="51">
        <f t="shared" si="127"/>
        <v>2137.579999</v>
      </c>
      <c r="F225" s="51">
        <f>(Q224*'AP05'!$R225)*'AP05'!$D225</f>
        <v>758.2727808</v>
      </c>
      <c r="G225" s="51">
        <f>(Q224*'AP05'!$R225)/($I$5-A224)</f>
        <v>810.1618493</v>
      </c>
      <c r="H225" s="52">
        <f t="shared" ref="H225:L225" si="274">H224</f>
        <v>0</v>
      </c>
      <c r="I225" s="52">
        <f t="shared" si="274"/>
        <v>0</v>
      </c>
      <c r="J225" s="51">
        <f t="shared" si="274"/>
        <v>25</v>
      </c>
      <c r="K225" s="52">
        <f t="shared" si="274"/>
        <v>0</v>
      </c>
      <c r="L225" s="52">
        <f t="shared" si="274"/>
        <v>0</v>
      </c>
      <c r="M225" s="52"/>
      <c r="N225" s="85">
        <f>SUM('AP05'!$F225:$L225)</f>
        <v>1593.43463</v>
      </c>
      <c r="O225" s="51"/>
      <c r="P225" s="51">
        <f>Q224*('AP05'!$R225-1)</f>
        <v>0</v>
      </c>
      <c r="Q225" s="51">
        <f>(Q224*'AP05'!$R225)-'AP05'!$G225</f>
        <v>120714.1155</v>
      </c>
      <c r="R225" s="53">
        <f t="shared" si="149"/>
        <v>1</v>
      </c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56">
        <f t="shared" si="2"/>
        <v>212</v>
      </c>
      <c r="B226" s="50">
        <f t="shared" si="5"/>
        <v>49695</v>
      </c>
      <c r="C226" s="116">
        <f t="shared" si="126"/>
        <v>0.0775</v>
      </c>
      <c r="D226" s="116">
        <f>((1+'AP05'!$C226)^(1/12))-1</f>
        <v>0.006239681461</v>
      </c>
      <c r="E226" s="51">
        <f t="shared" si="127"/>
        <v>2137.579999</v>
      </c>
      <c r="F226" s="51">
        <f>(Q225*'AP05'!$R226)*'AP05'!$D226</f>
        <v>753.2176289</v>
      </c>
      <c r="G226" s="51">
        <f>(Q225*'AP05'!$R226)/($I$5-A225)</f>
        <v>810.1618493</v>
      </c>
      <c r="H226" s="52">
        <f t="shared" ref="H226:L226" si="275">H225</f>
        <v>0</v>
      </c>
      <c r="I226" s="52">
        <f t="shared" si="275"/>
        <v>0</v>
      </c>
      <c r="J226" s="51">
        <f t="shared" si="275"/>
        <v>25</v>
      </c>
      <c r="K226" s="52">
        <f t="shared" si="275"/>
        <v>0</v>
      </c>
      <c r="L226" s="52">
        <f t="shared" si="275"/>
        <v>0</v>
      </c>
      <c r="M226" s="52"/>
      <c r="N226" s="85">
        <f>SUM('AP05'!$F226:$L226)</f>
        <v>1588.379478</v>
      </c>
      <c r="O226" s="51"/>
      <c r="P226" s="51">
        <f>Q225*('AP05'!$R226-1)</f>
        <v>0</v>
      </c>
      <c r="Q226" s="51">
        <f>(Q225*'AP05'!$R226)-'AP05'!$G226</f>
        <v>119903.9537</v>
      </c>
      <c r="R226" s="53">
        <f t="shared" si="149"/>
        <v>1</v>
      </c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56">
        <f t="shared" si="2"/>
        <v>213</v>
      </c>
      <c r="B227" s="50">
        <f t="shared" si="5"/>
        <v>49726</v>
      </c>
      <c r="C227" s="116">
        <f t="shared" si="126"/>
        <v>0.0775</v>
      </c>
      <c r="D227" s="116">
        <f>((1+'AP05'!$C227)^(1/12))-1</f>
        <v>0.006239681461</v>
      </c>
      <c r="E227" s="51">
        <f t="shared" si="127"/>
        <v>2137.579999</v>
      </c>
      <c r="F227" s="51">
        <f>(Q226*'AP05'!$R227)*'AP05'!$D227</f>
        <v>748.162477</v>
      </c>
      <c r="G227" s="51">
        <f>(Q226*'AP05'!$R227)/($I$5-A226)</f>
        <v>810.1618493</v>
      </c>
      <c r="H227" s="52">
        <f t="shared" ref="H227:L227" si="276">H226</f>
        <v>0</v>
      </c>
      <c r="I227" s="52">
        <f t="shared" si="276"/>
        <v>0</v>
      </c>
      <c r="J227" s="51">
        <f t="shared" si="276"/>
        <v>25</v>
      </c>
      <c r="K227" s="52">
        <f t="shared" si="276"/>
        <v>0</v>
      </c>
      <c r="L227" s="52">
        <f t="shared" si="276"/>
        <v>0</v>
      </c>
      <c r="M227" s="52"/>
      <c r="N227" s="85">
        <f>SUM('AP05'!$F227:$L227)</f>
        <v>1583.324326</v>
      </c>
      <c r="O227" s="51"/>
      <c r="P227" s="51">
        <f>Q226*('AP05'!$R227-1)</f>
        <v>0</v>
      </c>
      <c r="Q227" s="51">
        <f>(Q226*'AP05'!$R227)-'AP05'!$G227</f>
        <v>119093.7918</v>
      </c>
      <c r="R227" s="53">
        <f t="shared" si="149"/>
        <v>1</v>
      </c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56">
        <f t="shared" si="2"/>
        <v>214</v>
      </c>
      <c r="B228" s="50">
        <f t="shared" si="5"/>
        <v>49755</v>
      </c>
      <c r="C228" s="116">
        <f t="shared" si="126"/>
        <v>0.0775</v>
      </c>
      <c r="D228" s="116">
        <f>((1+'AP05'!$C228)^(1/12))-1</f>
        <v>0.006239681461</v>
      </c>
      <c r="E228" s="51">
        <f t="shared" si="127"/>
        <v>2137.579999</v>
      </c>
      <c r="F228" s="51">
        <f>(Q227*'AP05'!$R228)*'AP05'!$D228</f>
        <v>743.1073252</v>
      </c>
      <c r="G228" s="51">
        <f>(Q227*'AP05'!$R228)/($I$5-A227)</f>
        <v>810.1618493</v>
      </c>
      <c r="H228" s="52">
        <f t="shared" ref="H228:L228" si="277">H227</f>
        <v>0</v>
      </c>
      <c r="I228" s="52">
        <f t="shared" si="277"/>
        <v>0</v>
      </c>
      <c r="J228" s="51">
        <f t="shared" si="277"/>
        <v>25</v>
      </c>
      <c r="K228" s="52">
        <f t="shared" si="277"/>
        <v>0</v>
      </c>
      <c r="L228" s="52">
        <f t="shared" si="277"/>
        <v>0</v>
      </c>
      <c r="M228" s="52"/>
      <c r="N228" s="85">
        <f>SUM('AP05'!$F228:$L228)</f>
        <v>1578.269174</v>
      </c>
      <c r="O228" s="51"/>
      <c r="P228" s="51">
        <f>Q227*('AP05'!$R228-1)</f>
        <v>0</v>
      </c>
      <c r="Q228" s="51">
        <f>(Q227*'AP05'!$R228)-'AP05'!$G228</f>
        <v>118283.63</v>
      </c>
      <c r="R228" s="53">
        <f t="shared" si="149"/>
        <v>1</v>
      </c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56">
        <f t="shared" si="2"/>
        <v>215</v>
      </c>
      <c r="B229" s="50">
        <f t="shared" si="5"/>
        <v>49786</v>
      </c>
      <c r="C229" s="116">
        <f t="shared" si="126"/>
        <v>0.0775</v>
      </c>
      <c r="D229" s="116">
        <f>((1+'AP05'!$C229)^(1/12))-1</f>
        <v>0.006239681461</v>
      </c>
      <c r="E229" s="51">
        <f t="shared" si="127"/>
        <v>2137.579999</v>
      </c>
      <c r="F229" s="51">
        <f>(Q228*'AP05'!$R229)*'AP05'!$D229</f>
        <v>738.0521733</v>
      </c>
      <c r="G229" s="51">
        <f>(Q228*'AP05'!$R229)/($I$5-A228)</f>
        <v>810.1618493</v>
      </c>
      <c r="H229" s="52">
        <f t="shared" ref="H229:L229" si="278">H228</f>
        <v>0</v>
      </c>
      <c r="I229" s="52">
        <f t="shared" si="278"/>
        <v>0</v>
      </c>
      <c r="J229" s="51">
        <f t="shared" si="278"/>
        <v>25</v>
      </c>
      <c r="K229" s="52">
        <f t="shared" si="278"/>
        <v>0</v>
      </c>
      <c r="L229" s="52">
        <f t="shared" si="278"/>
        <v>0</v>
      </c>
      <c r="M229" s="52"/>
      <c r="N229" s="85">
        <f>SUM('AP05'!$F229:$L229)</f>
        <v>1573.214023</v>
      </c>
      <c r="O229" s="51"/>
      <c r="P229" s="51">
        <f>Q228*('AP05'!$R229-1)</f>
        <v>0</v>
      </c>
      <c r="Q229" s="51">
        <f>(Q228*'AP05'!$R229)-'AP05'!$G229</f>
        <v>117473.4682</v>
      </c>
      <c r="R229" s="53">
        <f t="shared" si="149"/>
        <v>1</v>
      </c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56">
        <f t="shared" si="2"/>
        <v>216</v>
      </c>
      <c r="B230" s="50">
        <f t="shared" si="5"/>
        <v>49816</v>
      </c>
      <c r="C230" s="116">
        <f t="shared" si="126"/>
        <v>0.0775</v>
      </c>
      <c r="D230" s="116">
        <f>((1+'AP05'!$C230)^(1/12))-1</f>
        <v>0.006239681461</v>
      </c>
      <c r="E230" s="51">
        <f t="shared" si="127"/>
        <v>2137.579999</v>
      </c>
      <c r="F230" s="51">
        <f>(Q229*'AP05'!$R230)*'AP05'!$D230</f>
        <v>732.9970214</v>
      </c>
      <c r="G230" s="51">
        <f>(Q229*'AP05'!$R230)/($I$5-A229)</f>
        <v>810.1618493</v>
      </c>
      <c r="H230" s="52">
        <f t="shared" ref="H230:L230" si="279">H229</f>
        <v>0</v>
      </c>
      <c r="I230" s="52">
        <f t="shared" si="279"/>
        <v>0</v>
      </c>
      <c r="J230" s="51">
        <f t="shared" si="279"/>
        <v>25</v>
      </c>
      <c r="K230" s="52">
        <f t="shared" si="279"/>
        <v>0</v>
      </c>
      <c r="L230" s="52">
        <f t="shared" si="279"/>
        <v>0</v>
      </c>
      <c r="M230" s="52"/>
      <c r="N230" s="85">
        <f>SUM('AP05'!$F230:$L230)</f>
        <v>1568.158871</v>
      </c>
      <c r="O230" s="51"/>
      <c r="P230" s="51">
        <f>Q229*('AP05'!$R230-1)</f>
        <v>0</v>
      </c>
      <c r="Q230" s="51">
        <f>(Q229*'AP05'!$R230)-'AP05'!$G230</f>
        <v>116663.3063</v>
      </c>
      <c r="R230" s="53">
        <f t="shared" si="149"/>
        <v>1</v>
      </c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56">
        <f t="shared" si="2"/>
        <v>217</v>
      </c>
      <c r="B231" s="50">
        <f t="shared" si="5"/>
        <v>49847</v>
      </c>
      <c r="C231" s="116">
        <f t="shared" si="126"/>
        <v>0.0775</v>
      </c>
      <c r="D231" s="116">
        <f>((1+'AP05'!$C231)^(1/12))-1</f>
        <v>0.006239681461</v>
      </c>
      <c r="E231" s="51">
        <f t="shared" si="127"/>
        <v>2137.579999</v>
      </c>
      <c r="F231" s="51">
        <f>(Q230*'AP05'!$R231)*'AP05'!$D231</f>
        <v>727.9418695</v>
      </c>
      <c r="G231" s="51">
        <f>(Q230*'AP05'!$R231)/($I$5-A230)</f>
        <v>810.1618493</v>
      </c>
      <c r="H231" s="52">
        <f t="shared" ref="H231:L231" si="280">H230</f>
        <v>0</v>
      </c>
      <c r="I231" s="52">
        <f t="shared" si="280"/>
        <v>0</v>
      </c>
      <c r="J231" s="51">
        <f t="shared" si="280"/>
        <v>25</v>
      </c>
      <c r="K231" s="52">
        <f t="shared" si="280"/>
        <v>0</v>
      </c>
      <c r="L231" s="52">
        <f t="shared" si="280"/>
        <v>0</v>
      </c>
      <c r="M231" s="52"/>
      <c r="N231" s="85">
        <f>SUM('AP05'!$F231:$L231)</f>
        <v>1563.103719</v>
      </c>
      <c r="O231" s="51"/>
      <c r="P231" s="51">
        <f>Q230*('AP05'!$R231-1)</f>
        <v>0</v>
      </c>
      <c r="Q231" s="51">
        <f>(Q230*'AP05'!$R231)-'AP05'!$G231</f>
        <v>115853.1445</v>
      </c>
      <c r="R231" s="53">
        <f t="shared" si="149"/>
        <v>1</v>
      </c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56">
        <f t="shared" si="2"/>
        <v>218</v>
      </c>
      <c r="B232" s="50">
        <f t="shared" si="5"/>
        <v>49877</v>
      </c>
      <c r="C232" s="116">
        <f t="shared" si="126"/>
        <v>0.0775</v>
      </c>
      <c r="D232" s="116">
        <f>((1+'AP05'!$C232)^(1/12))-1</f>
        <v>0.006239681461</v>
      </c>
      <c r="E232" s="51">
        <f t="shared" si="127"/>
        <v>2137.579999</v>
      </c>
      <c r="F232" s="51">
        <f>(Q231*'AP05'!$R232)*'AP05'!$D232</f>
        <v>722.8867177</v>
      </c>
      <c r="G232" s="51">
        <f>(Q231*'AP05'!$R232)/($I$5-A231)</f>
        <v>810.1618493</v>
      </c>
      <c r="H232" s="52">
        <f t="shared" ref="H232:L232" si="281">H231</f>
        <v>0</v>
      </c>
      <c r="I232" s="52">
        <f t="shared" si="281"/>
        <v>0</v>
      </c>
      <c r="J232" s="51">
        <f t="shared" si="281"/>
        <v>25</v>
      </c>
      <c r="K232" s="52">
        <f t="shared" si="281"/>
        <v>0</v>
      </c>
      <c r="L232" s="52">
        <f t="shared" si="281"/>
        <v>0</v>
      </c>
      <c r="M232" s="52"/>
      <c r="N232" s="85">
        <f>SUM('AP05'!$F232:$L232)</f>
        <v>1558.048567</v>
      </c>
      <c r="O232" s="51"/>
      <c r="P232" s="51">
        <f>Q231*('AP05'!$R232-1)</f>
        <v>0</v>
      </c>
      <c r="Q232" s="51">
        <f>(Q231*'AP05'!$R232)-'AP05'!$G232</f>
        <v>115042.9826</v>
      </c>
      <c r="R232" s="53">
        <f t="shared" si="149"/>
        <v>1</v>
      </c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56">
        <f t="shared" si="2"/>
        <v>219</v>
      </c>
      <c r="B233" s="50">
        <f t="shared" si="5"/>
        <v>49908</v>
      </c>
      <c r="C233" s="116">
        <f t="shared" si="126"/>
        <v>0.0775</v>
      </c>
      <c r="D233" s="116">
        <f>((1+'AP05'!$C233)^(1/12))-1</f>
        <v>0.006239681461</v>
      </c>
      <c r="E233" s="51">
        <f t="shared" si="127"/>
        <v>2137.579999</v>
      </c>
      <c r="F233" s="51">
        <f>(Q232*'AP05'!$R233)*'AP05'!$D233</f>
        <v>717.8315658</v>
      </c>
      <c r="G233" s="51">
        <f>(Q232*'AP05'!$R233)/($I$5-A232)</f>
        <v>810.1618493</v>
      </c>
      <c r="H233" s="52">
        <f t="shared" ref="H233:L233" si="282">H232</f>
        <v>0</v>
      </c>
      <c r="I233" s="52">
        <f t="shared" si="282"/>
        <v>0</v>
      </c>
      <c r="J233" s="51">
        <f t="shared" si="282"/>
        <v>25</v>
      </c>
      <c r="K233" s="52">
        <f t="shared" si="282"/>
        <v>0</v>
      </c>
      <c r="L233" s="52">
        <f t="shared" si="282"/>
        <v>0</v>
      </c>
      <c r="M233" s="52"/>
      <c r="N233" s="85">
        <f>SUM('AP05'!$F233:$L233)</f>
        <v>1552.993415</v>
      </c>
      <c r="O233" s="51"/>
      <c r="P233" s="51">
        <f>Q232*('AP05'!$R233-1)</f>
        <v>0</v>
      </c>
      <c r="Q233" s="51">
        <f>(Q232*'AP05'!$R233)-'AP05'!$G233</f>
        <v>114232.8208</v>
      </c>
      <c r="R233" s="53">
        <f t="shared" si="149"/>
        <v>1</v>
      </c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56">
        <f t="shared" si="2"/>
        <v>220</v>
      </c>
      <c r="B234" s="50">
        <f t="shared" si="5"/>
        <v>49939</v>
      </c>
      <c r="C234" s="116">
        <f t="shared" si="126"/>
        <v>0.0775</v>
      </c>
      <c r="D234" s="116">
        <f>((1+'AP05'!$C234)^(1/12))-1</f>
        <v>0.006239681461</v>
      </c>
      <c r="E234" s="51">
        <f t="shared" si="127"/>
        <v>2137.579999</v>
      </c>
      <c r="F234" s="51">
        <f>(Q233*'AP05'!$R234)*'AP05'!$D234</f>
        <v>712.7764139</v>
      </c>
      <c r="G234" s="51">
        <f>(Q233*'AP05'!$R234)/($I$5-A233)</f>
        <v>810.1618493</v>
      </c>
      <c r="H234" s="52">
        <f t="shared" ref="H234:L234" si="283">H233</f>
        <v>0</v>
      </c>
      <c r="I234" s="52">
        <f t="shared" si="283"/>
        <v>0</v>
      </c>
      <c r="J234" s="51">
        <f t="shared" si="283"/>
        <v>25</v>
      </c>
      <c r="K234" s="52">
        <f t="shared" si="283"/>
        <v>0</v>
      </c>
      <c r="L234" s="52">
        <f t="shared" si="283"/>
        <v>0</v>
      </c>
      <c r="M234" s="52"/>
      <c r="N234" s="85">
        <f>SUM('AP05'!$F234:$L234)</f>
        <v>1547.938263</v>
      </c>
      <c r="O234" s="51"/>
      <c r="P234" s="51">
        <f>Q233*('AP05'!$R234-1)</f>
        <v>0</v>
      </c>
      <c r="Q234" s="51">
        <f>(Q233*'AP05'!$R234)-'AP05'!$G234</f>
        <v>113422.6589</v>
      </c>
      <c r="R234" s="53">
        <f t="shared" si="149"/>
        <v>1</v>
      </c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56">
        <f t="shared" si="2"/>
        <v>221</v>
      </c>
      <c r="B235" s="50">
        <f t="shared" si="5"/>
        <v>49969</v>
      </c>
      <c r="C235" s="116">
        <f t="shared" si="126"/>
        <v>0.0775</v>
      </c>
      <c r="D235" s="116">
        <f>((1+'AP05'!$C235)^(1/12))-1</f>
        <v>0.006239681461</v>
      </c>
      <c r="E235" s="51">
        <f t="shared" si="127"/>
        <v>2137.579999</v>
      </c>
      <c r="F235" s="51">
        <f>(Q234*'AP05'!$R235)*'AP05'!$D235</f>
        <v>707.7212621</v>
      </c>
      <c r="G235" s="51">
        <f>(Q234*'AP05'!$R235)/($I$5-A234)</f>
        <v>810.1618493</v>
      </c>
      <c r="H235" s="52">
        <f t="shared" ref="H235:L235" si="284">H234</f>
        <v>0</v>
      </c>
      <c r="I235" s="52">
        <f t="shared" si="284"/>
        <v>0</v>
      </c>
      <c r="J235" s="51">
        <f t="shared" si="284"/>
        <v>25</v>
      </c>
      <c r="K235" s="52">
        <f t="shared" si="284"/>
        <v>0</v>
      </c>
      <c r="L235" s="52">
        <f t="shared" si="284"/>
        <v>0</v>
      </c>
      <c r="M235" s="52"/>
      <c r="N235" s="85">
        <f>SUM('AP05'!$F235:$L235)</f>
        <v>1542.883111</v>
      </c>
      <c r="O235" s="51"/>
      <c r="P235" s="51">
        <f>Q234*('AP05'!$R235-1)</f>
        <v>0</v>
      </c>
      <c r="Q235" s="51">
        <f>(Q234*'AP05'!$R235)-'AP05'!$G235</f>
        <v>112612.4971</v>
      </c>
      <c r="R235" s="53">
        <f t="shared" si="149"/>
        <v>1</v>
      </c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56">
        <f t="shared" si="2"/>
        <v>222</v>
      </c>
      <c r="B236" s="50">
        <f t="shared" si="5"/>
        <v>50000</v>
      </c>
      <c r="C236" s="116">
        <f t="shared" si="126"/>
        <v>0.0775</v>
      </c>
      <c r="D236" s="116">
        <f>((1+'AP05'!$C236)^(1/12))-1</f>
        <v>0.006239681461</v>
      </c>
      <c r="E236" s="51">
        <f t="shared" si="127"/>
        <v>2137.579999</v>
      </c>
      <c r="F236" s="51">
        <f>(Q235*'AP05'!$R236)*'AP05'!$D236</f>
        <v>702.6661102</v>
      </c>
      <c r="G236" s="51">
        <f>(Q235*'AP05'!$R236)/($I$5-A235)</f>
        <v>810.1618493</v>
      </c>
      <c r="H236" s="52">
        <f t="shared" ref="H236:L236" si="285">H235</f>
        <v>0</v>
      </c>
      <c r="I236" s="52">
        <f t="shared" si="285"/>
        <v>0</v>
      </c>
      <c r="J236" s="51">
        <f t="shared" si="285"/>
        <v>25</v>
      </c>
      <c r="K236" s="52">
        <f t="shared" si="285"/>
        <v>0</v>
      </c>
      <c r="L236" s="52">
        <f t="shared" si="285"/>
        <v>0</v>
      </c>
      <c r="M236" s="52"/>
      <c r="N236" s="85">
        <f>SUM('AP05'!$F236:$L236)</f>
        <v>1537.827959</v>
      </c>
      <c r="O236" s="51"/>
      <c r="P236" s="51">
        <f>Q235*('AP05'!$R236-1)</f>
        <v>0</v>
      </c>
      <c r="Q236" s="51">
        <f>(Q235*'AP05'!$R236)-'AP05'!$G236</f>
        <v>111802.3352</v>
      </c>
      <c r="R236" s="53">
        <f t="shared" si="149"/>
        <v>1</v>
      </c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56">
        <f t="shared" si="2"/>
        <v>223</v>
      </c>
      <c r="B237" s="50">
        <f t="shared" si="5"/>
        <v>50030</v>
      </c>
      <c r="C237" s="116">
        <f t="shared" si="126"/>
        <v>0.0775</v>
      </c>
      <c r="D237" s="116">
        <f>((1+'AP05'!$C237)^(1/12))-1</f>
        <v>0.006239681461</v>
      </c>
      <c r="E237" s="51">
        <f t="shared" si="127"/>
        <v>2137.579999</v>
      </c>
      <c r="F237" s="51">
        <f>(Q236*'AP05'!$R237)*'AP05'!$D237</f>
        <v>697.6109583</v>
      </c>
      <c r="G237" s="51">
        <f>(Q236*'AP05'!$R237)/($I$5-A236)</f>
        <v>810.1618493</v>
      </c>
      <c r="H237" s="52">
        <f t="shared" ref="H237:L237" si="286">H236</f>
        <v>0</v>
      </c>
      <c r="I237" s="52">
        <f t="shared" si="286"/>
        <v>0</v>
      </c>
      <c r="J237" s="51">
        <f t="shared" si="286"/>
        <v>25</v>
      </c>
      <c r="K237" s="52">
        <f t="shared" si="286"/>
        <v>0</v>
      </c>
      <c r="L237" s="52">
        <f t="shared" si="286"/>
        <v>0</v>
      </c>
      <c r="M237" s="52"/>
      <c r="N237" s="85">
        <f>SUM('AP05'!$F237:$L237)</f>
        <v>1532.772808</v>
      </c>
      <c r="O237" s="51"/>
      <c r="P237" s="51">
        <f>Q236*('AP05'!$R237-1)</f>
        <v>0</v>
      </c>
      <c r="Q237" s="51">
        <f>(Q236*'AP05'!$R237)-'AP05'!$G237</f>
        <v>110992.1734</v>
      </c>
      <c r="R237" s="53">
        <f t="shared" si="149"/>
        <v>1</v>
      </c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56">
        <f t="shared" si="2"/>
        <v>224</v>
      </c>
      <c r="B238" s="50">
        <f t="shared" si="5"/>
        <v>50061</v>
      </c>
      <c r="C238" s="116">
        <f t="shared" si="126"/>
        <v>0.0775</v>
      </c>
      <c r="D238" s="116">
        <f>((1+'AP05'!$C238)^(1/12))-1</f>
        <v>0.006239681461</v>
      </c>
      <c r="E238" s="51">
        <f t="shared" si="127"/>
        <v>2137.579999</v>
      </c>
      <c r="F238" s="51">
        <f>(Q237*'AP05'!$R238)*'AP05'!$D238</f>
        <v>692.5558064</v>
      </c>
      <c r="G238" s="51">
        <f>(Q237*'AP05'!$R238)/($I$5-A237)</f>
        <v>810.1618493</v>
      </c>
      <c r="H238" s="52">
        <f t="shared" ref="H238:L238" si="287">H237</f>
        <v>0</v>
      </c>
      <c r="I238" s="52">
        <f t="shared" si="287"/>
        <v>0</v>
      </c>
      <c r="J238" s="51">
        <f t="shared" si="287"/>
        <v>25</v>
      </c>
      <c r="K238" s="52">
        <f t="shared" si="287"/>
        <v>0</v>
      </c>
      <c r="L238" s="52">
        <f t="shared" si="287"/>
        <v>0</v>
      </c>
      <c r="M238" s="52"/>
      <c r="N238" s="85">
        <f>SUM('AP05'!$F238:$L238)</f>
        <v>1527.717656</v>
      </c>
      <c r="O238" s="51"/>
      <c r="P238" s="51">
        <f>Q237*('AP05'!$R238-1)</f>
        <v>0</v>
      </c>
      <c r="Q238" s="51">
        <f>(Q237*'AP05'!$R238)-'AP05'!$G238</f>
        <v>110182.0115</v>
      </c>
      <c r="R238" s="53">
        <f t="shared" si="149"/>
        <v>1</v>
      </c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56">
        <f t="shared" si="2"/>
        <v>225</v>
      </c>
      <c r="B239" s="50">
        <f t="shared" si="5"/>
        <v>50092</v>
      </c>
      <c r="C239" s="116">
        <f t="shared" si="126"/>
        <v>0.0775</v>
      </c>
      <c r="D239" s="116">
        <f>((1+'AP05'!$C239)^(1/12))-1</f>
        <v>0.006239681461</v>
      </c>
      <c r="E239" s="51">
        <f t="shared" si="127"/>
        <v>2137.579999</v>
      </c>
      <c r="F239" s="51">
        <f>(Q238*'AP05'!$R239)*'AP05'!$D239</f>
        <v>687.5006546</v>
      </c>
      <c r="G239" s="51">
        <f>(Q238*'AP05'!$R239)/($I$5-A238)</f>
        <v>810.1618493</v>
      </c>
      <c r="H239" s="52">
        <f t="shared" ref="H239:L239" si="288">H238</f>
        <v>0</v>
      </c>
      <c r="I239" s="52">
        <f t="shared" si="288"/>
        <v>0</v>
      </c>
      <c r="J239" s="51">
        <f t="shared" si="288"/>
        <v>25</v>
      </c>
      <c r="K239" s="52">
        <f t="shared" si="288"/>
        <v>0</v>
      </c>
      <c r="L239" s="52">
        <f t="shared" si="288"/>
        <v>0</v>
      </c>
      <c r="M239" s="52"/>
      <c r="N239" s="85">
        <f>SUM('AP05'!$F239:$L239)</f>
        <v>1522.662504</v>
      </c>
      <c r="O239" s="51"/>
      <c r="P239" s="51">
        <f>Q238*('AP05'!$R239-1)</f>
        <v>0</v>
      </c>
      <c r="Q239" s="51">
        <f>(Q238*'AP05'!$R239)-'AP05'!$G239</f>
        <v>109371.8497</v>
      </c>
      <c r="R239" s="53">
        <f t="shared" si="149"/>
        <v>1</v>
      </c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56">
        <f t="shared" si="2"/>
        <v>226</v>
      </c>
      <c r="B240" s="50">
        <f t="shared" si="5"/>
        <v>50120</v>
      </c>
      <c r="C240" s="116">
        <f t="shared" si="126"/>
        <v>0.0775</v>
      </c>
      <c r="D240" s="116">
        <f>((1+'AP05'!$C240)^(1/12))-1</f>
        <v>0.006239681461</v>
      </c>
      <c r="E240" s="51">
        <f t="shared" si="127"/>
        <v>2137.579999</v>
      </c>
      <c r="F240" s="51">
        <f>(Q239*'AP05'!$R240)*'AP05'!$D240</f>
        <v>682.4455027</v>
      </c>
      <c r="G240" s="51">
        <f>(Q239*'AP05'!$R240)/($I$5-A239)</f>
        <v>810.1618493</v>
      </c>
      <c r="H240" s="52">
        <f t="shared" ref="H240:L240" si="289">H239</f>
        <v>0</v>
      </c>
      <c r="I240" s="52">
        <f t="shared" si="289"/>
        <v>0</v>
      </c>
      <c r="J240" s="51">
        <f t="shared" si="289"/>
        <v>25</v>
      </c>
      <c r="K240" s="52">
        <f t="shared" si="289"/>
        <v>0</v>
      </c>
      <c r="L240" s="52">
        <f t="shared" si="289"/>
        <v>0</v>
      </c>
      <c r="M240" s="52"/>
      <c r="N240" s="85">
        <f>SUM('AP05'!$F240:$L240)</f>
        <v>1517.607352</v>
      </c>
      <c r="O240" s="51"/>
      <c r="P240" s="51">
        <f>Q239*('AP05'!$R240-1)</f>
        <v>0</v>
      </c>
      <c r="Q240" s="51">
        <f>(Q239*'AP05'!$R240)-'AP05'!$G240</f>
        <v>108561.6878</v>
      </c>
      <c r="R240" s="53">
        <f t="shared" si="149"/>
        <v>1</v>
      </c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56">
        <f t="shared" si="2"/>
        <v>227</v>
      </c>
      <c r="B241" s="50">
        <f t="shared" si="5"/>
        <v>50151</v>
      </c>
      <c r="C241" s="116">
        <f t="shared" si="126"/>
        <v>0.0775</v>
      </c>
      <c r="D241" s="116">
        <f>((1+'AP05'!$C241)^(1/12))-1</f>
        <v>0.006239681461</v>
      </c>
      <c r="E241" s="51">
        <f t="shared" si="127"/>
        <v>2137.579999</v>
      </c>
      <c r="F241" s="51">
        <f>(Q240*'AP05'!$R241)*'AP05'!$D241</f>
        <v>677.3903508</v>
      </c>
      <c r="G241" s="51">
        <f>(Q240*'AP05'!$R241)/($I$5-A240)</f>
        <v>810.1618493</v>
      </c>
      <c r="H241" s="52">
        <f t="shared" ref="H241:L241" si="290">H240</f>
        <v>0</v>
      </c>
      <c r="I241" s="52">
        <f t="shared" si="290"/>
        <v>0</v>
      </c>
      <c r="J241" s="51">
        <f t="shared" si="290"/>
        <v>25</v>
      </c>
      <c r="K241" s="52">
        <f t="shared" si="290"/>
        <v>0</v>
      </c>
      <c r="L241" s="52">
        <f t="shared" si="290"/>
        <v>0</v>
      </c>
      <c r="M241" s="52"/>
      <c r="N241" s="85">
        <f>SUM('AP05'!$F241:$L241)</f>
        <v>1512.5522</v>
      </c>
      <c r="O241" s="51"/>
      <c r="P241" s="51">
        <f>Q240*('AP05'!$R241-1)</f>
        <v>0</v>
      </c>
      <c r="Q241" s="51">
        <f>(Q240*'AP05'!$R241)-'AP05'!$G241</f>
        <v>107751.526</v>
      </c>
      <c r="R241" s="53">
        <f t="shared" si="149"/>
        <v>1</v>
      </c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56">
        <f t="shared" si="2"/>
        <v>228</v>
      </c>
      <c r="B242" s="50">
        <f t="shared" si="5"/>
        <v>50181</v>
      </c>
      <c r="C242" s="116">
        <f t="shared" si="126"/>
        <v>0.0775</v>
      </c>
      <c r="D242" s="116">
        <f>((1+'AP05'!$C242)^(1/12))-1</f>
        <v>0.006239681461</v>
      </c>
      <c r="E242" s="51">
        <f t="shared" si="127"/>
        <v>2137.579999</v>
      </c>
      <c r="F242" s="51">
        <f>(Q241*'AP05'!$R242)*'AP05'!$D242</f>
        <v>672.3351989</v>
      </c>
      <c r="G242" s="51">
        <f>(Q241*'AP05'!$R242)/($I$5-A241)</f>
        <v>810.1618493</v>
      </c>
      <c r="H242" s="52">
        <f t="shared" ref="H242:L242" si="291">H241</f>
        <v>0</v>
      </c>
      <c r="I242" s="52">
        <f t="shared" si="291"/>
        <v>0</v>
      </c>
      <c r="J242" s="51">
        <f t="shared" si="291"/>
        <v>25</v>
      </c>
      <c r="K242" s="52">
        <f t="shared" si="291"/>
        <v>0</v>
      </c>
      <c r="L242" s="52">
        <f t="shared" si="291"/>
        <v>0</v>
      </c>
      <c r="M242" s="52"/>
      <c r="N242" s="85">
        <f>SUM('AP05'!$F242:$L242)</f>
        <v>1507.497048</v>
      </c>
      <c r="O242" s="51"/>
      <c r="P242" s="51">
        <f>Q241*('AP05'!$R242-1)</f>
        <v>0</v>
      </c>
      <c r="Q242" s="51">
        <f>(Q241*'AP05'!$R242)-'AP05'!$G242</f>
        <v>106941.3641</v>
      </c>
      <c r="R242" s="53">
        <f t="shared" si="149"/>
        <v>1</v>
      </c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56">
        <f t="shared" si="2"/>
        <v>229</v>
      </c>
      <c r="B243" s="50">
        <f t="shared" si="5"/>
        <v>50212</v>
      </c>
      <c r="C243" s="116">
        <f t="shared" si="126"/>
        <v>0.0775</v>
      </c>
      <c r="D243" s="116">
        <f>((1+'AP05'!$C243)^(1/12))-1</f>
        <v>0.006239681461</v>
      </c>
      <c r="E243" s="51">
        <f t="shared" si="127"/>
        <v>2137.579999</v>
      </c>
      <c r="F243" s="51">
        <f>(Q242*'AP05'!$R243)*'AP05'!$D243</f>
        <v>667.2800471</v>
      </c>
      <c r="G243" s="51">
        <f>(Q242*'AP05'!$R243)/($I$5-A242)</f>
        <v>810.1618493</v>
      </c>
      <c r="H243" s="52">
        <f t="shared" ref="H243:L243" si="292">H242</f>
        <v>0</v>
      </c>
      <c r="I243" s="52">
        <f t="shared" si="292"/>
        <v>0</v>
      </c>
      <c r="J243" s="51">
        <f t="shared" si="292"/>
        <v>25</v>
      </c>
      <c r="K243" s="52">
        <f t="shared" si="292"/>
        <v>0</v>
      </c>
      <c r="L243" s="52">
        <f t="shared" si="292"/>
        <v>0</v>
      </c>
      <c r="M243" s="52"/>
      <c r="N243" s="85">
        <f>SUM('AP05'!$F243:$L243)</f>
        <v>1502.441896</v>
      </c>
      <c r="O243" s="51"/>
      <c r="P243" s="51">
        <f>Q242*('AP05'!$R243-1)</f>
        <v>0</v>
      </c>
      <c r="Q243" s="51">
        <f>(Q242*'AP05'!$R243)-'AP05'!$G243</f>
        <v>106131.2023</v>
      </c>
      <c r="R243" s="53">
        <f t="shared" si="149"/>
        <v>1</v>
      </c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56">
        <f t="shared" si="2"/>
        <v>230</v>
      </c>
      <c r="B244" s="50">
        <f t="shared" si="5"/>
        <v>50242</v>
      </c>
      <c r="C244" s="116">
        <f t="shared" si="126"/>
        <v>0.0775</v>
      </c>
      <c r="D244" s="116">
        <f>((1+'AP05'!$C244)^(1/12))-1</f>
        <v>0.006239681461</v>
      </c>
      <c r="E244" s="51">
        <f t="shared" si="127"/>
        <v>2137.579999</v>
      </c>
      <c r="F244" s="51">
        <f>(Q243*'AP05'!$R244)*'AP05'!$D244</f>
        <v>662.2248952</v>
      </c>
      <c r="G244" s="51">
        <f>(Q243*'AP05'!$R244)/($I$5-A243)</f>
        <v>810.1618493</v>
      </c>
      <c r="H244" s="52">
        <f t="shared" ref="H244:L244" si="293">H243</f>
        <v>0</v>
      </c>
      <c r="I244" s="52">
        <f t="shared" si="293"/>
        <v>0</v>
      </c>
      <c r="J244" s="51">
        <f t="shared" si="293"/>
        <v>25</v>
      </c>
      <c r="K244" s="52">
        <f t="shared" si="293"/>
        <v>0</v>
      </c>
      <c r="L244" s="52">
        <f t="shared" si="293"/>
        <v>0</v>
      </c>
      <c r="M244" s="52"/>
      <c r="N244" s="85">
        <f>SUM('AP05'!$F244:$L244)</f>
        <v>1497.386745</v>
      </c>
      <c r="O244" s="51"/>
      <c r="P244" s="51">
        <f>Q243*('AP05'!$R244-1)</f>
        <v>0</v>
      </c>
      <c r="Q244" s="51">
        <f>(Q243*'AP05'!$R244)-'AP05'!$G244</f>
        <v>105321.0404</v>
      </c>
      <c r="R244" s="53">
        <f t="shared" si="149"/>
        <v>1</v>
      </c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56">
        <f t="shared" si="2"/>
        <v>231</v>
      </c>
      <c r="B245" s="50">
        <f t="shared" si="5"/>
        <v>50273</v>
      </c>
      <c r="C245" s="116">
        <f t="shared" si="126"/>
        <v>0.0775</v>
      </c>
      <c r="D245" s="116">
        <f>((1+'AP05'!$C245)^(1/12))-1</f>
        <v>0.006239681461</v>
      </c>
      <c r="E245" s="51">
        <f t="shared" si="127"/>
        <v>2137.579999</v>
      </c>
      <c r="F245" s="51">
        <f>(Q244*'AP05'!$R245)*'AP05'!$D245</f>
        <v>657.1697433</v>
      </c>
      <c r="G245" s="51">
        <f>(Q244*'AP05'!$R245)/($I$5-A244)</f>
        <v>810.1618493</v>
      </c>
      <c r="H245" s="52">
        <f t="shared" ref="H245:L245" si="294">H244</f>
        <v>0</v>
      </c>
      <c r="I245" s="52">
        <f t="shared" si="294"/>
        <v>0</v>
      </c>
      <c r="J245" s="51">
        <f t="shared" si="294"/>
        <v>25</v>
      </c>
      <c r="K245" s="52">
        <f t="shared" si="294"/>
        <v>0</v>
      </c>
      <c r="L245" s="52">
        <f t="shared" si="294"/>
        <v>0</v>
      </c>
      <c r="M245" s="52"/>
      <c r="N245" s="85">
        <f>SUM('AP05'!$F245:$L245)</f>
        <v>1492.331593</v>
      </c>
      <c r="O245" s="51"/>
      <c r="P245" s="51">
        <f>Q244*('AP05'!$R245-1)</f>
        <v>0</v>
      </c>
      <c r="Q245" s="51">
        <f>(Q244*'AP05'!$R245)-'AP05'!$G245</f>
        <v>104510.8786</v>
      </c>
      <c r="R245" s="53">
        <f t="shared" si="149"/>
        <v>1</v>
      </c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56">
        <f t="shared" si="2"/>
        <v>232</v>
      </c>
      <c r="B246" s="50">
        <f t="shared" si="5"/>
        <v>50304</v>
      </c>
      <c r="C246" s="116">
        <f t="shared" si="126"/>
        <v>0.0775</v>
      </c>
      <c r="D246" s="116">
        <f>((1+'AP05'!$C246)^(1/12))-1</f>
        <v>0.006239681461</v>
      </c>
      <c r="E246" s="51">
        <f t="shared" si="127"/>
        <v>2137.579999</v>
      </c>
      <c r="F246" s="51">
        <f>(Q245*'AP05'!$R246)*'AP05'!$D246</f>
        <v>652.1145915</v>
      </c>
      <c r="G246" s="51">
        <f>(Q245*'AP05'!$R246)/($I$5-A245)</f>
        <v>810.1618493</v>
      </c>
      <c r="H246" s="52">
        <f t="shared" ref="H246:L246" si="295">H245</f>
        <v>0</v>
      </c>
      <c r="I246" s="52">
        <f t="shared" si="295"/>
        <v>0</v>
      </c>
      <c r="J246" s="51">
        <f t="shared" si="295"/>
        <v>25</v>
      </c>
      <c r="K246" s="52">
        <f t="shared" si="295"/>
        <v>0</v>
      </c>
      <c r="L246" s="52">
        <f t="shared" si="295"/>
        <v>0</v>
      </c>
      <c r="M246" s="52"/>
      <c r="N246" s="85">
        <f>SUM('AP05'!$F246:$L246)</f>
        <v>1487.276441</v>
      </c>
      <c r="O246" s="51"/>
      <c r="P246" s="51">
        <f>Q245*('AP05'!$R246-1)</f>
        <v>0</v>
      </c>
      <c r="Q246" s="51">
        <f>(Q245*'AP05'!$R246)-'AP05'!$G246</f>
        <v>103700.7167</v>
      </c>
      <c r="R246" s="53">
        <f t="shared" si="149"/>
        <v>1</v>
      </c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56">
        <f t="shared" si="2"/>
        <v>233</v>
      </c>
      <c r="B247" s="50">
        <f t="shared" si="5"/>
        <v>50334</v>
      </c>
      <c r="C247" s="116">
        <f t="shared" si="126"/>
        <v>0.0775</v>
      </c>
      <c r="D247" s="116">
        <f>((1+'AP05'!$C247)^(1/12))-1</f>
        <v>0.006239681461</v>
      </c>
      <c r="E247" s="51">
        <f t="shared" si="127"/>
        <v>2137.579999</v>
      </c>
      <c r="F247" s="51">
        <f>(Q246*'AP05'!$R247)*'AP05'!$D247</f>
        <v>647.0594396</v>
      </c>
      <c r="G247" s="51">
        <f>(Q246*'AP05'!$R247)/($I$5-A246)</f>
        <v>810.1618493</v>
      </c>
      <c r="H247" s="52">
        <f t="shared" ref="H247:L247" si="296">H246</f>
        <v>0</v>
      </c>
      <c r="I247" s="52">
        <f t="shared" si="296"/>
        <v>0</v>
      </c>
      <c r="J247" s="51">
        <f t="shared" si="296"/>
        <v>25</v>
      </c>
      <c r="K247" s="52">
        <f t="shared" si="296"/>
        <v>0</v>
      </c>
      <c r="L247" s="52">
        <f t="shared" si="296"/>
        <v>0</v>
      </c>
      <c r="M247" s="52"/>
      <c r="N247" s="85">
        <f>SUM('AP05'!$F247:$L247)</f>
        <v>1482.221289</v>
      </c>
      <c r="O247" s="51"/>
      <c r="P247" s="51">
        <f>Q246*('AP05'!$R247-1)</f>
        <v>0</v>
      </c>
      <c r="Q247" s="51">
        <f>(Q246*'AP05'!$R247)-'AP05'!$G247</f>
        <v>102890.5549</v>
      </c>
      <c r="R247" s="53">
        <f t="shared" si="149"/>
        <v>1</v>
      </c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56">
        <f t="shared" si="2"/>
        <v>234</v>
      </c>
      <c r="B248" s="50">
        <f t="shared" si="5"/>
        <v>50365</v>
      </c>
      <c r="C248" s="116">
        <f t="shared" si="126"/>
        <v>0.0775</v>
      </c>
      <c r="D248" s="116">
        <f>((1+'AP05'!$C248)^(1/12))-1</f>
        <v>0.006239681461</v>
      </c>
      <c r="E248" s="51">
        <f t="shared" si="127"/>
        <v>2137.579999</v>
      </c>
      <c r="F248" s="51">
        <f>(Q247*'AP05'!$R248)*'AP05'!$D248</f>
        <v>642.0042877</v>
      </c>
      <c r="G248" s="51">
        <f>(Q247*'AP05'!$R248)/($I$5-A247)</f>
        <v>810.1618493</v>
      </c>
      <c r="H248" s="52">
        <f t="shared" ref="H248:L248" si="297">H247</f>
        <v>0</v>
      </c>
      <c r="I248" s="52">
        <f t="shared" si="297"/>
        <v>0</v>
      </c>
      <c r="J248" s="51">
        <f t="shared" si="297"/>
        <v>25</v>
      </c>
      <c r="K248" s="52">
        <f t="shared" si="297"/>
        <v>0</v>
      </c>
      <c r="L248" s="52">
        <f t="shared" si="297"/>
        <v>0</v>
      </c>
      <c r="M248" s="52"/>
      <c r="N248" s="85">
        <f>SUM('AP05'!$F248:$L248)</f>
        <v>1477.166137</v>
      </c>
      <c r="O248" s="51"/>
      <c r="P248" s="51">
        <f>Q247*('AP05'!$R248-1)</f>
        <v>0</v>
      </c>
      <c r="Q248" s="51">
        <f>(Q247*'AP05'!$R248)-'AP05'!$G248</f>
        <v>102080.393</v>
      </c>
      <c r="R248" s="53">
        <f t="shared" si="149"/>
        <v>1</v>
      </c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56">
        <f t="shared" si="2"/>
        <v>235</v>
      </c>
      <c r="B249" s="50">
        <f t="shared" si="5"/>
        <v>50395</v>
      </c>
      <c r="C249" s="116">
        <f t="shared" si="126"/>
        <v>0.0775</v>
      </c>
      <c r="D249" s="116">
        <f>((1+'AP05'!$C249)^(1/12))-1</f>
        <v>0.006239681461</v>
      </c>
      <c r="E249" s="51">
        <f t="shared" si="127"/>
        <v>2137.579999</v>
      </c>
      <c r="F249" s="51">
        <f>(Q248*'AP05'!$R249)*'AP05'!$D249</f>
        <v>636.9491358</v>
      </c>
      <c r="G249" s="51">
        <f>(Q248*'AP05'!$R249)/($I$5-A248)</f>
        <v>810.1618493</v>
      </c>
      <c r="H249" s="52">
        <f t="shared" ref="H249:L249" si="298">H248</f>
        <v>0</v>
      </c>
      <c r="I249" s="52">
        <f t="shared" si="298"/>
        <v>0</v>
      </c>
      <c r="J249" s="51">
        <f t="shared" si="298"/>
        <v>25</v>
      </c>
      <c r="K249" s="52">
        <f t="shared" si="298"/>
        <v>0</v>
      </c>
      <c r="L249" s="52">
        <f t="shared" si="298"/>
        <v>0</v>
      </c>
      <c r="M249" s="52"/>
      <c r="N249" s="85">
        <f>SUM('AP05'!$F249:$L249)</f>
        <v>1472.110985</v>
      </c>
      <c r="O249" s="51"/>
      <c r="P249" s="51">
        <f>Q248*('AP05'!$R249-1)</f>
        <v>0</v>
      </c>
      <c r="Q249" s="51">
        <f>(Q248*'AP05'!$R249)-'AP05'!$G249</f>
        <v>101270.2312</v>
      </c>
      <c r="R249" s="53">
        <f t="shared" si="149"/>
        <v>1</v>
      </c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56">
        <f t="shared" si="2"/>
        <v>236</v>
      </c>
      <c r="B250" s="50">
        <f t="shared" si="5"/>
        <v>50426</v>
      </c>
      <c r="C250" s="116">
        <f t="shared" si="126"/>
        <v>0.0775</v>
      </c>
      <c r="D250" s="116">
        <f>((1+'AP05'!$C250)^(1/12))-1</f>
        <v>0.006239681461</v>
      </c>
      <c r="E250" s="51">
        <f t="shared" si="127"/>
        <v>2137.579999</v>
      </c>
      <c r="F250" s="51">
        <f>(Q249*'AP05'!$R250)*'AP05'!$D250</f>
        <v>631.893984</v>
      </c>
      <c r="G250" s="51">
        <f>(Q249*'AP05'!$R250)/($I$5-A249)</f>
        <v>810.1618493</v>
      </c>
      <c r="H250" s="52">
        <f t="shared" ref="H250:L250" si="299">H249</f>
        <v>0</v>
      </c>
      <c r="I250" s="52">
        <f t="shared" si="299"/>
        <v>0</v>
      </c>
      <c r="J250" s="51">
        <f t="shared" si="299"/>
        <v>25</v>
      </c>
      <c r="K250" s="52">
        <f t="shared" si="299"/>
        <v>0</v>
      </c>
      <c r="L250" s="52">
        <f t="shared" si="299"/>
        <v>0</v>
      </c>
      <c r="M250" s="52"/>
      <c r="N250" s="85">
        <f>SUM('AP05'!$F250:$L250)</f>
        <v>1467.055833</v>
      </c>
      <c r="O250" s="51"/>
      <c r="P250" s="51">
        <f>Q249*('AP05'!$R250-1)</f>
        <v>0</v>
      </c>
      <c r="Q250" s="51">
        <f>(Q249*'AP05'!$R250)-'AP05'!$G250</f>
        <v>100460.0693</v>
      </c>
      <c r="R250" s="53">
        <f t="shared" si="149"/>
        <v>1</v>
      </c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56">
        <f t="shared" si="2"/>
        <v>237</v>
      </c>
      <c r="B251" s="50">
        <f t="shared" si="5"/>
        <v>50457</v>
      </c>
      <c r="C251" s="116">
        <f t="shared" si="126"/>
        <v>0.0775</v>
      </c>
      <c r="D251" s="116">
        <f>((1+'AP05'!$C251)^(1/12))-1</f>
        <v>0.006239681461</v>
      </c>
      <c r="E251" s="51">
        <f t="shared" si="127"/>
        <v>2137.579999</v>
      </c>
      <c r="F251" s="51">
        <f>(Q250*'AP05'!$R251)*'AP05'!$D251</f>
        <v>626.8388321</v>
      </c>
      <c r="G251" s="51">
        <f>(Q250*'AP05'!$R251)/($I$5-A250)</f>
        <v>810.1618493</v>
      </c>
      <c r="H251" s="52">
        <f t="shared" ref="H251:L251" si="300">H250</f>
        <v>0</v>
      </c>
      <c r="I251" s="52">
        <f t="shared" si="300"/>
        <v>0</v>
      </c>
      <c r="J251" s="51">
        <f t="shared" si="300"/>
        <v>25</v>
      </c>
      <c r="K251" s="52">
        <f t="shared" si="300"/>
        <v>0</v>
      </c>
      <c r="L251" s="52">
        <f t="shared" si="300"/>
        <v>0</v>
      </c>
      <c r="M251" s="52"/>
      <c r="N251" s="85">
        <f>SUM('AP05'!$F251:$L251)</f>
        <v>1462.000681</v>
      </c>
      <c r="O251" s="51"/>
      <c r="P251" s="51">
        <f>Q250*('AP05'!$R251-1)</f>
        <v>0</v>
      </c>
      <c r="Q251" s="51">
        <f>(Q250*'AP05'!$R251)-'AP05'!$G251</f>
        <v>99649.90747</v>
      </c>
      <c r="R251" s="53">
        <f t="shared" si="149"/>
        <v>1</v>
      </c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56">
        <f t="shared" si="2"/>
        <v>238</v>
      </c>
      <c r="B252" s="50">
        <f t="shared" si="5"/>
        <v>50485</v>
      </c>
      <c r="C252" s="116">
        <f t="shared" si="126"/>
        <v>0.0775</v>
      </c>
      <c r="D252" s="116">
        <f>((1+'AP05'!$C252)^(1/12))-1</f>
        <v>0.006239681461</v>
      </c>
      <c r="E252" s="51">
        <f t="shared" si="127"/>
        <v>2137.579999</v>
      </c>
      <c r="F252" s="51">
        <f>(Q251*'AP05'!$R252)*'AP05'!$D252</f>
        <v>621.7836802</v>
      </c>
      <c r="G252" s="51">
        <f>(Q251*'AP05'!$R252)/($I$5-A251)</f>
        <v>810.1618493</v>
      </c>
      <c r="H252" s="52">
        <f t="shared" ref="H252:L252" si="301">H251</f>
        <v>0</v>
      </c>
      <c r="I252" s="52">
        <f t="shared" si="301"/>
        <v>0</v>
      </c>
      <c r="J252" s="51">
        <f t="shared" si="301"/>
        <v>25</v>
      </c>
      <c r="K252" s="52">
        <f t="shared" si="301"/>
        <v>0</v>
      </c>
      <c r="L252" s="52">
        <f t="shared" si="301"/>
        <v>0</v>
      </c>
      <c r="M252" s="52"/>
      <c r="N252" s="85">
        <f>SUM('AP05'!$F252:$L252)</f>
        <v>1456.94553</v>
      </c>
      <c r="O252" s="51"/>
      <c r="P252" s="51">
        <f>Q251*('AP05'!$R252-1)</f>
        <v>0</v>
      </c>
      <c r="Q252" s="51">
        <f>(Q251*'AP05'!$R252)-'AP05'!$G252</f>
        <v>98839.74562</v>
      </c>
      <c r="R252" s="53">
        <f t="shared" si="149"/>
        <v>1</v>
      </c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56">
        <f t="shared" si="2"/>
        <v>239</v>
      </c>
      <c r="B253" s="50">
        <f t="shared" si="5"/>
        <v>50516</v>
      </c>
      <c r="C253" s="116">
        <f t="shared" si="126"/>
        <v>0.0775</v>
      </c>
      <c r="D253" s="116">
        <f>((1+'AP05'!$C253)^(1/12))-1</f>
        <v>0.006239681461</v>
      </c>
      <c r="E253" s="51">
        <f t="shared" si="127"/>
        <v>2137.579999</v>
      </c>
      <c r="F253" s="51">
        <f>(Q252*'AP05'!$R253)*'AP05'!$D253</f>
        <v>616.7285284</v>
      </c>
      <c r="G253" s="51">
        <f>(Q252*'AP05'!$R253)/($I$5-A252)</f>
        <v>810.1618493</v>
      </c>
      <c r="H253" s="52">
        <f t="shared" ref="H253:L253" si="302">H252</f>
        <v>0</v>
      </c>
      <c r="I253" s="52">
        <f t="shared" si="302"/>
        <v>0</v>
      </c>
      <c r="J253" s="51">
        <f t="shared" si="302"/>
        <v>25</v>
      </c>
      <c r="K253" s="52">
        <f t="shared" si="302"/>
        <v>0</v>
      </c>
      <c r="L253" s="52">
        <f t="shared" si="302"/>
        <v>0</v>
      </c>
      <c r="M253" s="52"/>
      <c r="N253" s="85">
        <f>SUM('AP05'!$F253:$L253)</f>
        <v>1451.890378</v>
      </c>
      <c r="O253" s="51"/>
      <c r="P253" s="51">
        <f>Q252*('AP05'!$R253-1)</f>
        <v>0</v>
      </c>
      <c r="Q253" s="51">
        <f>(Q252*'AP05'!$R253)-'AP05'!$G253</f>
        <v>98029.58377</v>
      </c>
      <c r="R253" s="53">
        <f t="shared" si="149"/>
        <v>1</v>
      </c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56">
        <f t="shared" si="2"/>
        <v>240</v>
      </c>
      <c r="B254" s="50">
        <f t="shared" si="5"/>
        <v>50546</v>
      </c>
      <c r="C254" s="116">
        <f t="shared" si="126"/>
        <v>0.0775</v>
      </c>
      <c r="D254" s="116">
        <f>((1+'AP05'!$C254)^(1/12))-1</f>
        <v>0.006239681461</v>
      </c>
      <c r="E254" s="51">
        <f t="shared" si="127"/>
        <v>2137.579999</v>
      </c>
      <c r="F254" s="51">
        <f>(Q253*'AP05'!$R254)*'AP05'!$D254</f>
        <v>611.6733765</v>
      </c>
      <c r="G254" s="51">
        <f>(Q253*'AP05'!$R254)/($I$5-A253)</f>
        <v>810.1618493</v>
      </c>
      <c r="H254" s="52">
        <f t="shared" ref="H254:L254" si="303">H253</f>
        <v>0</v>
      </c>
      <c r="I254" s="52">
        <f t="shared" si="303"/>
        <v>0</v>
      </c>
      <c r="J254" s="51">
        <f t="shared" si="303"/>
        <v>25</v>
      </c>
      <c r="K254" s="52">
        <f t="shared" si="303"/>
        <v>0</v>
      </c>
      <c r="L254" s="52">
        <f t="shared" si="303"/>
        <v>0</v>
      </c>
      <c r="M254" s="52"/>
      <c r="N254" s="85">
        <f>SUM('AP05'!$F254:$L254)</f>
        <v>1446.835226</v>
      </c>
      <c r="O254" s="51"/>
      <c r="P254" s="51">
        <f>Q253*('AP05'!$R254-1)</f>
        <v>0</v>
      </c>
      <c r="Q254" s="51">
        <f>(Q253*'AP05'!$R254)-'AP05'!$G254</f>
        <v>97219.42192</v>
      </c>
      <c r="R254" s="53">
        <f t="shared" si="149"/>
        <v>1</v>
      </c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56">
        <f t="shared" si="2"/>
        <v>241</v>
      </c>
      <c r="B255" s="50">
        <f t="shared" si="5"/>
        <v>50577</v>
      </c>
      <c r="C255" s="116">
        <f t="shared" si="126"/>
        <v>0.0775</v>
      </c>
      <c r="D255" s="116">
        <f>((1+'AP05'!$C255)^(1/12))-1</f>
        <v>0.006239681461</v>
      </c>
      <c r="E255" s="51">
        <f t="shared" si="127"/>
        <v>2137.579999</v>
      </c>
      <c r="F255" s="51">
        <f>(Q254*'AP05'!$R255)*'AP05'!$D255</f>
        <v>606.6182246</v>
      </c>
      <c r="G255" s="51">
        <f>(Q254*'AP05'!$R255)/($I$5-A254)</f>
        <v>810.1618493</v>
      </c>
      <c r="H255" s="52">
        <f t="shared" ref="H255:L255" si="304">H254</f>
        <v>0</v>
      </c>
      <c r="I255" s="52">
        <f t="shared" si="304"/>
        <v>0</v>
      </c>
      <c r="J255" s="51">
        <f t="shared" si="304"/>
        <v>25</v>
      </c>
      <c r="K255" s="52">
        <f t="shared" si="304"/>
        <v>0</v>
      </c>
      <c r="L255" s="52">
        <f t="shared" si="304"/>
        <v>0</v>
      </c>
      <c r="M255" s="52"/>
      <c r="N255" s="85">
        <f>SUM('AP05'!$F255:$L255)</f>
        <v>1441.780074</v>
      </c>
      <c r="O255" s="51"/>
      <c r="P255" s="51">
        <f>Q254*('AP05'!$R255-1)</f>
        <v>0</v>
      </c>
      <c r="Q255" s="51">
        <f>(Q254*'AP05'!$R255)-'AP05'!$G255</f>
        <v>96409.26007</v>
      </c>
      <c r="R255" s="53">
        <f t="shared" si="149"/>
        <v>1</v>
      </c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56">
        <f t="shared" si="2"/>
        <v>242</v>
      </c>
      <c r="B256" s="50">
        <f t="shared" si="5"/>
        <v>50607</v>
      </c>
      <c r="C256" s="116">
        <f t="shared" si="126"/>
        <v>0.0775</v>
      </c>
      <c r="D256" s="116">
        <f>((1+'AP05'!$C256)^(1/12))-1</f>
        <v>0.006239681461</v>
      </c>
      <c r="E256" s="51">
        <f t="shared" si="127"/>
        <v>2137.579999</v>
      </c>
      <c r="F256" s="51">
        <f>(Q255*'AP05'!$R256)*'AP05'!$D256</f>
        <v>601.5630727</v>
      </c>
      <c r="G256" s="51">
        <f>(Q255*'AP05'!$R256)/($I$5-A255)</f>
        <v>810.1618493</v>
      </c>
      <c r="H256" s="52">
        <f t="shared" ref="H256:L256" si="305">H255</f>
        <v>0</v>
      </c>
      <c r="I256" s="52">
        <f t="shared" si="305"/>
        <v>0</v>
      </c>
      <c r="J256" s="51">
        <f t="shared" si="305"/>
        <v>25</v>
      </c>
      <c r="K256" s="52">
        <f t="shared" si="305"/>
        <v>0</v>
      </c>
      <c r="L256" s="52">
        <f t="shared" si="305"/>
        <v>0</v>
      </c>
      <c r="M256" s="52"/>
      <c r="N256" s="85">
        <f>SUM('AP05'!$F256:$L256)</f>
        <v>1436.724922</v>
      </c>
      <c r="O256" s="51"/>
      <c r="P256" s="51">
        <f>Q255*('AP05'!$R256-1)</f>
        <v>0</v>
      </c>
      <c r="Q256" s="51">
        <f>(Q255*'AP05'!$R256)-'AP05'!$G256</f>
        <v>95599.09822</v>
      </c>
      <c r="R256" s="53">
        <f t="shared" si="149"/>
        <v>1</v>
      </c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56">
        <f t="shared" si="2"/>
        <v>243</v>
      </c>
      <c r="B257" s="50">
        <f t="shared" si="5"/>
        <v>50638</v>
      </c>
      <c r="C257" s="116">
        <f t="shared" si="126"/>
        <v>0.0775</v>
      </c>
      <c r="D257" s="116">
        <f>((1+'AP05'!$C257)^(1/12))-1</f>
        <v>0.006239681461</v>
      </c>
      <c r="E257" s="51">
        <f t="shared" si="127"/>
        <v>2137.579999</v>
      </c>
      <c r="F257" s="51">
        <f>(Q256*'AP05'!$R257)*'AP05'!$D257</f>
        <v>596.5079209</v>
      </c>
      <c r="G257" s="51">
        <f>(Q256*'AP05'!$R257)/($I$5-A256)</f>
        <v>810.1618493</v>
      </c>
      <c r="H257" s="52">
        <f t="shared" ref="H257:L257" si="306">H256</f>
        <v>0</v>
      </c>
      <c r="I257" s="52">
        <f t="shared" si="306"/>
        <v>0</v>
      </c>
      <c r="J257" s="51">
        <f t="shared" si="306"/>
        <v>25</v>
      </c>
      <c r="K257" s="52">
        <f t="shared" si="306"/>
        <v>0</v>
      </c>
      <c r="L257" s="52">
        <f t="shared" si="306"/>
        <v>0</v>
      </c>
      <c r="M257" s="52"/>
      <c r="N257" s="85">
        <f>SUM('AP05'!$F257:$L257)</f>
        <v>1431.66977</v>
      </c>
      <c r="O257" s="51"/>
      <c r="P257" s="51">
        <f>Q256*('AP05'!$R257-1)</f>
        <v>0</v>
      </c>
      <c r="Q257" s="51">
        <f>(Q256*'AP05'!$R257)-'AP05'!$G257</f>
        <v>94788.93637</v>
      </c>
      <c r="R257" s="53">
        <f t="shared" si="149"/>
        <v>1</v>
      </c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56">
        <f t="shared" si="2"/>
        <v>244</v>
      </c>
      <c r="B258" s="50">
        <f t="shared" si="5"/>
        <v>50669</v>
      </c>
      <c r="C258" s="116">
        <f t="shared" si="126"/>
        <v>0.0775</v>
      </c>
      <c r="D258" s="116">
        <f>((1+'AP05'!$C258)^(1/12))-1</f>
        <v>0.006239681461</v>
      </c>
      <c r="E258" s="51">
        <f t="shared" si="127"/>
        <v>2137.579999</v>
      </c>
      <c r="F258" s="51">
        <f>(Q257*'AP05'!$R258)*'AP05'!$D258</f>
        <v>591.452769</v>
      </c>
      <c r="G258" s="51">
        <f>(Q257*'AP05'!$R258)/($I$5-A257)</f>
        <v>810.1618493</v>
      </c>
      <c r="H258" s="52">
        <f t="shared" ref="H258:L258" si="307">H257</f>
        <v>0</v>
      </c>
      <c r="I258" s="52">
        <f t="shared" si="307"/>
        <v>0</v>
      </c>
      <c r="J258" s="51">
        <f t="shared" si="307"/>
        <v>25</v>
      </c>
      <c r="K258" s="52">
        <f t="shared" si="307"/>
        <v>0</v>
      </c>
      <c r="L258" s="52">
        <f t="shared" si="307"/>
        <v>0</v>
      </c>
      <c r="M258" s="52"/>
      <c r="N258" s="85">
        <f>SUM('AP05'!$F258:$L258)</f>
        <v>1426.614618</v>
      </c>
      <c r="O258" s="51"/>
      <c r="P258" s="51">
        <f>Q257*('AP05'!$R258-1)</f>
        <v>0</v>
      </c>
      <c r="Q258" s="51">
        <f>(Q257*'AP05'!$R258)-'AP05'!$G258</f>
        <v>93978.77452</v>
      </c>
      <c r="R258" s="53">
        <f t="shared" si="149"/>
        <v>1</v>
      </c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56">
        <f t="shared" si="2"/>
        <v>245</v>
      </c>
      <c r="B259" s="50">
        <f t="shared" si="5"/>
        <v>50699</v>
      </c>
      <c r="C259" s="116">
        <f t="shared" si="126"/>
        <v>0.0775</v>
      </c>
      <c r="D259" s="116">
        <f>((1+'AP05'!$C259)^(1/12))-1</f>
        <v>0.006239681461</v>
      </c>
      <c r="E259" s="51">
        <f t="shared" si="127"/>
        <v>2137.579999</v>
      </c>
      <c r="F259" s="51">
        <f>(Q258*'AP05'!$R259)*'AP05'!$D259</f>
        <v>586.3976171</v>
      </c>
      <c r="G259" s="51">
        <f>(Q258*'AP05'!$R259)/($I$5-A258)</f>
        <v>810.1618493</v>
      </c>
      <c r="H259" s="52">
        <f t="shared" ref="H259:L259" si="308">H258</f>
        <v>0</v>
      </c>
      <c r="I259" s="52">
        <f t="shared" si="308"/>
        <v>0</v>
      </c>
      <c r="J259" s="51">
        <f t="shared" si="308"/>
        <v>25</v>
      </c>
      <c r="K259" s="52">
        <f t="shared" si="308"/>
        <v>0</v>
      </c>
      <c r="L259" s="52">
        <f t="shared" si="308"/>
        <v>0</v>
      </c>
      <c r="M259" s="52"/>
      <c r="N259" s="85">
        <f>SUM('AP05'!$F259:$L259)</f>
        <v>1421.559466</v>
      </c>
      <c r="O259" s="51"/>
      <c r="P259" s="51">
        <f>Q258*('AP05'!$R259-1)</f>
        <v>0</v>
      </c>
      <c r="Q259" s="51">
        <f>(Q258*'AP05'!$R259)-'AP05'!$G259</f>
        <v>93168.61267</v>
      </c>
      <c r="R259" s="53">
        <f t="shared" si="149"/>
        <v>1</v>
      </c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56">
        <f t="shared" si="2"/>
        <v>246</v>
      </c>
      <c r="B260" s="50">
        <f t="shared" si="5"/>
        <v>50730</v>
      </c>
      <c r="C260" s="116">
        <f t="shared" si="126"/>
        <v>0.0775</v>
      </c>
      <c r="D260" s="116">
        <f>((1+'AP05'!$C260)^(1/12))-1</f>
        <v>0.006239681461</v>
      </c>
      <c r="E260" s="51">
        <f t="shared" si="127"/>
        <v>2137.579999</v>
      </c>
      <c r="F260" s="51">
        <f>(Q259*'AP05'!$R260)*'AP05'!$D260</f>
        <v>581.3424653</v>
      </c>
      <c r="G260" s="51">
        <f>(Q259*'AP05'!$R260)/($I$5-A259)</f>
        <v>810.1618493</v>
      </c>
      <c r="H260" s="52">
        <f t="shared" ref="H260:L260" si="309">H259</f>
        <v>0</v>
      </c>
      <c r="I260" s="52">
        <f t="shared" si="309"/>
        <v>0</v>
      </c>
      <c r="J260" s="51">
        <f t="shared" si="309"/>
        <v>25</v>
      </c>
      <c r="K260" s="52">
        <f t="shared" si="309"/>
        <v>0</v>
      </c>
      <c r="L260" s="52">
        <f t="shared" si="309"/>
        <v>0</v>
      </c>
      <c r="M260" s="52"/>
      <c r="N260" s="85">
        <f>SUM('AP05'!$F260:$L260)</f>
        <v>1416.504315</v>
      </c>
      <c r="O260" s="51"/>
      <c r="P260" s="51">
        <f>Q259*('AP05'!$R260-1)</f>
        <v>0</v>
      </c>
      <c r="Q260" s="51">
        <f>(Q259*'AP05'!$R260)-'AP05'!$G260</f>
        <v>92358.45082</v>
      </c>
      <c r="R260" s="53">
        <f t="shared" si="149"/>
        <v>1</v>
      </c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56">
        <f t="shared" si="2"/>
        <v>247</v>
      </c>
      <c r="B261" s="50">
        <f t="shared" si="5"/>
        <v>50760</v>
      </c>
      <c r="C261" s="116">
        <f t="shared" si="126"/>
        <v>0.0775</v>
      </c>
      <c r="D261" s="116">
        <f>((1+'AP05'!$C261)^(1/12))-1</f>
        <v>0.006239681461</v>
      </c>
      <c r="E261" s="51">
        <f t="shared" si="127"/>
        <v>2137.579999</v>
      </c>
      <c r="F261" s="51">
        <f>(Q260*'AP05'!$R261)*'AP05'!$D261</f>
        <v>576.2873134</v>
      </c>
      <c r="G261" s="51">
        <f>(Q260*'AP05'!$R261)/($I$5-A260)</f>
        <v>810.1618493</v>
      </c>
      <c r="H261" s="52">
        <f t="shared" ref="H261:L261" si="310">H260</f>
        <v>0</v>
      </c>
      <c r="I261" s="52">
        <f t="shared" si="310"/>
        <v>0</v>
      </c>
      <c r="J261" s="51">
        <f t="shared" si="310"/>
        <v>25</v>
      </c>
      <c r="K261" s="52">
        <f t="shared" si="310"/>
        <v>0</v>
      </c>
      <c r="L261" s="52">
        <f t="shared" si="310"/>
        <v>0</v>
      </c>
      <c r="M261" s="52"/>
      <c r="N261" s="85">
        <f>SUM('AP05'!$F261:$L261)</f>
        <v>1411.449163</v>
      </c>
      <c r="O261" s="51"/>
      <c r="P261" s="51">
        <f>Q260*('AP05'!$R261-1)</f>
        <v>0</v>
      </c>
      <c r="Q261" s="51">
        <f>(Q260*'AP05'!$R261)-'AP05'!$G261</f>
        <v>91548.28897</v>
      </c>
      <c r="R261" s="53">
        <f t="shared" si="149"/>
        <v>1</v>
      </c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56">
        <f t="shared" si="2"/>
        <v>248</v>
      </c>
      <c r="B262" s="50">
        <f t="shared" si="5"/>
        <v>50791</v>
      </c>
      <c r="C262" s="116">
        <f t="shared" si="126"/>
        <v>0.0775</v>
      </c>
      <c r="D262" s="116">
        <f>((1+'AP05'!$C262)^(1/12))-1</f>
        <v>0.006239681461</v>
      </c>
      <c r="E262" s="51">
        <f t="shared" si="127"/>
        <v>2137.579999</v>
      </c>
      <c r="F262" s="51">
        <f>(Q261*'AP05'!$R262)*'AP05'!$D262</f>
        <v>571.2321615</v>
      </c>
      <c r="G262" s="51">
        <f>(Q261*'AP05'!$R262)/($I$5-A261)</f>
        <v>810.1618493</v>
      </c>
      <c r="H262" s="52">
        <f t="shared" ref="H262:L262" si="311">H261</f>
        <v>0</v>
      </c>
      <c r="I262" s="52">
        <f t="shared" si="311"/>
        <v>0</v>
      </c>
      <c r="J262" s="51">
        <f t="shared" si="311"/>
        <v>25</v>
      </c>
      <c r="K262" s="52">
        <f t="shared" si="311"/>
        <v>0</v>
      </c>
      <c r="L262" s="52">
        <f t="shared" si="311"/>
        <v>0</v>
      </c>
      <c r="M262" s="52"/>
      <c r="N262" s="85">
        <f>SUM('AP05'!$F262:$L262)</f>
        <v>1406.394011</v>
      </c>
      <c r="O262" s="51"/>
      <c r="P262" s="51">
        <f>Q261*('AP05'!$R262-1)</f>
        <v>0</v>
      </c>
      <c r="Q262" s="51">
        <f>(Q261*'AP05'!$R262)-'AP05'!$G262</f>
        <v>90738.12712</v>
      </c>
      <c r="R262" s="53">
        <f t="shared" si="149"/>
        <v>1</v>
      </c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56">
        <f t="shared" si="2"/>
        <v>249</v>
      </c>
      <c r="B263" s="50">
        <f t="shared" si="5"/>
        <v>50822</v>
      </c>
      <c r="C263" s="116">
        <f t="shared" si="126"/>
        <v>0.0775</v>
      </c>
      <c r="D263" s="116">
        <f>((1+'AP05'!$C263)^(1/12))-1</f>
        <v>0.006239681461</v>
      </c>
      <c r="E263" s="51">
        <f t="shared" si="127"/>
        <v>2137.579999</v>
      </c>
      <c r="F263" s="51">
        <f>(Q262*'AP05'!$R263)*'AP05'!$D263</f>
        <v>566.1770096</v>
      </c>
      <c r="G263" s="51">
        <f>(Q262*'AP05'!$R263)/($I$5-A262)</f>
        <v>810.1618493</v>
      </c>
      <c r="H263" s="52">
        <f t="shared" ref="H263:L263" si="312">H262</f>
        <v>0</v>
      </c>
      <c r="I263" s="52">
        <f t="shared" si="312"/>
        <v>0</v>
      </c>
      <c r="J263" s="51">
        <f t="shared" si="312"/>
        <v>25</v>
      </c>
      <c r="K263" s="52">
        <f t="shared" si="312"/>
        <v>0</v>
      </c>
      <c r="L263" s="52">
        <f t="shared" si="312"/>
        <v>0</v>
      </c>
      <c r="M263" s="52"/>
      <c r="N263" s="85">
        <f>SUM('AP05'!$F263:$L263)</f>
        <v>1401.338859</v>
      </c>
      <c r="O263" s="51"/>
      <c r="P263" s="51">
        <f>Q262*('AP05'!$R263-1)</f>
        <v>0</v>
      </c>
      <c r="Q263" s="51">
        <f>(Q262*'AP05'!$R263)-'AP05'!$G263</f>
        <v>89927.96527</v>
      </c>
      <c r="R263" s="53">
        <f t="shared" si="149"/>
        <v>1</v>
      </c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56">
        <f t="shared" si="2"/>
        <v>250</v>
      </c>
      <c r="B264" s="50">
        <f t="shared" si="5"/>
        <v>50850</v>
      </c>
      <c r="C264" s="116">
        <f t="shared" si="126"/>
        <v>0.0775</v>
      </c>
      <c r="D264" s="116">
        <f>((1+'AP05'!$C264)^(1/12))-1</f>
        <v>0.006239681461</v>
      </c>
      <c r="E264" s="51">
        <f t="shared" si="127"/>
        <v>2137.579999</v>
      </c>
      <c r="F264" s="51">
        <f>(Q263*'AP05'!$R264)*'AP05'!$D264</f>
        <v>561.1218578</v>
      </c>
      <c r="G264" s="51">
        <f>(Q263*'AP05'!$R264)/($I$5-A263)</f>
        <v>810.1618493</v>
      </c>
      <c r="H264" s="52">
        <f t="shared" ref="H264:L264" si="313">H263</f>
        <v>0</v>
      </c>
      <c r="I264" s="52">
        <f t="shared" si="313"/>
        <v>0</v>
      </c>
      <c r="J264" s="51">
        <f t="shared" si="313"/>
        <v>25</v>
      </c>
      <c r="K264" s="52">
        <f t="shared" si="313"/>
        <v>0</v>
      </c>
      <c r="L264" s="52">
        <f t="shared" si="313"/>
        <v>0</v>
      </c>
      <c r="M264" s="52"/>
      <c r="N264" s="85">
        <f>SUM('AP05'!$F264:$L264)</f>
        <v>1396.283707</v>
      </c>
      <c r="O264" s="51"/>
      <c r="P264" s="51">
        <f>Q263*('AP05'!$R264-1)</f>
        <v>0</v>
      </c>
      <c r="Q264" s="51">
        <f>(Q263*'AP05'!$R264)-'AP05'!$G264</f>
        <v>89117.80342</v>
      </c>
      <c r="R264" s="53">
        <f t="shared" si="149"/>
        <v>1</v>
      </c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56">
        <f t="shared" si="2"/>
        <v>251</v>
      </c>
      <c r="B265" s="50">
        <f t="shared" si="5"/>
        <v>50881</v>
      </c>
      <c r="C265" s="116">
        <f t="shared" si="126"/>
        <v>0.0775</v>
      </c>
      <c r="D265" s="116">
        <f>((1+'AP05'!$C265)^(1/12))-1</f>
        <v>0.006239681461</v>
      </c>
      <c r="E265" s="51">
        <f t="shared" si="127"/>
        <v>2137.579999</v>
      </c>
      <c r="F265" s="51">
        <f>(Q264*'AP05'!$R265)*'AP05'!$D265</f>
        <v>556.0667059</v>
      </c>
      <c r="G265" s="51">
        <f>(Q264*'AP05'!$R265)/($I$5-A264)</f>
        <v>810.1618493</v>
      </c>
      <c r="H265" s="52">
        <f t="shared" ref="H265:L265" si="314">H264</f>
        <v>0</v>
      </c>
      <c r="I265" s="52">
        <f t="shared" si="314"/>
        <v>0</v>
      </c>
      <c r="J265" s="51">
        <f t="shared" si="314"/>
        <v>25</v>
      </c>
      <c r="K265" s="52">
        <f t="shared" si="314"/>
        <v>0</v>
      </c>
      <c r="L265" s="52">
        <f t="shared" si="314"/>
        <v>0</v>
      </c>
      <c r="M265" s="52"/>
      <c r="N265" s="85">
        <f>SUM('AP05'!$F265:$L265)</f>
        <v>1391.228555</v>
      </c>
      <c r="O265" s="51"/>
      <c r="P265" s="51">
        <f>Q264*('AP05'!$R265-1)</f>
        <v>0</v>
      </c>
      <c r="Q265" s="51">
        <f>(Q264*'AP05'!$R265)-'AP05'!$G265</f>
        <v>88307.64158</v>
      </c>
      <c r="R265" s="53">
        <f t="shared" si="149"/>
        <v>1</v>
      </c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56">
        <f t="shared" si="2"/>
        <v>252</v>
      </c>
      <c r="B266" s="50">
        <f t="shared" si="5"/>
        <v>50911</v>
      </c>
      <c r="C266" s="116">
        <f t="shared" si="126"/>
        <v>0.0775</v>
      </c>
      <c r="D266" s="116">
        <f>((1+'AP05'!$C266)^(1/12))-1</f>
        <v>0.006239681461</v>
      </c>
      <c r="E266" s="51">
        <f t="shared" si="127"/>
        <v>2137.579999</v>
      </c>
      <c r="F266" s="51">
        <f>(Q265*'AP05'!$R266)*'AP05'!$D266</f>
        <v>551.011554</v>
      </c>
      <c r="G266" s="51">
        <f>(Q265*'AP05'!$R266)/($I$5-A265)</f>
        <v>810.1618493</v>
      </c>
      <c r="H266" s="52">
        <f t="shared" ref="H266:L266" si="315">H265</f>
        <v>0</v>
      </c>
      <c r="I266" s="52">
        <f t="shared" si="315"/>
        <v>0</v>
      </c>
      <c r="J266" s="51">
        <f t="shared" si="315"/>
        <v>25</v>
      </c>
      <c r="K266" s="52">
        <f t="shared" si="315"/>
        <v>0</v>
      </c>
      <c r="L266" s="52">
        <f t="shared" si="315"/>
        <v>0</v>
      </c>
      <c r="M266" s="52"/>
      <c r="N266" s="85">
        <f>SUM('AP05'!$F266:$L266)</f>
        <v>1386.173403</v>
      </c>
      <c r="O266" s="51"/>
      <c r="P266" s="51">
        <f>Q265*('AP05'!$R266-1)</f>
        <v>0</v>
      </c>
      <c r="Q266" s="51">
        <f>(Q265*'AP05'!$R266)-'AP05'!$G266</f>
        <v>87497.47973</v>
      </c>
      <c r="R266" s="53">
        <f t="shared" si="149"/>
        <v>1</v>
      </c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56">
        <f t="shared" si="2"/>
        <v>253</v>
      </c>
      <c r="B267" s="50">
        <f t="shared" si="5"/>
        <v>50942</v>
      </c>
      <c r="C267" s="116">
        <f t="shared" si="126"/>
        <v>0.0775</v>
      </c>
      <c r="D267" s="116">
        <f>((1+'AP05'!$C267)^(1/12))-1</f>
        <v>0.006239681461</v>
      </c>
      <c r="E267" s="51">
        <f t="shared" si="127"/>
        <v>2137.579999</v>
      </c>
      <c r="F267" s="51">
        <f>(Q266*'AP05'!$R267)*'AP05'!$D267</f>
        <v>545.9564022</v>
      </c>
      <c r="G267" s="51">
        <f>(Q266*'AP05'!$R267)/($I$5-A266)</f>
        <v>810.1618493</v>
      </c>
      <c r="H267" s="52">
        <f t="shared" ref="H267:L267" si="316">H266</f>
        <v>0</v>
      </c>
      <c r="I267" s="52">
        <f t="shared" si="316"/>
        <v>0</v>
      </c>
      <c r="J267" s="51">
        <f t="shared" si="316"/>
        <v>25</v>
      </c>
      <c r="K267" s="52">
        <f t="shared" si="316"/>
        <v>0</v>
      </c>
      <c r="L267" s="52">
        <f t="shared" si="316"/>
        <v>0</v>
      </c>
      <c r="M267" s="52"/>
      <c r="N267" s="85">
        <f>SUM('AP05'!$F267:$L267)</f>
        <v>1381.118251</v>
      </c>
      <c r="O267" s="51"/>
      <c r="P267" s="51">
        <f>Q266*('AP05'!$R267-1)</f>
        <v>0</v>
      </c>
      <c r="Q267" s="51">
        <f>(Q266*'AP05'!$R267)-'AP05'!$G267</f>
        <v>86687.31788</v>
      </c>
      <c r="R267" s="53">
        <f t="shared" si="149"/>
        <v>1</v>
      </c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56">
        <f t="shared" si="2"/>
        <v>254</v>
      </c>
      <c r="B268" s="50">
        <f t="shared" si="5"/>
        <v>50972</v>
      </c>
      <c r="C268" s="116">
        <f t="shared" si="126"/>
        <v>0.0775</v>
      </c>
      <c r="D268" s="116">
        <f>((1+'AP05'!$C268)^(1/12))-1</f>
        <v>0.006239681461</v>
      </c>
      <c r="E268" s="51">
        <f t="shared" si="127"/>
        <v>2137.579999</v>
      </c>
      <c r="F268" s="51">
        <f>(Q267*'AP05'!$R268)*'AP05'!$D268</f>
        <v>540.9012503</v>
      </c>
      <c r="G268" s="51">
        <f>(Q267*'AP05'!$R268)/($I$5-A267)</f>
        <v>810.1618493</v>
      </c>
      <c r="H268" s="52">
        <f t="shared" ref="H268:L268" si="317">H267</f>
        <v>0</v>
      </c>
      <c r="I268" s="52">
        <f t="shared" si="317"/>
        <v>0</v>
      </c>
      <c r="J268" s="51">
        <f t="shared" si="317"/>
        <v>25</v>
      </c>
      <c r="K268" s="52">
        <f t="shared" si="317"/>
        <v>0</v>
      </c>
      <c r="L268" s="52">
        <f t="shared" si="317"/>
        <v>0</v>
      </c>
      <c r="M268" s="52"/>
      <c r="N268" s="85">
        <f>SUM('AP05'!$F268:$L268)</f>
        <v>1376.0631</v>
      </c>
      <c r="O268" s="51"/>
      <c r="P268" s="51">
        <f>Q267*('AP05'!$R268-1)</f>
        <v>0</v>
      </c>
      <c r="Q268" s="51">
        <f>(Q267*'AP05'!$R268)-'AP05'!$G268</f>
        <v>85877.15603</v>
      </c>
      <c r="R268" s="53">
        <f t="shared" si="149"/>
        <v>1</v>
      </c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56">
        <f t="shared" si="2"/>
        <v>255</v>
      </c>
      <c r="B269" s="50">
        <f t="shared" si="5"/>
        <v>51003</v>
      </c>
      <c r="C269" s="116">
        <f t="shared" si="126"/>
        <v>0.0775</v>
      </c>
      <c r="D269" s="116">
        <f>((1+'AP05'!$C269)^(1/12))-1</f>
        <v>0.006239681461</v>
      </c>
      <c r="E269" s="51">
        <f t="shared" si="127"/>
        <v>2137.579999</v>
      </c>
      <c r="F269" s="51">
        <f>(Q268*'AP05'!$R269)*'AP05'!$D269</f>
        <v>535.8460984</v>
      </c>
      <c r="G269" s="51">
        <f>(Q268*'AP05'!$R269)/($I$5-A268)</f>
        <v>810.1618493</v>
      </c>
      <c r="H269" s="52">
        <f t="shared" ref="H269:L269" si="318">H268</f>
        <v>0</v>
      </c>
      <c r="I269" s="52">
        <f t="shared" si="318"/>
        <v>0</v>
      </c>
      <c r="J269" s="51">
        <f t="shared" si="318"/>
        <v>25</v>
      </c>
      <c r="K269" s="52">
        <f t="shared" si="318"/>
        <v>0</v>
      </c>
      <c r="L269" s="52">
        <f t="shared" si="318"/>
        <v>0</v>
      </c>
      <c r="M269" s="52"/>
      <c r="N269" s="85">
        <f>SUM('AP05'!$F269:$L269)</f>
        <v>1371.007948</v>
      </c>
      <c r="O269" s="51"/>
      <c r="P269" s="51">
        <f>Q268*('AP05'!$R269-1)</f>
        <v>0</v>
      </c>
      <c r="Q269" s="51">
        <f>(Q268*'AP05'!$R269)-'AP05'!$G269</f>
        <v>85066.99418</v>
      </c>
      <c r="R269" s="53">
        <f t="shared" si="149"/>
        <v>1</v>
      </c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56">
        <f t="shared" si="2"/>
        <v>256</v>
      </c>
      <c r="B270" s="50">
        <f t="shared" si="5"/>
        <v>51034</v>
      </c>
      <c r="C270" s="116">
        <f t="shared" si="126"/>
        <v>0.0775</v>
      </c>
      <c r="D270" s="116">
        <f>((1+'AP05'!$C270)^(1/12))-1</f>
        <v>0.006239681461</v>
      </c>
      <c r="E270" s="51">
        <f t="shared" si="127"/>
        <v>2137.579999</v>
      </c>
      <c r="F270" s="51">
        <f>(Q269*'AP05'!$R270)*'AP05'!$D270</f>
        <v>530.7909465</v>
      </c>
      <c r="G270" s="51">
        <f>(Q269*'AP05'!$R270)/($I$5-A269)</f>
        <v>810.1618493</v>
      </c>
      <c r="H270" s="52">
        <f t="shared" ref="H270:L270" si="319">H269</f>
        <v>0</v>
      </c>
      <c r="I270" s="52">
        <f t="shared" si="319"/>
        <v>0</v>
      </c>
      <c r="J270" s="51">
        <f t="shared" si="319"/>
        <v>25</v>
      </c>
      <c r="K270" s="52">
        <f t="shared" si="319"/>
        <v>0</v>
      </c>
      <c r="L270" s="52">
        <f t="shared" si="319"/>
        <v>0</v>
      </c>
      <c r="M270" s="52"/>
      <c r="N270" s="85">
        <f>SUM('AP05'!$F270:$L270)</f>
        <v>1365.952796</v>
      </c>
      <c r="O270" s="51"/>
      <c r="P270" s="51">
        <f>Q269*('AP05'!$R270-1)</f>
        <v>0</v>
      </c>
      <c r="Q270" s="51">
        <f>(Q269*'AP05'!$R270)-'AP05'!$G270</f>
        <v>84256.83233</v>
      </c>
      <c r="R270" s="53">
        <f t="shared" si="149"/>
        <v>1</v>
      </c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56">
        <f t="shared" si="2"/>
        <v>257</v>
      </c>
      <c r="B271" s="50">
        <f t="shared" si="5"/>
        <v>51064</v>
      </c>
      <c r="C271" s="116">
        <f t="shared" si="126"/>
        <v>0.0775</v>
      </c>
      <c r="D271" s="116">
        <f>((1+'AP05'!$C271)^(1/12))-1</f>
        <v>0.006239681461</v>
      </c>
      <c r="E271" s="51">
        <f t="shared" si="127"/>
        <v>2137.579999</v>
      </c>
      <c r="F271" s="51">
        <f>(Q270*'AP05'!$R271)*'AP05'!$D271</f>
        <v>525.7357947</v>
      </c>
      <c r="G271" s="51">
        <f>(Q270*'AP05'!$R271)/($I$5-A270)</f>
        <v>810.1618493</v>
      </c>
      <c r="H271" s="52">
        <f t="shared" ref="H271:L271" si="320">H270</f>
        <v>0</v>
      </c>
      <c r="I271" s="52">
        <f t="shared" si="320"/>
        <v>0</v>
      </c>
      <c r="J271" s="51">
        <f t="shared" si="320"/>
        <v>25</v>
      </c>
      <c r="K271" s="52">
        <f t="shared" si="320"/>
        <v>0</v>
      </c>
      <c r="L271" s="52">
        <f t="shared" si="320"/>
        <v>0</v>
      </c>
      <c r="M271" s="52"/>
      <c r="N271" s="85">
        <f>SUM('AP05'!$F271:$L271)</f>
        <v>1360.897644</v>
      </c>
      <c r="O271" s="51"/>
      <c r="P271" s="51">
        <f>Q270*('AP05'!$R271-1)</f>
        <v>0</v>
      </c>
      <c r="Q271" s="51">
        <f>(Q270*'AP05'!$R271)-'AP05'!$G271</f>
        <v>83446.67048</v>
      </c>
      <c r="R271" s="53">
        <f t="shared" si="149"/>
        <v>1</v>
      </c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56">
        <f t="shared" si="2"/>
        <v>258</v>
      </c>
      <c r="B272" s="50">
        <f t="shared" si="5"/>
        <v>51095</v>
      </c>
      <c r="C272" s="116">
        <f t="shared" si="126"/>
        <v>0.0775</v>
      </c>
      <c r="D272" s="116">
        <f>((1+'AP05'!$C272)^(1/12))-1</f>
        <v>0.006239681461</v>
      </c>
      <c r="E272" s="51">
        <f t="shared" si="127"/>
        <v>2137.579999</v>
      </c>
      <c r="F272" s="51">
        <f>(Q271*'AP05'!$R272)*'AP05'!$D272</f>
        <v>520.6806428</v>
      </c>
      <c r="G272" s="51">
        <f>(Q271*'AP05'!$R272)/($I$5-A271)</f>
        <v>810.1618493</v>
      </c>
      <c r="H272" s="52">
        <f t="shared" ref="H272:L272" si="321">H271</f>
        <v>0</v>
      </c>
      <c r="I272" s="52">
        <f t="shared" si="321"/>
        <v>0</v>
      </c>
      <c r="J272" s="51">
        <f t="shared" si="321"/>
        <v>25</v>
      </c>
      <c r="K272" s="52">
        <f t="shared" si="321"/>
        <v>0</v>
      </c>
      <c r="L272" s="52">
        <f t="shared" si="321"/>
        <v>0</v>
      </c>
      <c r="M272" s="52"/>
      <c r="N272" s="85">
        <f>SUM('AP05'!$F272:$L272)</f>
        <v>1355.842492</v>
      </c>
      <c r="O272" s="51"/>
      <c r="P272" s="51">
        <f>Q271*('AP05'!$R272-1)</f>
        <v>0</v>
      </c>
      <c r="Q272" s="51">
        <f>(Q271*'AP05'!$R272)-'AP05'!$G272</f>
        <v>82636.50863</v>
      </c>
      <c r="R272" s="53">
        <f t="shared" si="149"/>
        <v>1</v>
      </c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56">
        <f t="shared" si="2"/>
        <v>259</v>
      </c>
      <c r="B273" s="50">
        <f t="shared" si="5"/>
        <v>51125</v>
      </c>
      <c r="C273" s="116">
        <f t="shared" si="126"/>
        <v>0.0775</v>
      </c>
      <c r="D273" s="116">
        <f>((1+'AP05'!$C273)^(1/12))-1</f>
        <v>0.006239681461</v>
      </c>
      <c r="E273" s="51">
        <f t="shared" si="127"/>
        <v>2137.579999</v>
      </c>
      <c r="F273" s="51">
        <f>(Q272*'AP05'!$R273)*'AP05'!$D273</f>
        <v>515.6254909</v>
      </c>
      <c r="G273" s="51">
        <f>(Q272*'AP05'!$R273)/($I$5-A272)</f>
        <v>810.1618493</v>
      </c>
      <c r="H273" s="52">
        <f t="shared" ref="H273:L273" si="322">H272</f>
        <v>0</v>
      </c>
      <c r="I273" s="52">
        <f t="shared" si="322"/>
        <v>0</v>
      </c>
      <c r="J273" s="51">
        <f t="shared" si="322"/>
        <v>25</v>
      </c>
      <c r="K273" s="52">
        <f t="shared" si="322"/>
        <v>0</v>
      </c>
      <c r="L273" s="52">
        <f t="shared" si="322"/>
        <v>0</v>
      </c>
      <c r="M273" s="52"/>
      <c r="N273" s="85">
        <f>SUM('AP05'!$F273:$L273)</f>
        <v>1350.78734</v>
      </c>
      <c r="O273" s="51"/>
      <c r="P273" s="51">
        <f>Q272*('AP05'!$R273-1)</f>
        <v>0</v>
      </c>
      <c r="Q273" s="51">
        <f>(Q272*'AP05'!$R273)-'AP05'!$G273</f>
        <v>81826.34678</v>
      </c>
      <c r="R273" s="53">
        <f t="shared" si="149"/>
        <v>1</v>
      </c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56">
        <f t="shared" si="2"/>
        <v>260</v>
      </c>
      <c r="B274" s="50">
        <f t="shared" si="5"/>
        <v>51156</v>
      </c>
      <c r="C274" s="116">
        <f t="shared" si="126"/>
        <v>0.0775</v>
      </c>
      <c r="D274" s="116">
        <f>((1+'AP05'!$C274)^(1/12))-1</f>
        <v>0.006239681461</v>
      </c>
      <c r="E274" s="51">
        <f t="shared" si="127"/>
        <v>2137.579999</v>
      </c>
      <c r="F274" s="51">
        <f>(Q273*'AP05'!$R274)*'AP05'!$D274</f>
        <v>510.5703391</v>
      </c>
      <c r="G274" s="51">
        <f>(Q273*'AP05'!$R274)/($I$5-A273)</f>
        <v>810.1618493</v>
      </c>
      <c r="H274" s="52">
        <f t="shared" ref="H274:L274" si="323">H273</f>
        <v>0</v>
      </c>
      <c r="I274" s="52">
        <f t="shared" si="323"/>
        <v>0</v>
      </c>
      <c r="J274" s="51">
        <f t="shared" si="323"/>
        <v>25</v>
      </c>
      <c r="K274" s="52">
        <f t="shared" si="323"/>
        <v>0</v>
      </c>
      <c r="L274" s="52">
        <f t="shared" si="323"/>
        <v>0</v>
      </c>
      <c r="M274" s="52"/>
      <c r="N274" s="85">
        <f>SUM('AP05'!$F274:$L274)</f>
        <v>1345.732188</v>
      </c>
      <c r="O274" s="51"/>
      <c r="P274" s="51">
        <f>Q273*('AP05'!$R274-1)</f>
        <v>0</v>
      </c>
      <c r="Q274" s="51">
        <f>(Q273*'AP05'!$R274)-'AP05'!$G274</f>
        <v>81016.18493</v>
      </c>
      <c r="R274" s="53">
        <f t="shared" si="149"/>
        <v>1</v>
      </c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56">
        <f t="shared" si="2"/>
        <v>261</v>
      </c>
      <c r="B275" s="50">
        <f t="shared" si="5"/>
        <v>51187</v>
      </c>
      <c r="C275" s="116">
        <f t="shared" si="126"/>
        <v>0.0775</v>
      </c>
      <c r="D275" s="116">
        <f>((1+'AP05'!$C275)^(1/12))-1</f>
        <v>0.006239681461</v>
      </c>
      <c r="E275" s="51">
        <f t="shared" si="127"/>
        <v>2137.579999</v>
      </c>
      <c r="F275" s="51">
        <f>(Q274*'AP05'!$R275)*'AP05'!$D275</f>
        <v>505.5151872</v>
      </c>
      <c r="G275" s="51">
        <f>(Q274*'AP05'!$R275)/($I$5-A274)</f>
        <v>810.1618493</v>
      </c>
      <c r="H275" s="52">
        <f t="shared" ref="H275:L275" si="324">H274</f>
        <v>0</v>
      </c>
      <c r="I275" s="52">
        <f t="shared" si="324"/>
        <v>0</v>
      </c>
      <c r="J275" s="51">
        <f t="shared" si="324"/>
        <v>25</v>
      </c>
      <c r="K275" s="52">
        <f t="shared" si="324"/>
        <v>0</v>
      </c>
      <c r="L275" s="52">
        <f t="shared" si="324"/>
        <v>0</v>
      </c>
      <c r="M275" s="52"/>
      <c r="N275" s="85">
        <f>SUM('AP05'!$F275:$L275)</f>
        <v>1340.677036</v>
      </c>
      <c r="O275" s="51"/>
      <c r="P275" s="51">
        <f>Q274*('AP05'!$R275-1)</f>
        <v>0</v>
      </c>
      <c r="Q275" s="51">
        <f>(Q274*'AP05'!$R275)-'AP05'!$G275</f>
        <v>80206.02308</v>
      </c>
      <c r="R275" s="53">
        <f t="shared" si="149"/>
        <v>1</v>
      </c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56">
        <f t="shared" si="2"/>
        <v>262</v>
      </c>
      <c r="B276" s="50">
        <f t="shared" si="5"/>
        <v>51216</v>
      </c>
      <c r="C276" s="116">
        <f t="shared" si="126"/>
        <v>0.0775</v>
      </c>
      <c r="D276" s="116">
        <f>((1+'AP05'!$C276)^(1/12))-1</f>
        <v>0.006239681461</v>
      </c>
      <c r="E276" s="51">
        <f t="shared" si="127"/>
        <v>2137.579999</v>
      </c>
      <c r="F276" s="51">
        <f>(Q275*'AP05'!$R276)*'AP05'!$D276</f>
        <v>500.4600353</v>
      </c>
      <c r="G276" s="51">
        <f>(Q275*'AP05'!$R276)/($I$5-A275)</f>
        <v>810.1618493</v>
      </c>
      <c r="H276" s="52">
        <f t="shared" ref="H276:L276" si="325">H275</f>
        <v>0</v>
      </c>
      <c r="I276" s="52">
        <f t="shared" si="325"/>
        <v>0</v>
      </c>
      <c r="J276" s="51">
        <f t="shared" si="325"/>
        <v>25</v>
      </c>
      <c r="K276" s="52">
        <f t="shared" si="325"/>
        <v>0</v>
      </c>
      <c r="L276" s="52">
        <f t="shared" si="325"/>
        <v>0</v>
      </c>
      <c r="M276" s="52"/>
      <c r="N276" s="85">
        <f>SUM('AP05'!$F276:$L276)</f>
        <v>1335.621885</v>
      </c>
      <c r="O276" s="51"/>
      <c r="P276" s="51">
        <f>Q275*('AP05'!$R276-1)</f>
        <v>0</v>
      </c>
      <c r="Q276" s="51">
        <f>(Q275*'AP05'!$R276)-'AP05'!$G276</f>
        <v>79395.86123</v>
      </c>
      <c r="R276" s="53">
        <f t="shared" si="149"/>
        <v>1</v>
      </c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56">
        <f t="shared" si="2"/>
        <v>263</v>
      </c>
      <c r="B277" s="50">
        <f t="shared" si="5"/>
        <v>51247</v>
      </c>
      <c r="C277" s="116">
        <f t="shared" si="126"/>
        <v>0.0775</v>
      </c>
      <c r="D277" s="116">
        <f>((1+'AP05'!$C277)^(1/12))-1</f>
        <v>0.006239681461</v>
      </c>
      <c r="E277" s="51">
        <f t="shared" si="127"/>
        <v>2137.579999</v>
      </c>
      <c r="F277" s="51">
        <f>(Q276*'AP05'!$R277)*'AP05'!$D277</f>
        <v>495.4048834</v>
      </c>
      <c r="G277" s="51">
        <f>(Q276*'AP05'!$R277)/($I$5-A276)</f>
        <v>810.1618493</v>
      </c>
      <c r="H277" s="52">
        <f t="shared" ref="H277:L277" si="326">H276</f>
        <v>0</v>
      </c>
      <c r="I277" s="52">
        <f t="shared" si="326"/>
        <v>0</v>
      </c>
      <c r="J277" s="51">
        <f t="shared" si="326"/>
        <v>25</v>
      </c>
      <c r="K277" s="52">
        <f t="shared" si="326"/>
        <v>0</v>
      </c>
      <c r="L277" s="52">
        <f t="shared" si="326"/>
        <v>0</v>
      </c>
      <c r="M277" s="52"/>
      <c r="N277" s="85">
        <f>SUM('AP05'!$F277:$L277)</f>
        <v>1330.566733</v>
      </c>
      <c r="O277" s="51"/>
      <c r="P277" s="51">
        <f>Q276*('AP05'!$R277-1)</f>
        <v>0</v>
      </c>
      <c r="Q277" s="51">
        <f>(Q276*'AP05'!$R277)-'AP05'!$G277</f>
        <v>78585.69938</v>
      </c>
      <c r="R277" s="53">
        <f t="shared" si="149"/>
        <v>1</v>
      </c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56">
        <f t="shared" si="2"/>
        <v>264</v>
      </c>
      <c r="B278" s="50">
        <f t="shared" si="5"/>
        <v>51277</v>
      </c>
      <c r="C278" s="116">
        <f t="shared" si="126"/>
        <v>0.0775</v>
      </c>
      <c r="D278" s="116">
        <f>((1+'AP05'!$C278)^(1/12))-1</f>
        <v>0.006239681461</v>
      </c>
      <c r="E278" s="51">
        <f t="shared" si="127"/>
        <v>2137.579999</v>
      </c>
      <c r="F278" s="51">
        <f>(Q277*'AP05'!$R278)*'AP05'!$D278</f>
        <v>490.3497316</v>
      </c>
      <c r="G278" s="51">
        <f>(Q277*'AP05'!$R278)/($I$5-A277)</f>
        <v>810.1618493</v>
      </c>
      <c r="H278" s="52">
        <f t="shared" ref="H278:L278" si="327">H277</f>
        <v>0</v>
      </c>
      <c r="I278" s="52">
        <f t="shared" si="327"/>
        <v>0</v>
      </c>
      <c r="J278" s="51">
        <f t="shared" si="327"/>
        <v>25</v>
      </c>
      <c r="K278" s="52">
        <f t="shared" si="327"/>
        <v>0</v>
      </c>
      <c r="L278" s="52">
        <f t="shared" si="327"/>
        <v>0</v>
      </c>
      <c r="M278" s="52"/>
      <c r="N278" s="85">
        <f>SUM('AP05'!$F278:$L278)</f>
        <v>1325.511581</v>
      </c>
      <c r="O278" s="51"/>
      <c r="P278" s="51">
        <f>Q277*('AP05'!$R278-1)</f>
        <v>0</v>
      </c>
      <c r="Q278" s="51">
        <f>(Q277*'AP05'!$R278)-'AP05'!$G278</f>
        <v>77775.53753</v>
      </c>
      <c r="R278" s="53">
        <f t="shared" si="149"/>
        <v>1</v>
      </c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56">
        <f t="shared" si="2"/>
        <v>265</v>
      </c>
      <c r="B279" s="50">
        <f t="shared" si="5"/>
        <v>51308</v>
      </c>
      <c r="C279" s="116">
        <f t="shared" si="126"/>
        <v>0.0775</v>
      </c>
      <c r="D279" s="116">
        <f>((1+'AP05'!$C279)^(1/12))-1</f>
        <v>0.006239681461</v>
      </c>
      <c r="E279" s="51">
        <f t="shared" si="127"/>
        <v>2137.579999</v>
      </c>
      <c r="F279" s="51">
        <f>(Q278*'AP05'!$R279)*'AP05'!$D279</f>
        <v>485.2945797</v>
      </c>
      <c r="G279" s="51">
        <f>(Q278*'AP05'!$R279)/($I$5-A278)</f>
        <v>810.1618493</v>
      </c>
      <c r="H279" s="52">
        <f t="shared" ref="H279:L279" si="328">H278</f>
        <v>0</v>
      </c>
      <c r="I279" s="52">
        <f t="shared" si="328"/>
        <v>0</v>
      </c>
      <c r="J279" s="51">
        <f t="shared" si="328"/>
        <v>25</v>
      </c>
      <c r="K279" s="52">
        <f t="shared" si="328"/>
        <v>0</v>
      </c>
      <c r="L279" s="52">
        <f t="shared" si="328"/>
        <v>0</v>
      </c>
      <c r="M279" s="52"/>
      <c r="N279" s="85">
        <f>SUM('AP05'!$F279:$L279)</f>
        <v>1320.456429</v>
      </c>
      <c r="O279" s="51"/>
      <c r="P279" s="51">
        <f>Q278*('AP05'!$R279-1)</f>
        <v>0</v>
      </c>
      <c r="Q279" s="51">
        <f>(Q278*'AP05'!$R279)-'AP05'!$G279</f>
        <v>76965.37568</v>
      </c>
      <c r="R279" s="53">
        <f t="shared" si="149"/>
        <v>1</v>
      </c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56">
        <f t="shared" si="2"/>
        <v>266</v>
      </c>
      <c r="B280" s="50">
        <f t="shared" si="5"/>
        <v>51338</v>
      </c>
      <c r="C280" s="116">
        <f t="shared" si="126"/>
        <v>0.0775</v>
      </c>
      <c r="D280" s="116">
        <f>((1+'AP05'!$C280)^(1/12))-1</f>
        <v>0.006239681461</v>
      </c>
      <c r="E280" s="51">
        <f t="shared" si="127"/>
        <v>2137.579999</v>
      </c>
      <c r="F280" s="51">
        <f>(Q279*'AP05'!$R280)*'AP05'!$D280</f>
        <v>480.2394278</v>
      </c>
      <c r="G280" s="51">
        <f>(Q279*'AP05'!$R280)/($I$5-A279)</f>
        <v>810.1618493</v>
      </c>
      <c r="H280" s="52">
        <f t="shared" ref="H280:L280" si="329">H279</f>
        <v>0</v>
      </c>
      <c r="I280" s="52">
        <f t="shared" si="329"/>
        <v>0</v>
      </c>
      <c r="J280" s="51">
        <f t="shared" si="329"/>
        <v>25</v>
      </c>
      <c r="K280" s="52">
        <f t="shared" si="329"/>
        <v>0</v>
      </c>
      <c r="L280" s="52">
        <f t="shared" si="329"/>
        <v>0</v>
      </c>
      <c r="M280" s="52"/>
      <c r="N280" s="85">
        <f>SUM('AP05'!$F280:$L280)</f>
        <v>1315.401277</v>
      </c>
      <c r="O280" s="51"/>
      <c r="P280" s="51">
        <f>Q279*('AP05'!$R280-1)</f>
        <v>0</v>
      </c>
      <c r="Q280" s="51">
        <f>(Q279*'AP05'!$R280)-'AP05'!$G280</f>
        <v>76155.21384</v>
      </c>
      <c r="R280" s="53">
        <f t="shared" si="149"/>
        <v>1</v>
      </c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56">
        <f t="shared" si="2"/>
        <v>267</v>
      </c>
      <c r="B281" s="50">
        <f t="shared" si="5"/>
        <v>51369</v>
      </c>
      <c r="C281" s="116">
        <f t="shared" si="126"/>
        <v>0.0775</v>
      </c>
      <c r="D281" s="116">
        <f>((1+'AP05'!$C281)^(1/12))-1</f>
        <v>0.006239681461</v>
      </c>
      <c r="E281" s="51">
        <f t="shared" si="127"/>
        <v>2137.579999</v>
      </c>
      <c r="F281" s="51">
        <f>(Q280*'AP05'!$R281)*'AP05'!$D281</f>
        <v>475.1842759</v>
      </c>
      <c r="G281" s="51">
        <f>(Q280*'AP05'!$R281)/($I$5-A280)</f>
        <v>810.1618493</v>
      </c>
      <c r="H281" s="52">
        <f t="shared" ref="H281:L281" si="330">H280</f>
        <v>0</v>
      </c>
      <c r="I281" s="52">
        <f t="shared" si="330"/>
        <v>0</v>
      </c>
      <c r="J281" s="51">
        <f t="shared" si="330"/>
        <v>25</v>
      </c>
      <c r="K281" s="52">
        <f t="shared" si="330"/>
        <v>0</v>
      </c>
      <c r="L281" s="52">
        <f t="shared" si="330"/>
        <v>0</v>
      </c>
      <c r="M281" s="52"/>
      <c r="N281" s="85">
        <f>SUM('AP05'!$F281:$L281)</f>
        <v>1310.346125</v>
      </c>
      <c r="O281" s="51"/>
      <c r="P281" s="51">
        <f>Q280*('AP05'!$R281-1)</f>
        <v>0</v>
      </c>
      <c r="Q281" s="51">
        <f>(Q280*'AP05'!$R281)-'AP05'!$G281</f>
        <v>75345.05199</v>
      </c>
      <c r="R281" s="53">
        <f t="shared" si="149"/>
        <v>1</v>
      </c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56">
        <f t="shared" si="2"/>
        <v>268</v>
      </c>
      <c r="B282" s="50">
        <f t="shared" si="5"/>
        <v>51400</v>
      </c>
      <c r="C282" s="116">
        <f t="shared" si="126"/>
        <v>0.0775</v>
      </c>
      <c r="D282" s="116">
        <f>((1+'AP05'!$C282)^(1/12))-1</f>
        <v>0.006239681461</v>
      </c>
      <c r="E282" s="51">
        <f t="shared" si="127"/>
        <v>2137.579999</v>
      </c>
      <c r="F282" s="51">
        <f>(Q281*'AP05'!$R282)*'AP05'!$D282</f>
        <v>470.1291241</v>
      </c>
      <c r="G282" s="51">
        <f>(Q281*'AP05'!$R282)/($I$5-A281)</f>
        <v>810.1618493</v>
      </c>
      <c r="H282" s="52">
        <f t="shared" ref="H282:L282" si="331">H281</f>
        <v>0</v>
      </c>
      <c r="I282" s="52">
        <f t="shared" si="331"/>
        <v>0</v>
      </c>
      <c r="J282" s="51">
        <f t="shared" si="331"/>
        <v>25</v>
      </c>
      <c r="K282" s="52">
        <f t="shared" si="331"/>
        <v>0</v>
      </c>
      <c r="L282" s="52">
        <f t="shared" si="331"/>
        <v>0</v>
      </c>
      <c r="M282" s="52"/>
      <c r="N282" s="85">
        <f>SUM('AP05'!$F282:$L282)</f>
        <v>1305.290973</v>
      </c>
      <c r="O282" s="51"/>
      <c r="P282" s="51">
        <f>Q281*('AP05'!$R282-1)</f>
        <v>0</v>
      </c>
      <c r="Q282" s="51">
        <f>(Q281*'AP05'!$R282)-'AP05'!$G282</f>
        <v>74534.89014</v>
      </c>
      <c r="R282" s="53">
        <f t="shared" si="149"/>
        <v>1</v>
      </c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56">
        <f t="shared" si="2"/>
        <v>269</v>
      </c>
      <c r="B283" s="50">
        <f t="shared" si="5"/>
        <v>51430</v>
      </c>
      <c r="C283" s="116">
        <f t="shared" si="126"/>
        <v>0.0775</v>
      </c>
      <c r="D283" s="116">
        <f>((1+'AP05'!$C283)^(1/12))-1</f>
        <v>0.006239681461</v>
      </c>
      <c r="E283" s="51">
        <f t="shared" si="127"/>
        <v>2137.579999</v>
      </c>
      <c r="F283" s="51">
        <f>(Q282*'AP05'!$R283)*'AP05'!$D283</f>
        <v>465.0739722</v>
      </c>
      <c r="G283" s="51">
        <f>(Q282*'AP05'!$R283)/($I$5-A282)</f>
        <v>810.1618493</v>
      </c>
      <c r="H283" s="52">
        <f t="shared" ref="H283:L283" si="332">H282</f>
        <v>0</v>
      </c>
      <c r="I283" s="52">
        <f t="shared" si="332"/>
        <v>0</v>
      </c>
      <c r="J283" s="51">
        <f t="shared" si="332"/>
        <v>25</v>
      </c>
      <c r="K283" s="52">
        <f t="shared" si="332"/>
        <v>0</v>
      </c>
      <c r="L283" s="52">
        <f t="shared" si="332"/>
        <v>0</v>
      </c>
      <c r="M283" s="52"/>
      <c r="N283" s="85">
        <f>SUM('AP05'!$F283:$L283)</f>
        <v>1300.235822</v>
      </c>
      <c r="O283" s="51"/>
      <c r="P283" s="51">
        <f>Q282*('AP05'!$R283-1)</f>
        <v>0</v>
      </c>
      <c r="Q283" s="51">
        <f>(Q282*'AP05'!$R283)-'AP05'!$G283</f>
        <v>73724.72829</v>
      </c>
      <c r="R283" s="53">
        <f t="shared" si="149"/>
        <v>1</v>
      </c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56">
        <f t="shared" si="2"/>
        <v>270</v>
      </c>
      <c r="B284" s="50">
        <f t="shared" si="5"/>
        <v>51461</v>
      </c>
      <c r="C284" s="116">
        <f t="shared" si="126"/>
        <v>0.0775</v>
      </c>
      <c r="D284" s="116">
        <f>((1+'AP05'!$C284)^(1/12))-1</f>
        <v>0.006239681461</v>
      </c>
      <c r="E284" s="51">
        <f t="shared" si="127"/>
        <v>2137.579999</v>
      </c>
      <c r="F284" s="51">
        <f>(Q283*'AP05'!$R284)*'AP05'!$D284</f>
        <v>460.0188203</v>
      </c>
      <c r="G284" s="51">
        <f>(Q283*'AP05'!$R284)/($I$5-A283)</f>
        <v>810.1618493</v>
      </c>
      <c r="H284" s="52">
        <f t="shared" ref="H284:L284" si="333">H283</f>
        <v>0</v>
      </c>
      <c r="I284" s="52">
        <f t="shared" si="333"/>
        <v>0</v>
      </c>
      <c r="J284" s="51">
        <f t="shared" si="333"/>
        <v>25</v>
      </c>
      <c r="K284" s="52">
        <f t="shared" si="333"/>
        <v>0</v>
      </c>
      <c r="L284" s="52">
        <f t="shared" si="333"/>
        <v>0</v>
      </c>
      <c r="M284" s="52"/>
      <c r="N284" s="85">
        <f>SUM('AP05'!$F284:$L284)</f>
        <v>1295.18067</v>
      </c>
      <c r="O284" s="51"/>
      <c r="P284" s="51">
        <f>Q283*('AP05'!$R284-1)</f>
        <v>0</v>
      </c>
      <c r="Q284" s="51">
        <f>(Q283*'AP05'!$R284)-'AP05'!$G284</f>
        <v>72914.56644</v>
      </c>
      <c r="R284" s="53">
        <f t="shared" si="149"/>
        <v>1</v>
      </c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56">
        <f t="shared" si="2"/>
        <v>271</v>
      </c>
      <c r="B285" s="50">
        <f t="shared" si="5"/>
        <v>51491</v>
      </c>
      <c r="C285" s="116">
        <f t="shared" si="126"/>
        <v>0.0775</v>
      </c>
      <c r="D285" s="116">
        <f>((1+'AP05'!$C285)^(1/12))-1</f>
        <v>0.006239681461</v>
      </c>
      <c r="E285" s="51">
        <f t="shared" si="127"/>
        <v>2137.579999</v>
      </c>
      <c r="F285" s="51">
        <f>(Q284*'AP05'!$R285)*'AP05'!$D285</f>
        <v>454.9636685</v>
      </c>
      <c r="G285" s="51">
        <f>(Q284*'AP05'!$R285)/($I$5-A284)</f>
        <v>810.1618493</v>
      </c>
      <c r="H285" s="52">
        <f t="shared" ref="H285:L285" si="334">H284</f>
        <v>0</v>
      </c>
      <c r="I285" s="52">
        <f t="shared" si="334"/>
        <v>0</v>
      </c>
      <c r="J285" s="51">
        <f t="shared" si="334"/>
        <v>25</v>
      </c>
      <c r="K285" s="52">
        <f t="shared" si="334"/>
        <v>0</v>
      </c>
      <c r="L285" s="52">
        <f t="shared" si="334"/>
        <v>0</v>
      </c>
      <c r="M285" s="52"/>
      <c r="N285" s="85">
        <f>SUM('AP05'!$F285:$L285)</f>
        <v>1290.125518</v>
      </c>
      <c r="O285" s="51"/>
      <c r="P285" s="51">
        <f>Q284*('AP05'!$R285-1)</f>
        <v>0</v>
      </c>
      <c r="Q285" s="51">
        <f>(Q284*'AP05'!$R285)-'AP05'!$G285</f>
        <v>72104.40459</v>
      </c>
      <c r="R285" s="53">
        <f t="shared" si="149"/>
        <v>1</v>
      </c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56">
        <f t="shared" si="2"/>
        <v>272</v>
      </c>
      <c r="B286" s="50">
        <f t="shared" si="5"/>
        <v>51522</v>
      </c>
      <c r="C286" s="116">
        <f t="shared" si="126"/>
        <v>0.0775</v>
      </c>
      <c r="D286" s="116">
        <f>((1+'AP05'!$C286)^(1/12))-1</f>
        <v>0.006239681461</v>
      </c>
      <c r="E286" s="51">
        <f t="shared" si="127"/>
        <v>2137.579999</v>
      </c>
      <c r="F286" s="51">
        <f>(Q285*'AP05'!$R286)*'AP05'!$D286</f>
        <v>449.9085166</v>
      </c>
      <c r="G286" s="51">
        <f>(Q285*'AP05'!$R286)/($I$5-A285)</f>
        <v>810.1618493</v>
      </c>
      <c r="H286" s="52">
        <f t="shared" ref="H286:L286" si="335">H285</f>
        <v>0</v>
      </c>
      <c r="I286" s="52">
        <f t="shared" si="335"/>
        <v>0</v>
      </c>
      <c r="J286" s="51">
        <f t="shared" si="335"/>
        <v>25</v>
      </c>
      <c r="K286" s="52">
        <f t="shared" si="335"/>
        <v>0</v>
      </c>
      <c r="L286" s="52">
        <f t="shared" si="335"/>
        <v>0</v>
      </c>
      <c r="M286" s="52"/>
      <c r="N286" s="85">
        <f>SUM('AP05'!$F286:$L286)</f>
        <v>1285.070366</v>
      </c>
      <c r="O286" s="51"/>
      <c r="P286" s="51">
        <f>Q285*('AP05'!$R286-1)</f>
        <v>0</v>
      </c>
      <c r="Q286" s="51">
        <f>(Q285*'AP05'!$R286)-'AP05'!$G286</f>
        <v>71294.24274</v>
      </c>
      <c r="R286" s="53">
        <f t="shared" si="149"/>
        <v>1</v>
      </c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56">
        <f t="shared" si="2"/>
        <v>273</v>
      </c>
      <c r="B287" s="50">
        <f t="shared" si="5"/>
        <v>51553</v>
      </c>
      <c r="C287" s="116">
        <f t="shared" si="126"/>
        <v>0.0775</v>
      </c>
      <c r="D287" s="116">
        <f>((1+'AP05'!$C287)^(1/12))-1</f>
        <v>0.006239681461</v>
      </c>
      <c r="E287" s="51">
        <f t="shared" si="127"/>
        <v>2137.579999</v>
      </c>
      <c r="F287" s="51">
        <f>(Q286*'AP05'!$R287)*'AP05'!$D287</f>
        <v>444.8533647</v>
      </c>
      <c r="G287" s="51">
        <f>(Q286*'AP05'!$R287)/($I$5-A286)</f>
        <v>810.1618493</v>
      </c>
      <c r="H287" s="52">
        <f t="shared" ref="H287:L287" si="336">H286</f>
        <v>0</v>
      </c>
      <c r="I287" s="52">
        <f t="shared" si="336"/>
        <v>0</v>
      </c>
      <c r="J287" s="51">
        <f t="shared" si="336"/>
        <v>25</v>
      </c>
      <c r="K287" s="52">
        <f t="shared" si="336"/>
        <v>0</v>
      </c>
      <c r="L287" s="52">
        <f t="shared" si="336"/>
        <v>0</v>
      </c>
      <c r="M287" s="52"/>
      <c r="N287" s="85">
        <f>SUM('AP05'!$F287:$L287)</f>
        <v>1280.015214</v>
      </c>
      <c r="O287" s="51"/>
      <c r="P287" s="51">
        <f>Q286*('AP05'!$R287-1)</f>
        <v>0</v>
      </c>
      <c r="Q287" s="51">
        <f>(Q286*'AP05'!$R287)-'AP05'!$G287</f>
        <v>70484.08089</v>
      </c>
      <c r="R287" s="53">
        <f t="shared" si="149"/>
        <v>1</v>
      </c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56">
        <f t="shared" si="2"/>
        <v>274</v>
      </c>
      <c r="B288" s="50">
        <f t="shared" si="5"/>
        <v>51581</v>
      </c>
      <c r="C288" s="116">
        <f t="shared" si="126"/>
        <v>0.0775</v>
      </c>
      <c r="D288" s="116">
        <f>((1+'AP05'!$C288)^(1/12))-1</f>
        <v>0.006239681461</v>
      </c>
      <c r="E288" s="51">
        <f t="shared" si="127"/>
        <v>2137.579999</v>
      </c>
      <c r="F288" s="51">
        <f>(Q287*'AP05'!$R288)*'AP05'!$D288</f>
        <v>439.7982128</v>
      </c>
      <c r="G288" s="51">
        <f>(Q287*'AP05'!$R288)/($I$5-A287)</f>
        <v>810.1618493</v>
      </c>
      <c r="H288" s="52">
        <f t="shared" ref="H288:L288" si="337">H287</f>
        <v>0</v>
      </c>
      <c r="I288" s="52">
        <f t="shared" si="337"/>
        <v>0</v>
      </c>
      <c r="J288" s="51">
        <f t="shared" si="337"/>
        <v>25</v>
      </c>
      <c r="K288" s="52">
        <f t="shared" si="337"/>
        <v>0</v>
      </c>
      <c r="L288" s="52">
        <f t="shared" si="337"/>
        <v>0</v>
      </c>
      <c r="M288" s="52"/>
      <c r="N288" s="85">
        <f>SUM('AP05'!$F288:$L288)</f>
        <v>1274.960062</v>
      </c>
      <c r="O288" s="51"/>
      <c r="P288" s="51">
        <f>Q287*('AP05'!$R288-1)</f>
        <v>0</v>
      </c>
      <c r="Q288" s="51">
        <f>(Q287*'AP05'!$R288)-'AP05'!$G288</f>
        <v>69673.91904</v>
      </c>
      <c r="R288" s="53">
        <f t="shared" si="149"/>
        <v>1</v>
      </c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56">
        <f t="shared" si="2"/>
        <v>275</v>
      </c>
      <c r="B289" s="50">
        <f t="shared" si="5"/>
        <v>51612</v>
      </c>
      <c r="C289" s="116">
        <f t="shared" si="126"/>
        <v>0.0775</v>
      </c>
      <c r="D289" s="116">
        <f>((1+'AP05'!$C289)^(1/12))-1</f>
        <v>0.006239681461</v>
      </c>
      <c r="E289" s="51">
        <f t="shared" si="127"/>
        <v>2137.579999</v>
      </c>
      <c r="F289" s="51">
        <f>(Q288*'AP05'!$R289)*'AP05'!$D289</f>
        <v>434.743061</v>
      </c>
      <c r="G289" s="51">
        <f>(Q288*'AP05'!$R289)/($I$5-A288)</f>
        <v>810.1618493</v>
      </c>
      <c r="H289" s="52">
        <f t="shared" ref="H289:L289" si="338">H288</f>
        <v>0</v>
      </c>
      <c r="I289" s="52">
        <f t="shared" si="338"/>
        <v>0</v>
      </c>
      <c r="J289" s="51">
        <f t="shared" si="338"/>
        <v>25</v>
      </c>
      <c r="K289" s="52">
        <f t="shared" si="338"/>
        <v>0</v>
      </c>
      <c r="L289" s="52">
        <f t="shared" si="338"/>
        <v>0</v>
      </c>
      <c r="M289" s="52"/>
      <c r="N289" s="85">
        <f>SUM('AP05'!$F289:$L289)</f>
        <v>1269.90491</v>
      </c>
      <c r="O289" s="51"/>
      <c r="P289" s="51">
        <f>Q288*('AP05'!$R289-1)</f>
        <v>0</v>
      </c>
      <c r="Q289" s="51">
        <f>(Q288*'AP05'!$R289)-'AP05'!$G289</f>
        <v>68863.75719</v>
      </c>
      <c r="R289" s="53">
        <f t="shared" si="149"/>
        <v>1</v>
      </c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56">
        <f t="shared" si="2"/>
        <v>276</v>
      </c>
      <c r="B290" s="50">
        <f t="shared" si="5"/>
        <v>51642</v>
      </c>
      <c r="C290" s="116">
        <f t="shared" si="126"/>
        <v>0.0775</v>
      </c>
      <c r="D290" s="116">
        <f>((1+'AP05'!$C290)^(1/12))-1</f>
        <v>0.006239681461</v>
      </c>
      <c r="E290" s="51">
        <f t="shared" si="127"/>
        <v>2137.579999</v>
      </c>
      <c r="F290" s="51">
        <f>(Q289*'AP05'!$R290)*'AP05'!$D290</f>
        <v>429.6879091</v>
      </c>
      <c r="G290" s="51">
        <f>(Q289*'AP05'!$R290)/($I$5-A289)</f>
        <v>810.1618493</v>
      </c>
      <c r="H290" s="52">
        <f t="shared" ref="H290:L290" si="339">H289</f>
        <v>0</v>
      </c>
      <c r="I290" s="52">
        <f t="shared" si="339"/>
        <v>0</v>
      </c>
      <c r="J290" s="51">
        <f t="shared" si="339"/>
        <v>25</v>
      </c>
      <c r="K290" s="52">
        <f t="shared" si="339"/>
        <v>0</v>
      </c>
      <c r="L290" s="52">
        <f t="shared" si="339"/>
        <v>0</v>
      </c>
      <c r="M290" s="52"/>
      <c r="N290" s="85">
        <f>SUM('AP05'!$F290:$L290)</f>
        <v>1264.849758</v>
      </c>
      <c r="O290" s="51"/>
      <c r="P290" s="51">
        <f>Q289*('AP05'!$R290-1)</f>
        <v>0</v>
      </c>
      <c r="Q290" s="51">
        <f>(Q289*'AP05'!$R290)-'AP05'!$G290</f>
        <v>68053.59534</v>
      </c>
      <c r="R290" s="53">
        <f t="shared" si="149"/>
        <v>1</v>
      </c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56">
        <f t="shared" si="2"/>
        <v>277</v>
      </c>
      <c r="B291" s="50">
        <f t="shared" si="5"/>
        <v>51673</v>
      </c>
      <c r="C291" s="116">
        <f t="shared" si="126"/>
        <v>0.0775</v>
      </c>
      <c r="D291" s="116">
        <f>((1+'AP05'!$C291)^(1/12))-1</f>
        <v>0.006239681461</v>
      </c>
      <c r="E291" s="51">
        <f t="shared" si="127"/>
        <v>2137.579999</v>
      </c>
      <c r="F291" s="51">
        <f>(Q290*'AP05'!$R291)*'AP05'!$D291</f>
        <v>424.6327572</v>
      </c>
      <c r="G291" s="51">
        <f>(Q290*'AP05'!$R291)/($I$5-A290)</f>
        <v>810.1618493</v>
      </c>
      <c r="H291" s="52">
        <f t="shared" ref="H291:L291" si="340">H290</f>
        <v>0</v>
      </c>
      <c r="I291" s="52">
        <f t="shared" si="340"/>
        <v>0</v>
      </c>
      <c r="J291" s="51">
        <f t="shared" si="340"/>
        <v>25</v>
      </c>
      <c r="K291" s="52">
        <f t="shared" si="340"/>
        <v>0</v>
      </c>
      <c r="L291" s="52">
        <f t="shared" si="340"/>
        <v>0</v>
      </c>
      <c r="M291" s="52"/>
      <c r="N291" s="85">
        <f>SUM('AP05'!$F291:$L291)</f>
        <v>1259.794607</v>
      </c>
      <c r="O291" s="51"/>
      <c r="P291" s="51">
        <f>Q290*('AP05'!$R291-1)</f>
        <v>0</v>
      </c>
      <c r="Q291" s="51">
        <f>(Q290*'AP05'!$R291)-'AP05'!$G291</f>
        <v>67243.43349</v>
      </c>
      <c r="R291" s="53">
        <f t="shared" si="149"/>
        <v>1</v>
      </c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56">
        <f t="shared" si="2"/>
        <v>278</v>
      </c>
      <c r="B292" s="50">
        <f t="shared" si="5"/>
        <v>51703</v>
      </c>
      <c r="C292" s="116">
        <f t="shared" si="126"/>
        <v>0.0775</v>
      </c>
      <c r="D292" s="116">
        <f>((1+'AP05'!$C292)^(1/12))-1</f>
        <v>0.006239681461</v>
      </c>
      <c r="E292" s="51">
        <f t="shared" si="127"/>
        <v>2137.579999</v>
      </c>
      <c r="F292" s="51">
        <f>(Q291*'AP05'!$R292)*'AP05'!$D292</f>
        <v>419.5776054</v>
      </c>
      <c r="G292" s="51">
        <f>(Q291*'AP05'!$R292)/($I$5-A291)</f>
        <v>810.1618493</v>
      </c>
      <c r="H292" s="52">
        <f t="shared" ref="H292:L292" si="341">H291</f>
        <v>0</v>
      </c>
      <c r="I292" s="52">
        <f t="shared" si="341"/>
        <v>0</v>
      </c>
      <c r="J292" s="51">
        <f t="shared" si="341"/>
        <v>25</v>
      </c>
      <c r="K292" s="52">
        <f t="shared" si="341"/>
        <v>0</v>
      </c>
      <c r="L292" s="52">
        <f t="shared" si="341"/>
        <v>0</v>
      </c>
      <c r="M292" s="52"/>
      <c r="N292" s="85">
        <f>SUM('AP05'!$F292:$L292)</f>
        <v>1254.739455</v>
      </c>
      <c r="O292" s="51"/>
      <c r="P292" s="51">
        <f>Q291*('AP05'!$R292-1)</f>
        <v>0</v>
      </c>
      <c r="Q292" s="51">
        <f>(Q291*'AP05'!$R292)-'AP05'!$G292</f>
        <v>66433.27164</v>
      </c>
      <c r="R292" s="53">
        <f t="shared" si="149"/>
        <v>1</v>
      </c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56">
        <f t="shared" si="2"/>
        <v>279</v>
      </c>
      <c r="B293" s="50">
        <f t="shared" si="5"/>
        <v>51734</v>
      </c>
      <c r="C293" s="116">
        <f t="shared" si="126"/>
        <v>0.0775</v>
      </c>
      <c r="D293" s="116">
        <f>((1+'AP05'!$C293)^(1/12))-1</f>
        <v>0.006239681461</v>
      </c>
      <c r="E293" s="51">
        <f t="shared" si="127"/>
        <v>2137.579999</v>
      </c>
      <c r="F293" s="51">
        <f>(Q292*'AP05'!$R293)*'AP05'!$D293</f>
        <v>414.5224535</v>
      </c>
      <c r="G293" s="51">
        <f>(Q292*'AP05'!$R293)/($I$5-A292)</f>
        <v>810.1618493</v>
      </c>
      <c r="H293" s="52">
        <f t="shared" ref="H293:L293" si="342">H292</f>
        <v>0</v>
      </c>
      <c r="I293" s="52">
        <f t="shared" si="342"/>
        <v>0</v>
      </c>
      <c r="J293" s="51">
        <f t="shared" si="342"/>
        <v>25</v>
      </c>
      <c r="K293" s="52">
        <f t="shared" si="342"/>
        <v>0</v>
      </c>
      <c r="L293" s="52">
        <f t="shared" si="342"/>
        <v>0</v>
      </c>
      <c r="M293" s="52"/>
      <c r="N293" s="85">
        <f>SUM('AP05'!$F293:$L293)</f>
        <v>1249.684303</v>
      </c>
      <c r="O293" s="51"/>
      <c r="P293" s="51">
        <f>Q292*('AP05'!$R293-1)</f>
        <v>0</v>
      </c>
      <c r="Q293" s="51">
        <f>(Q292*'AP05'!$R293)-'AP05'!$G293</f>
        <v>65623.10979</v>
      </c>
      <c r="R293" s="53">
        <f t="shared" si="149"/>
        <v>1</v>
      </c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56">
        <f t="shared" si="2"/>
        <v>280</v>
      </c>
      <c r="B294" s="50">
        <f t="shared" si="5"/>
        <v>51765</v>
      </c>
      <c r="C294" s="116">
        <f t="shared" si="126"/>
        <v>0.0775</v>
      </c>
      <c r="D294" s="116">
        <f>((1+'AP05'!$C294)^(1/12))-1</f>
        <v>0.006239681461</v>
      </c>
      <c r="E294" s="51">
        <f t="shared" si="127"/>
        <v>2137.579999</v>
      </c>
      <c r="F294" s="51">
        <f>(Q293*'AP05'!$R294)*'AP05'!$D294</f>
        <v>409.4673016</v>
      </c>
      <c r="G294" s="51">
        <f>(Q293*'AP05'!$R294)/($I$5-A293)</f>
        <v>810.1618493</v>
      </c>
      <c r="H294" s="52">
        <f t="shared" ref="H294:L294" si="343">H293</f>
        <v>0</v>
      </c>
      <c r="I294" s="52">
        <f t="shared" si="343"/>
        <v>0</v>
      </c>
      <c r="J294" s="51">
        <f t="shared" si="343"/>
        <v>25</v>
      </c>
      <c r="K294" s="52">
        <f t="shared" si="343"/>
        <v>0</v>
      </c>
      <c r="L294" s="52">
        <f t="shared" si="343"/>
        <v>0</v>
      </c>
      <c r="M294" s="52"/>
      <c r="N294" s="85">
        <f>SUM('AP05'!$F294:$L294)</f>
        <v>1244.629151</v>
      </c>
      <c r="O294" s="51"/>
      <c r="P294" s="51">
        <f>Q293*('AP05'!$R294-1)</f>
        <v>0</v>
      </c>
      <c r="Q294" s="51">
        <f>(Q293*'AP05'!$R294)-'AP05'!$G294</f>
        <v>64812.94795</v>
      </c>
      <c r="R294" s="53">
        <f t="shared" si="149"/>
        <v>1</v>
      </c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56">
        <f t="shared" si="2"/>
        <v>281</v>
      </c>
      <c r="B295" s="50">
        <f t="shared" si="5"/>
        <v>51795</v>
      </c>
      <c r="C295" s="116">
        <f t="shared" si="126"/>
        <v>0.0775</v>
      </c>
      <c r="D295" s="116">
        <f>((1+'AP05'!$C295)^(1/12))-1</f>
        <v>0.006239681461</v>
      </c>
      <c r="E295" s="51">
        <f t="shared" si="127"/>
        <v>2137.579999</v>
      </c>
      <c r="F295" s="51">
        <f>(Q294*'AP05'!$R295)*'AP05'!$D295</f>
        <v>404.4121497</v>
      </c>
      <c r="G295" s="51">
        <f>(Q294*'AP05'!$R295)/($I$5-A294)</f>
        <v>810.1618493</v>
      </c>
      <c r="H295" s="52">
        <f t="shared" ref="H295:L295" si="344">H294</f>
        <v>0</v>
      </c>
      <c r="I295" s="52">
        <f t="shared" si="344"/>
        <v>0</v>
      </c>
      <c r="J295" s="51">
        <f t="shared" si="344"/>
        <v>25</v>
      </c>
      <c r="K295" s="52">
        <f t="shared" si="344"/>
        <v>0</v>
      </c>
      <c r="L295" s="52">
        <f t="shared" si="344"/>
        <v>0</v>
      </c>
      <c r="M295" s="52"/>
      <c r="N295" s="85">
        <f>SUM('AP05'!$F295:$L295)</f>
        <v>1239.573999</v>
      </c>
      <c r="O295" s="51"/>
      <c r="P295" s="51">
        <f>Q294*('AP05'!$R295-1)</f>
        <v>0</v>
      </c>
      <c r="Q295" s="51">
        <f>(Q294*'AP05'!$R295)-'AP05'!$G295</f>
        <v>64002.7861</v>
      </c>
      <c r="R295" s="53">
        <f t="shared" si="149"/>
        <v>1</v>
      </c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56">
        <f t="shared" si="2"/>
        <v>282</v>
      </c>
      <c r="B296" s="50">
        <f t="shared" si="5"/>
        <v>51826</v>
      </c>
      <c r="C296" s="116">
        <f t="shared" si="126"/>
        <v>0.0775</v>
      </c>
      <c r="D296" s="116">
        <f>((1+'AP05'!$C296)^(1/12))-1</f>
        <v>0.006239681461</v>
      </c>
      <c r="E296" s="51">
        <f t="shared" si="127"/>
        <v>2137.579999</v>
      </c>
      <c r="F296" s="51">
        <f>(Q295*'AP05'!$R296)*'AP05'!$D296</f>
        <v>399.3569979</v>
      </c>
      <c r="G296" s="51">
        <f>(Q295*'AP05'!$R296)/($I$5-A295)</f>
        <v>810.1618493</v>
      </c>
      <c r="H296" s="52">
        <f t="shared" ref="H296:L296" si="345">H295</f>
        <v>0</v>
      </c>
      <c r="I296" s="52">
        <f t="shared" si="345"/>
        <v>0</v>
      </c>
      <c r="J296" s="51">
        <f t="shared" si="345"/>
        <v>25</v>
      </c>
      <c r="K296" s="52">
        <f t="shared" si="345"/>
        <v>0</v>
      </c>
      <c r="L296" s="52">
        <f t="shared" si="345"/>
        <v>0</v>
      </c>
      <c r="M296" s="52"/>
      <c r="N296" s="85">
        <f>SUM('AP05'!$F296:$L296)</f>
        <v>1234.518847</v>
      </c>
      <c r="O296" s="51"/>
      <c r="P296" s="51">
        <f>Q295*('AP05'!$R296-1)</f>
        <v>0</v>
      </c>
      <c r="Q296" s="51">
        <f>(Q295*'AP05'!$R296)-'AP05'!$G296</f>
        <v>63192.62425</v>
      </c>
      <c r="R296" s="53">
        <f t="shared" si="149"/>
        <v>1</v>
      </c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56">
        <f t="shared" si="2"/>
        <v>283</v>
      </c>
      <c r="B297" s="50">
        <f t="shared" si="5"/>
        <v>51856</v>
      </c>
      <c r="C297" s="116">
        <f t="shared" si="126"/>
        <v>0.0775</v>
      </c>
      <c r="D297" s="116">
        <f>((1+'AP05'!$C297)^(1/12))-1</f>
        <v>0.006239681461</v>
      </c>
      <c r="E297" s="51">
        <f t="shared" si="127"/>
        <v>2137.579999</v>
      </c>
      <c r="F297" s="51">
        <f>(Q296*'AP05'!$R297)*'AP05'!$D297</f>
        <v>394.301846</v>
      </c>
      <c r="G297" s="51">
        <f>(Q296*'AP05'!$R297)/($I$5-A296)</f>
        <v>810.1618493</v>
      </c>
      <c r="H297" s="52">
        <f t="shared" ref="H297:L297" si="346">H296</f>
        <v>0</v>
      </c>
      <c r="I297" s="52">
        <f t="shared" si="346"/>
        <v>0</v>
      </c>
      <c r="J297" s="51">
        <f t="shared" si="346"/>
        <v>25</v>
      </c>
      <c r="K297" s="52">
        <f t="shared" si="346"/>
        <v>0</v>
      </c>
      <c r="L297" s="52">
        <f t="shared" si="346"/>
        <v>0</v>
      </c>
      <c r="M297" s="52"/>
      <c r="N297" s="85">
        <f>SUM('AP05'!$F297:$L297)</f>
        <v>1229.463695</v>
      </c>
      <c r="O297" s="51"/>
      <c r="P297" s="51">
        <f>Q296*('AP05'!$R297-1)</f>
        <v>0</v>
      </c>
      <c r="Q297" s="51">
        <f>(Q296*'AP05'!$R297)-'AP05'!$G297</f>
        <v>62382.4624</v>
      </c>
      <c r="R297" s="53">
        <f t="shared" si="149"/>
        <v>1</v>
      </c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56">
        <f t="shared" si="2"/>
        <v>284</v>
      </c>
      <c r="B298" s="50">
        <f t="shared" si="5"/>
        <v>51887</v>
      </c>
      <c r="C298" s="116">
        <f t="shared" si="126"/>
        <v>0.0775</v>
      </c>
      <c r="D298" s="116">
        <f>((1+'AP05'!$C298)^(1/12))-1</f>
        <v>0.006239681461</v>
      </c>
      <c r="E298" s="51">
        <f t="shared" si="127"/>
        <v>2137.579999</v>
      </c>
      <c r="F298" s="51">
        <f>(Q297*'AP05'!$R298)*'AP05'!$D298</f>
        <v>389.2466941</v>
      </c>
      <c r="G298" s="51">
        <f>(Q297*'AP05'!$R298)/($I$5-A297)</f>
        <v>810.1618493</v>
      </c>
      <c r="H298" s="52">
        <f t="shared" ref="H298:L298" si="347">H297</f>
        <v>0</v>
      </c>
      <c r="I298" s="52">
        <f t="shared" si="347"/>
        <v>0</v>
      </c>
      <c r="J298" s="51">
        <f t="shared" si="347"/>
        <v>25</v>
      </c>
      <c r="K298" s="52">
        <f t="shared" si="347"/>
        <v>0</v>
      </c>
      <c r="L298" s="52">
        <f t="shared" si="347"/>
        <v>0</v>
      </c>
      <c r="M298" s="52"/>
      <c r="N298" s="85">
        <f>SUM('AP05'!$F298:$L298)</f>
        <v>1224.408543</v>
      </c>
      <c r="O298" s="51"/>
      <c r="P298" s="51">
        <f>Q297*('AP05'!$R298-1)</f>
        <v>0</v>
      </c>
      <c r="Q298" s="51">
        <f>(Q297*'AP05'!$R298)-'AP05'!$G298</f>
        <v>61572.30055</v>
      </c>
      <c r="R298" s="53">
        <f t="shared" si="149"/>
        <v>1</v>
      </c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56">
        <f t="shared" si="2"/>
        <v>285</v>
      </c>
      <c r="B299" s="50">
        <f t="shared" si="5"/>
        <v>51918</v>
      </c>
      <c r="C299" s="116">
        <f t="shared" si="126"/>
        <v>0.0775</v>
      </c>
      <c r="D299" s="116">
        <f>((1+'AP05'!$C299)^(1/12))-1</f>
        <v>0.006239681461</v>
      </c>
      <c r="E299" s="51">
        <f t="shared" si="127"/>
        <v>2137.579999</v>
      </c>
      <c r="F299" s="51">
        <f>(Q298*'AP05'!$R299)*'AP05'!$D299</f>
        <v>384.1915423</v>
      </c>
      <c r="G299" s="51">
        <f>(Q298*'AP05'!$R299)/($I$5-A298)</f>
        <v>810.1618493</v>
      </c>
      <c r="H299" s="52">
        <f t="shared" ref="H299:L299" si="348">H298</f>
        <v>0</v>
      </c>
      <c r="I299" s="52">
        <f t="shared" si="348"/>
        <v>0</v>
      </c>
      <c r="J299" s="51">
        <f t="shared" si="348"/>
        <v>25</v>
      </c>
      <c r="K299" s="52">
        <f t="shared" si="348"/>
        <v>0</v>
      </c>
      <c r="L299" s="52">
        <f t="shared" si="348"/>
        <v>0</v>
      </c>
      <c r="M299" s="52"/>
      <c r="N299" s="85">
        <f>SUM('AP05'!$F299:$L299)</f>
        <v>1219.353392</v>
      </c>
      <c r="O299" s="51"/>
      <c r="P299" s="51">
        <f>Q298*('AP05'!$R299-1)</f>
        <v>0</v>
      </c>
      <c r="Q299" s="51">
        <f>(Q298*'AP05'!$R299)-'AP05'!$G299</f>
        <v>60762.1387</v>
      </c>
      <c r="R299" s="53">
        <f t="shared" si="149"/>
        <v>1</v>
      </c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56">
        <f t="shared" si="2"/>
        <v>286</v>
      </c>
      <c r="B300" s="50">
        <f t="shared" si="5"/>
        <v>51946</v>
      </c>
      <c r="C300" s="116">
        <f t="shared" si="126"/>
        <v>0.0775</v>
      </c>
      <c r="D300" s="116">
        <f>((1+'AP05'!$C300)^(1/12))-1</f>
        <v>0.006239681461</v>
      </c>
      <c r="E300" s="51">
        <f t="shared" si="127"/>
        <v>2137.579999</v>
      </c>
      <c r="F300" s="51">
        <f>(Q299*'AP05'!$R300)*'AP05'!$D300</f>
        <v>379.1363904</v>
      </c>
      <c r="G300" s="51">
        <f>(Q299*'AP05'!$R300)/($I$5-A299)</f>
        <v>810.1618493</v>
      </c>
      <c r="H300" s="52">
        <f t="shared" ref="H300:L300" si="349">H299</f>
        <v>0</v>
      </c>
      <c r="I300" s="52">
        <f t="shared" si="349"/>
        <v>0</v>
      </c>
      <c r="J300" s="51">
        <f t="shared" si="349"/>
        <v>25</v>
      </c>
      <c r="K300" s="52">
        <f t="shared" si="349"/>
        <v>0</v>
      </c>
      <c r="L300" s="52">
        <f t="shared" si="349"/>
        <v>0</v>
      </c>
      <c r="M300" s="52"/>
      <c r="N300" s="85">
        <f>SUM('AP05'!$F300:$L300)</f>
        <v>1214.29824</v>
      </c>
      <c r="O300" s="51"/>
      <c r="P300" s="51">
        <f>Q299*('AP05'!$R300-1)</f>
        <v>0</v>
      </c>
      <c r="Q300" s="51">
        <f>(Q299*'AP05'!$R300)-'AP05'!$G300</f>
        <v>59951.97685</v>
      </c>
      <c r="R300" s="53">
        <f t="shared" si="149"/>
        <v>1</v>
      </c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56">
        <f t="shared" si="2"/>
        <v>287</v>
      </c>
      <c r="B301" s="50">
        <f t="shared" si="5"/>
        <v>51977</v>
      </c>
      <c r="C301" s="116">
        <f t="shared" si="126"/>
        <v>0.0775</v>
      </c>
      <c r="D301" s="116">
        <f>((1+'AP05'!$C301)^(1/12))-1</f>
        <v>0.006239681461</v>
      </c>
      <c r="E301" s="51">
        <f t="shared" si="127"/>
        <v>2137.579999</v>
      </c>
      <c r="F301" s="51">
        <f>(Q300*'AP05'!$R301)*'AP05'!$D301</f>
        <v>374.0812385</v>
      </c>
      <c r="G301" s="51">
        <f>(Q300*'AP05'!$R301)/($I$5-A300)</f>
        <v>810.1618493</v>
      </c>
      <c r="H301" s="52">
        <f t="shared" ref="H301:L301" si="350">H300</f>
        <v>0</v>
      </c>
      <c r="I301" s="52">
        <f t="shared" si="350"/>
        <v>0</v>
      </c>
      <c r="J301" s="51">
        <f t="shared" si="350"/>
        <v>25</v>
      </c>
      <c r="K301" s="52">
        <f t="shared" si="350"/>
        <v>0</v>
      </c>
      <c r="L301" s="52">
        <f t="shared" si="350"/>
        <v>0</v>
      </c>
      <c r="M301" s="52"/>
      <c r="N301" s="85">
        <f>SUM('AP05'!$F301:$L301)</f>
        <v>1209.243088</v>
      </c>
      <c r="O301" s="51"/>
      <c r="P301" s="51">
        <f>Q300*('AP05'!$R301-1)</f>
        <v>0</v>
      </c>
      <c r="Q301" s="51">
        <f>(Q300*'AP05'!$R301)-'AP05'!$G301</f>
        <v>59141.815</v>
      </c>
      <c r="R301" s="53">
        <f t="shared" si="149"/>
        <v>1</v>
      </c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56">
        <f t="shared" si="2"/>
        <v>288</v>
      </c>
      <c r="B302" s="50">
        <f t="shared" si="5"/>
        <v>52007</v>
      </c>
      <c r="C302" s="116">
        <f t="shared" si="126"/>
        <v>0.0775</v>
      </c>
      <c r="D302" s="116">
        <f>((1+'AP05'!$C302)^(1/12))-1</f>
        <v>0.006239681461</v>
      </c>
      <c r="E302" s="51">
        <f t="shared" si="127"/>
        <v>2137.579999</v>
      </c>
      <c r="F302" s="51">
        <f>(Q301*'AP05'!$R302)*'AP05'!$D302</f>
        <v>369.0260866</v>
      </c>
      <c r="G302" s="51">
        <f>(Q301*'AP05'!$R302)/($I$5-A301)</f>
        <v>810.1618493</v>
      </c>
      <c r="H302" s="52">
        <f t="shared" ref="H302:L302" si="351">H301</f>
        <v>0</v>
      </c>
      <c r="I302" s="52">
        <f t="shared" si="351"/>
        <v>0</v>
      </c>
      <c r="J302" s="51">
        <f t="shared" si="351"/>
        <v>25</v>
      </c>
      <c r="K302" s="52">
        <f t="shared" si="351"/>
        <v>0</v>
      </c>
      <c r="L302" s="52">
        <f t="shared" si="351"/>
        <v>0</v>
      </c>
      <c r="M302" s="52"/>
      <c r="N302" s="85">
        <f>SUM('AP05'!$F302:$L302)</f>
        <v>1204.187936</v>
      </c>
      <c r="O302" s="51"/>
      <c r="P302" s="51">
        <f>Q301*('AP05'!$R302-1)</f>
        <v>0</v>
      </c>
      <c r="Q302" s="51">
        <f>(Q301*'AP05'!$R302)-'AP05'!$G302</f>
        <v>58331.65315</v>
      </c>
      <c r="R302" s="53">
        <f t="shared" si="149"/>
        <v>1</v>
      </c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56">
        <f t="shared" si="2"/>
        <v>289</v>
      </c>
      <c r="B303" s="50">
        <f t="shared" si="5"/>
        <v>52038</v>
      </c>
      <c r="C303" s="116">
        <f t="shared" si="126"/>
        <v>0.0775</v>
      </c>
      <c r="D303" s="116">
        <f>((1+'AP05'!$C303)^(1/12))-1</f>
        <v>0.006239681461</v>
      </c>
      <c r="E303" s="51">
        <f t="shared" si="127"/>
        <v>2137.579999</v>
      </c>
      <c r="F303" s="51">
        <f>(Q302*'AP05'!$R303)*'AP05'!$D303</f>
        <v>363.9709348</v>
      </c>
      <c r="G303" s="51">
        <f>(Q302*'AP05'!$R303)/($I$5-A302)</f>
        <v>810.1618493</v>
      </c>
      <c r="H303" s="52">
        <f t="shared" ref="H303:L303" si="352">H302</f>
        <v>0</v>
      </c>
      <c r="I303" s="52">
        <f t="shared" si="352"/>
        <v>0</v>
      </c>
      <c r="J303" s="51">
        <f t="shared" si="352"/>
        <v>25</v>
      </c>
      <c r="K303" s="52">
        <f t="shared" si="352"/>
        <v>0</v>
      </c>
      <c r="L303" s="52">
        <f t="shared" si="352"/>
        <v>0</v>
      </c>
      <c r="M303" s="52"/>
      <c r="N303" s="85">
        <f>SUM('AP05'!$F303:$L303)</f>
        <v>1199.132784</v>
      </c>
      <c r="O303" s="51"/>
      <c r="P303" s="51">
        <f>Q302*('AP05'!$R303-1)</f>
        <v>0</v>
      </c>
      <c r="Q303" s="51">
        <f>(Q302*'AP05'!$R303)-'AP05'!$G303</f>
        <v>57521.4913</v>
      </c>
      <c r="R303" s="53">
        <f t="shared" si="149"/>
        <v>1</v>
      </c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56">
        <f t="shared" si="2"/>
        <v>290</v>
      </c>
      <c r="B304" s="50">
        <f t="shared" si="5"/>
        <v>52068</v>
      </c>
      <c r="C304" s="116">
        <f t="shared" si="126"/>
        <v>0.0775</v>
      </c>
      <c r="D304" s="116">
        <f>((1+'AP05'!$C304)^(1/12))-1</f>
        <v>0.006239681461</v>
      </c>
      <c r="E304" s="51">
        <f t="shared" si="127"/>
        <v>2137.579999</v>
      </c>
      <c r="F304" s="51">
        <f>(Q303*'AP05'!$R304)*'AP05'!$D304</f>
        <v>358.9157829</v>
      </c>
      <c r="G304" s="51">
        <f>(Q303*'AP05'!$R304)/($I$5-A303)</f>
        <v>810.1618493</v>
      </c>
      <c r="H304" s="52">
        <f t="shared" ref="H304:L304" si="353">H303</f>
        <v>0</v>
      </c>
      <c r="I304" s="52">
        <f t="shared" si="353"/>
        <v>0</v>
      </c>
      <c r="J304" s="51">
        <f t="shared" si="353"/>
        <v>25</v>
      </c>
      <c r="K304" s="52">
        <f t="shared" si="353"/>
        <v>0</v>
      </c>
      <c r="L304" s="52">
        <f t="shared" si="353"/>
        <v>0</v>
      </c>
      <c r="M304" s="52"/>
      <c r="N304" s="85">
        <f>SUM('AP05'!$F304:$L304)</f>
        <v>1194.077632</v>
      </c>
      <c r="O304" s="51"/>
      <c r="P304" s="51">
        <f>Q303*('AP05'!$R304-1)</f>
        <v>0</v>
      </c>
      <c r="Q304" s="51">
        <f>(Q303*'AP05'!$R304)-'AP05'!$G304</f>
        <v>56711.32945</v>
      </c>
      <c r="R304" s="53">
        <f t="shared" si="149"/>
        <v>1</v>
      </c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56">
        <f t="shared" si="2"/>
        <v>291</v>
      </c>
      <c r="B305" s="50">
        <f t="shared" si="5"/>
        <v>52099</v>
      </c>
      <c r="C305" s="116">
        <f t="shared" si="126"/>
        <v>0.0775</v>
      </c>
      <c r="D305" s="116">
        <f>((1+'AP05'!$C305)^(1/12))-1</f>
        <v>0.006239681461</v>
      </c>
      <c r="E305" s="51">
        <f t="shared" si="127"/>
        <v>2137.579999</v>
      </c>
      <c r="F305" s="51">
        <f>(Q304*'AP05'!$R305)*'AP05'!$D305</f>
        <v>353.860631</v>
      </c>
      <c r="G305" s="51">
        <f>(Q304*'AP05'!$R305)/($I$5-A304)</f>
        <v>810.1618493</v>
      </c>
      <c r="H305" s="52">
        <f t="shared" ref="H305:L305" si="354">H304</f>
        <v>0</v>
      </c>
      <c r="I305" s="52">
        <f t="shared" si="354"/>
        <v>0</v>
      </c>
      <c r="J305" s="51">
        <f t="shared" si="354"/>
        <v>25</v>
      </c>
      <c r="K305" s="52">
        <f t="shared" si="354"/>
        <v>0</v>
      </c>
      <c r="L305" s="52">
        <f t="shared" si="354"/>
        <v>0</v>
      </c>
      <c r="M305" s="52"/>
      <c r="N305" s="85">
        <f>SUM('AP05'!$F305:$L305)</f>
        <v>1189.02248</v>
      </c>
      <c r="O305" s="51"/>
      <c r="P305" s="51">
        <f>Q304*('AP05'!$R305-1)</f>
        <v>0</v>
      </c>
      <c r="Q305" s="51">
        <f>(Q304*'AP05'!$R305)-'AP05'!$G305</f>
        <v>55901.1676</v>
      </c>
      <c r="R305" s="53">
        <f t="shared" si="149"/>
        <v>1</v>
      </c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56">
        <f t="shared" si="2"/>
        <v>292</v>
      </c>
      <c r="B306" s="50">
        <f t="shared" si="5"/>
        <v>52130</v>
      </c>
      <c r="C306" s="116">
        <f t="shared" si="126"/>
        <v>0.0775</v>
      </c>
      <c r="D306" s="116">
        <f>((1+'AP05'!$C306)^(1/12))-1</f>
        <v>0.006239681461</v>
      </c>
      <c r="E306" s="51">
        <f t="shared" si="127"/>
        <v>2137.579999</v>
      </c>
      <c r="F306" s="51">
        <f>(Q305*'AP05'!$R306)*'AP05'!$D306</f>
        <v>348.8054792</v>
      </c>
      <c r="G306" s="51">
        <f>(Q305*'AP05'!$R306)/($I$5-A305)</f>
        <v>810.1618493</v>
      </c>
      <c r="H306" s="52">
        <f t="shared" ref="H306:L306" si="355">H305</f>
        <v>0</v>
      </c>
      <c r="I306" s="52">
        <f t="shared" si="355"/>
        <v>0</v>
      </c>
      <c r="J306" s="51">
        <f t="shared" si="355"/>
        <v>25</v>
      </c>
      <c r="K306" s="52">
        <f t="shared" si="355"/>
        <v>0</v>
      </c>
      <c r="L306" s="52">
        <f t="shared" si="355"/>
        <v>0</v>
      </c>
      <c r="M306" s="52"/>
      <c r="N306" s="85">
        <f>SUM('AP05'!$F306:$L306)</f>
        <v>1183.967328</v>
      </c>
      <c r="O306" s="51"/>
      <c r="P306" s="51">
        <f>Q305*('AP05'!$R306-1)</f>
        <v>0</v>
      </c>
      <c r="Q306" s="51">
        <f>(Q305*'AP05'!$R306)-'AP05'!$G306</f>
        <v>55091.00575</v>
      </c>
      <c r="R306" s="53">
        <f t="shared" si="149"/>
        <v>1</v>
      </c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56">
        <f t="shared" si="2"/>
        <v>293</v>
      </c>
      <c r="B307" s="50">
        <f t="shared" si="5"/>
        <v>52160</v>
      </c>
      <c r="C307" s="116">
        <f t="shared" si="126"/>
        <v>0.0775</v>
      </c>
      <c r="D307" s="116">
        <f>((1+'AP05'!$C307)^(1/12))-1</f>
        <v>0.006239681461</v>
      </c>
      <c r="E307" s="51">
        <f t="shared" si="127"/>
        <v>2137.579999</v>
      </c>
      <c r="F307" s="51">
        <f>(Q306*'AP05'!$R307)*'AP05'!$D307</f>
        <v>343.7503273</v>
      </c>
      <c r="G307" s="51">
        <f>(Q306*'AP05'!$R307)/($I$5-A306)</f>
        <v>810.1618493</v>
      </c>
      <c r="H307" s="52">
        <f t="shared" ref="H307:L307" si="356">H306</f>
        <v>0</v>
      </c>
      <c r="I307" s="52">
        <f t="shared" si="356"/>
        <v>0</v>
      </c>
      <c r="J307" s="51">
        <f t="shared" si="356"/>
        <v>25</v>
      </c>
      <c r="K307" s="52">
        <f t="shared" si="356"/>
        <v>0</v>
      </c>
      <c r="L307" s="52">
        <f t="shared" si="356"/>
        <v>0</v>
      </c>
      <c r="M307" s="52"/>
      <c r="N307" s="85">
        <f>SUM('AP05'!$F307:$L307)</f>
        <v>1178.912177</v>
      </c>
      <c r="O307" s="51"/>
      <c r="P307" s="51">
        <f>Q306*('AP05'!$R307-1)</f>
        <v>0</v>
      </c>
      <c r="Q307" s="51">
        <f>(Q306*'AP05'!$R307)-'AP05'!$G307</f>
        <v>54280.8439</v>
      </c>
      <c r="R307" s="53">
        <f t="shared" si="149"/>
        <v>1</v>
      </c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56">
        <f t="shared" si="2"/>
        <v>294</v>
      </c>
      <c r="B308" s="50">
        <f t="shared" si="5"/>
        <v>52191</v>
      </c>
      <c r="C308" s="116">
        <f t="shared" si="126"/>
        <v>0.0775</v>
      </c>
      <c r="D308" s="116">
        <f>((1+'AP05'!$C308)^(1/12))-1</f>
        <v>0.006239681461</v>
      </c>
      <c r="E308" s="51">
        <f t="shared" si="127"/>
        <v>2137.579999</v>
      </c>
      <c r="F308" s="51">
        <f>(Q307*'AP05'!$R308)*'AP05'!$D308</f>
        <v>338.6951754</v>
      </c>
      <c r="G308" s="51">
        <f>(Q307*'AP05'!$R308)/($I$5-A307)</f>
        <v>810.1618493</v>
      </c>
      <c r="H308" s="52">
        <f t="shared" ref="H308:L308" si="357">H307</f>
        <v>0</v>
      </c>
      <c r="I308" s="52">
        <f t="shared" si="357"/>
        <v>0</v>
      </c>
      <c r="J308" s="51">
        <f t="shared" si="357"/>
        <v>25</v>
      </c>
      <c r="K308" s="52">
        <f t="shared" si="357"/>
        <v>0</v>
      </c>
      <c r="L308" s="52">
        <f t="shared" si="357"/>
        <v>0</v>
      </c>
      <c r="M308" s="52"/>
      <c r="N308" s="85">
        <f>SUM('AP05'!$F308:$L308)</f>
        <v>1173.857025</v>
      </c>
      <c r="O308" s="51"/>
      <c r="P308" s="51">
        <f>Q307*('AP05'!$R308-1)</f>
        <v>0</v>
      </c>
      <c r="Q308" s="51">
        <f>(Q307*'AP05'!$R308)-'AP05'!$G308</f>
        <v>53470.68205</v>
      </c>
      <c r="R308" s="53">
        <f t="shared" si="149"/>
        <v>1</v>
      </c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56">
        <f t="shared" si="2"/>
        <v>295</v>
      </c>
      <c r="B309" s="50">
        <f t="shared" si="5"/>
        <v>52221</v>
      </c>
      <c r="C309" s="116">
        <f t="shared" si="126"/>
        <v>0.0775</v>
      </c>
      <c r="D309" s="116">
        <f>((1+'AP05'!$C309)^(1/12))-1</f>
        <v>0.006239681461</v>
      </c>
      <c r="E309" s="51">
        <f t="shared" si="127"/>
        <v>2137.579999</v>
      </c>
      <c r="F309" s="51">
        <f>(Q308*'AP05'!$R309)*'AP05'!$D309</f>
        <v>333.6400235</v>
      </c>
      <c r="G309" s="51">
        <f>(Q308*'AP05'!$R309)/($I$5-A308)</f>
        <v>810.1618493</v>
      </c>
      <c r="H309" s="52">
        <f t="shared" ref="H309:L309" si="358">H308</f>
        <v>0</v>
      </c>
      <c r="I309" s="52">
        <f t="shared" si="358"/>
        <v>0</v>
      </c>
      <c r="J309" s="51">
        <f t="shared" si="358"/>
        <v>25</v>
      </c>
      <c r="K309" s="52">
        <f t="shared" si="358"/>
        <v>0</v>
      </c>
      <c r="L309" s="52">
        <f t="shared" si="358"/>
        <v>0</v>
      </c>
      <c r="M309" s="52"/>
      <c r="N309" s="85">
        <f>SUM('AP05'!$F309:$L309)</f>
        <v>1168.801873</v>
      </c>
      <c r="O309" s="51"/>
      <c r="P309" s="51">
        <f>Q308*('AP05'!$R309-1)</f>
        <v>0</v>
      </c>
      <c r="Q309" s="51">
        <f>(Q308*'AP05'!$R309)-'AP05'!$G309</f>
        <v>52660.52021</v>
      </c>
      <c r="R309" s="53">
        <f t="shared" si="149"/>
        <v>1</v>
      </c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56">
        <f t="shared" si="2"/>
        <v>296</v>
      </c>
      <c r="B310" s="50">
        <f t="shared" si="5"/>
        <v>52252</v>
      </c>
      <c r="C310" s="116">
        <f t="shared" si="126"/>
        <v>0.0775</v>
      </c>
      <c r="D310" s="116">
        <f>((1+'AP05'!$C310)^(1/12))-1</f>
        <v>0.006239681461</v>
      </c>
      <c r="E310" s="51">
        <f t="shared" si="127"/>
        <v>2137.579999</v>
      </c>
      <c r="F310" s="51">
        <f>(Q309*'AP05'!$R310)*'AP05'!$D310</f>
        <v>328.5848717</v>
      </c>
      <c r="G310" s="51">
        <f>(Q309*'AP05'!$R310)/($I$5-A309)</f>
        <v>810.1618493</v>
      </c>
      <c r="H310" s="52">
        <f t="shared" ref="H310:L310" si="359">H309</f>
        <v>0</v>
      </c>
      <c r="I310" s="52">
        <f t="shared" si="359"/>
        <v>0</v>
      </c>
      <c r="J310" s="51">
        <f t="shared" si="359"/>
        <v>25</v>
      </c>
      <c r="K310" s="52">
        <f t="shared" si="359"/>
        <v>0</v>
      </c>
      <c r="L310" s="52">
        <f t="shared" si="359"/>
        <v>0</v>
      </c>
      <c r="M310" s="52"/>
      <c r="N310" s="85">
        <f>SUM('AP05'!$F310:$L310)</f>
        <v>1163.746721</v>
      </c>
      <c r="O310" s="51"/>
      <c r="P310" s="51">
        <f>Q309*('AP05'!$R310-1)</f>
        <v>0</v>
      </c>
      <c r="Q310" s="51">
        <f>(Q309*'AP05'!$R310)-'AP05'!$G310</f>
        <v>51850.35836</v>
      </c>
      <c r="R310" s="53">
        <f t="shared" si="149"/>
        <v>1</v>
      </c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56">
        <f t="shared" si="2"/>
        <v>297</v>
      </c>
      <c r="B311" s="50">
        <f t="shared" si="5"/>
        <v>52283</v>
      </c>
      <c r="C311" s="116">
        <f t="shared" si="126"/>
        <v>0.0775</v>
      </c>
      <c r="D311" s="116">
        <f>((1+'AP05'!$C311)^(1/12))-1</f>
        <v>0.006239681461</v>
      </c>
      <c r="E311" s="51">
        <f t="shared" si="127"/>
        <v>2137.579999</v>
      </c>
      <c r="F311" s="51">
        <f>(Q310*'AP05'!$R311)*'AP05'!$D311</f>
        <v>323.5297198</v>
      </c>
      <c r="G311" s="51">
        <f>(Q310*'AP05'!$R311)/($I$5-A310)</f>
        <v>810.1618493</v>
      </c>
      <c r="H311" s="52">
        <f t="shared" ref="H311:L311" si="360">H310</f>
        <v>0</v>
      </c>
      <c r="I311" s="52">
        <f t="shared" si="360"/>
        <v>0</v>
      </c>
      <c r="J311" s="51">
        <f t="shared" si="360"/>
        <v>25</v>
      </c>
      <c r="K311" s="52">
        <f t="shared" si="360"/>
        <v>0</v>
      </c>
      <c r="L311" s="52">
        <f t="shared" si="360"/>
        <v>0</v>
      </c>
      <c r="M311" s="52"/>
      <c r="N311" s="85">
        <f>SUM('AP05'!$F311:$L311)</f>
        <v>1158.691569</v>
      </c>
      <c r="O311" s="51"/>
      <c r="P311" s="51">
        <f>Q310*('AP05'!$R311-1)</f>
        <v>0</v>
      </c>
      <c r="Q311" s="51">
        <f>(Q310*'AP05'!$R311)-'AP05'!$G311</f>
        <v>51040.19651</v>
      </c>
      <c r="R311" s="53">
        <f t="shared" si="149"/>
        <v>1</v>
      </c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56">
        <f t="shared" si="2"/>
        <v>298</v>
      </c>
      <c r="B312" s="50">
        <f t="shared" si="5"/>
        <v>52311</v>
      </c>
      <c r="C312" s="116">
        <f t="shared" si="126"/>
        <v>0.0775</v>
      </c>
      <c r="D312" s="116">
        <f>((1+'AP05'!$C312)^(1/12))-1</f>
        <v>0.006239681461</v>
      </c>
      <c r="E312" s="51">
        <f t="shared" si="127"/>
        <v>2137.579999</v>
      </c>
      <c r="F312" s="51">
        <f>(Q311*'AP05'!$R312)*'AP05'!$D312</f>
        <v>318.4745679</v>
      </c>
      <c r="G312" s="51">
        <f>(Q311*'AP05'!$R312)/($I$5-A311)</f>
        <v>810.1618493</v>
      </c>
      <c r="H312" s="52">
        <f t="shared" ref="H312:L312" si="361">H311</f>
        <v>0</v>
      </c>
      <c r="I312" s="52">
        <f t="shared" si="361"/>
        <v>0</v>
      </c>
      <c r="J312" s="51">
        <f t="shared" si="361"/>
        <v>25</v>
      </c>
      <c r="K312" s="52">
        <f t="shared" si="361"/>
        <v>0</v>
      </c>
      <c r="L312" s="52">
        <f t="shared" si="361"/>
        <v>0</v>
      </c>
      <c r="M312" s="52"/>
      <c r="N312" s="85">
        <f>SUM('AP05'!$F312:$L312)</f>
        <v>1153.636417</v>
      </c>
      <c r="O312" s="51"/>
      <c r="P312" s="51">
        <f>Q311*('AP05'!$R312-1)</f>
        <v>0</v>
      </c>
      <c r="Q312" s="51">
        <f>(Q311*'AP05'!$R312)-'AP05'!$G312</f>
        <v>50230.03466</v>
      </c>
      <c r="R312" s="53">
        <f t="shared" si="149"/>
        <v>1</v>
      </c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56">
        <f t="shared" si="2"/>
        <v>299</v>
      </c>
      <c r="B313" s="50">
        <f t="shared" si="5"/>
        <v>52342</v>
      </c>
      <c r="C313" s="116">
        <f t="shared" si="126"/>
        <v>0.0775</v>
      </c>
      <c r="D313" s="116">
        <f>((1+'AP05'!$C313)^(1/12))-1</f>
        <v>0.006239681461</v>
      </c>
      <c r="E313" s="51">
        <f t="shared" si="127"/>
        <v>2137.579999</v>
      </c>
      <c r="F313" s="51">
        <f>(Q312*'AP05'!$R313)*'AP05'!$D313</f>
        <v>313.4194161</v>
      </c>
      <c r="G313" s="51">
        <f>(Q312*'AP05'!$R313)/($I$5-A312)</f>
        <v>810.1618493</v>
      </c>
      <c r="H313" s="52">
        <f t="shared" ref="H313:L313" si="362">H312</f>
        <v>0</v>
      </c>
      <c r="I313" s="52">
        <f t="shared" si="362"/>
        <v>0</v>
      </c>
      <c r="J313" s="51">
        <f t="shared" si="362"/>
        <v>25</v>
      </c>
      <c r="K313" s="52">
        <f t="shared" si="362"/>
        <v>0</v>
      </c>
      <c r="L313" s="52">
        <f t="shared" si="362"/>
        <v>0</v>
      </c>
      <c r="M313" s="52"/>
      <c r="N313" s="85">
        <f>SUM('AP05'!$F313:$L313)</f>
        <v>1148.581265</v>
      </c>
      <c r="O313" s="51"/>
      <c r="P313" s="51">
        <f>Q312*('AP05'!$R313-1)</f>
        <v>0</v>
      </c>
      <c r="Q313" s="51">
        <f>(Q312*'AP05'!$R313)-'AP05'!$G313</f>
        <v>49419.87281</v>
      </c>
      <c r="R313" s="53">
        <f t="shared" si="149"/>
        <v>1</v>
      </c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56">
        <f t="shared" si="2"/>
        <v>300</v>
      </c>
      <c r="B314" s="50">
        <f t="shared" si="5"/>
        <v>52372</v>
      </c>
      <c r="C314" s="116">
        <f t="shared" si="126"/>
        <v>0.0775</v>
      </c>
      <c r="D314" s="116">
        <f>((1+'AP05'!$C314)^(1/12))-1</f>
        <v>0.006239681461</v>
      </c>
      <c r="E314" s="51">
        <f t="shared" si="127"/>
        <v>2137.579999</v>
      </c>
      <c r="F314" s="51">
        <f>(Q313*'AP05'!$R314)*'AP05'!$D314</f>
        <v>308.3642642</v>
      </c>
      <c r="G314" s="51">
        <f>(Q313*'AP05'!$R314)/($I$5-A313)</f>
        <v>810.1618493</v>
      </c>
      <c r="H314" s="52">
        <f t="shared" ref="H314:L314" si="363">H313</f>
        <v>0</v>
      </c>
      <c r="I314" s="52">
        <f t="shared" si="363"/>
        <v>0</v>
      </c>
      <c r="J314" s="51">
        <f t="shared" si="363"/>
        <v>25</v>
      </c>
      <c r="K314" s="52">
        <f t="shared" si="363"/>
        <v>0</v>
      </c>
      <c r="L314" s="52">
        <f t="shared" si="363"/>
        <v>0</v>
      </c>
      <c r="M314" s="52"/>
      <c r="N314" s="85">
        <f>SUM('AP05'!$F314:$L314)</f>
        <v>1143.526113</v>
      </c>
      <c r="O314" s="51"/>
      <c r="P314" s="51">
        <f>Q313*('AP05'!$R314-1)</f>
        <v>0</v>
      </c>
      <c r="Q314" s="51">
        <f>(Q313*'AP05'!$R314)-'AP05'!$G314</f>
        <v>48609.71096</v>
      </c>
      <c r="R314" s="53">
        <f t="shared" si="149"/>
        <v>1</v>
      </c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56">
        <f t="shared" si="2"/>
        <v>301</v>
      </c>
      <c r="B315" s="50">
        <f t="shared" si="5"/>
        <v>52403</v>
      </c>
      <c r="C315" s="116">
        <f t="shared" si="126"/>
        <v>0.0775</v>
      </c>
      <c r="D315" s="116">
        <f>((1+'AP05'!$C315)^(1/12))-1</f>
        <v>0.006239681461</v>
      </c>
      <c r="E315" s="51">
        <f t="shared" si="127"/>
        <v>2137.579999</v>
      </c>
      <c r="F315" s="51">
        <f>(Q314*'AP05'!$R315)*'AP05'!$D315</f>
        <v>303.3091123</v>
      </c>
      <c r="G315" s="51">
        <f>(Q314*'AP05'!$R315)/($I$5-A314)</f>
        <v>810.1618493</v>
      </c>
      <c r="H315" s="52">
        <f t="shared" ref="H315:L315" si="364">H314</f>
        <v>0</v>
      </c>
      <c r="I315" s="52">
        <f t="shared" si="364"/>
        <v>0</v>
      </c>
      <c r="J315" s="51">
        <f t="shared" si="364"/>
        <v>25</v>
      </c>
      <c r="K315" s="52">
        <f t="shared" si="364"/>
        <v>0</v>
      </c>
      <c r="L315" s="52">
        <f t="shared" si="364"/>
        <v>0</v>
      </c>
      <c r="M315" s="52"/>
      <c r="N315" s="85">
        <f>SUM('AP05'!$F315:$L315)</f>
        <v>1138.470962</v>
      </c>
      <c r="O315" s="51"/>
      <c r="P315" s="51">
        <f>Q314*('AP05'!$R315-1)</f>
        <v>0</v>
      </c>
      <c r="Q315" s="51">
        <f>(Q314*'AP05'!$R315)-'AP05'!$G315</f>
        <v>47799.54911</v>
      </c>
      <c r="R315" s="53">
        <f t="shared" si="149"/>
        <v>1</v>
      </c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56">
        <f t="shared" si="2"/>
        <v>302</v>
      </c>
      <c r="B316" s="50">
        <f t="shared" si="5"/>
        <v>52433</v>
      </c>
      <c r="C316" s="116">
        <f t="shared" si="126"/>
        <v>0.0775</v>
      </c>
      <c r="D316" s="116">
        <f>((1+'AP05'!$C316)^(1/12))-1</f>
        <v>0.006239681461</v>
      </c>
      <c r="E316" s="51">
        <f t="shared" si="127"/>
        <v>2137.579999</v>
      </c>
      <c r="F316" s="51">
        <f>(Q315*'AP05'!$R316)*'AP05'!$D316</f>
        <v>298.2539604</v>
      </c>
      <c r="G316" s="51">
        <f>(Q315*'AP05'!$R316)/($I$5-A315)</f>
        <v>810.1618493</v>
      </c>
      <c r="H316" s="52">
        <f t="shared" ref="H316:L316" si="365">H315</f>
        <v>0</v>
      </c>
      <c r="I316" s="52">
        <f t="shared" si="365"/>
        <v>0</v>
      </c>
      <c r="J316" s="51">
        <f t="shared" si="365"/>
        <v>25</v>
      </c>
      <c r="K316" s="52">
        <f t="shared" si="365"/>
        <v>0</v>
      </c>
      <c r="L316" s="52">
        <f t="shared" si="365"/>
        <v>0</v>
      </c>
      <c r="M316" s="52"/>
      <c r="N316" s="85">
        <f>SUM('AP05'!$F316:$L316)</f>
        <v>1133.41581</v>
      </c>
      <c r="O316" s="51"/>
      <c r="P316" s="51">
        <f>Q315*('AP05'!$R316-1)</f>
        <v>0</v>
      </c>
      <c r="Q316" s="51">
        <f>(Q315*'AP05'!$R316)-'AP05'!$G316</f>
        <v>46989.38726</v>
      </c>
      <c r="R316" s="53">
        <f t="shared" si="149"/>
        <v>1</v>
      </c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56">
        <f t="shared" si="2"/>
        <v>303</v>
      </c>
      <c r="B317" s="50">
        <f t="shared" si="5"/>
        <v>52464</v>
      </c>
      <c r="C317" s="116">
        <f t="shared" si="126"/>
        <v>0.0775</v>
      </c>
      <c r="D317" s="116">
        <f>((1+'AP05'!$C317)^(1/12))-1</f>
        <v>0.006239681461</v>
      </c>
      <c r="E317" s="51">
        <f t="shared" si="127"/>
        <v>2137.579999</v>
      </c>
      <c r="F317" s="51">
        <f>(Q316*'AP05'!$R317)*'AP05'!$D317</f>
        <v>293.1988086</v>
      </c>
      <c r="G317" s="51">
        <f>(Q316*'AP05'!$R317)/($I$5-A316)</f>
        <v>810.1618493</v>
      </c>
      <c r="H317" s="52">
        <f t="shared" ref="H317:L317" si="366">H316</f>
        <v>0</v>
      </c>
      <c r="I317" s="52">
        <f t="shared" si="366"/>
        <v>0</v>
      </c>
      <c r="J317" s="51">
        <f t="shared" si="366"/>
        <v>25</v>
      </c>
      <c r="K317" s="52">
        <f t="shared" si="366"/>
        <v>0</v>
      </c>
      <c r="L317" s="52">
        <f t="shared" si="366"/>
        <v>0</v>
      </c>
      <c r="M317" s="52"/>
      <c r="N317" s="85">
        <f>SUM('AP05'!$F317:$L317)</f>
        <v>1128.360658</v>
      </c>
      <c r="O317" s="51"/>
      <c r="P317" s="51">
        <f>Q316*('AP05'!$R317-1)</f>
        <v>0</v>
      </c>
      <c r="Q317" s="51">
        <f>(Q316*'AP05'!$R317)-'AP05'!$G317</f>
        <v>46179.22541</v>
      </c>
      <c r="R317" s="53">
        <f t="shared" si="149"/>
        <v>1</v>
      </c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56">
        <f t="shared" si="2"/>
        <v>304</v>
      </c>
      <c r="B318" s="50">
        <f t="shared" si="5"/>
        <v>52495</v>
      </c>
      <c r="C318" s="116">
        <f t="shared" si="126"/>
        <v>0.0775</v>
      </c>
      <c r="D318" s="116">
        <f>((1+'AP05'!$C318)^(1/12))-1</f>
        <v>0.006239681461</v>
      </c>
      <c r="E318" s="51">
        <f t="shared" si="127"/>
        <v>2137.579999</v>
      </c>
      <c r="F318" s="51">
        <f>(Q317*'AP05'!$R318)*'AP05'!$D318</f>
        <v>288.1436567</v>
      </c>
      <c r="G318" s="51">
        <f>(Q317*'AP05'!$R318)/($I$5-A317)</f>
        <v>810.1618493</v>
      </c>
      <c r="H318" s="52">
        <f t="shared" ref="H318:L318" si="367">H317</f>
        <v>0</v>
      </c>
      <c r="I318" s="52">
        <f t="shared" si="367"/>
        <v>0</v>
      </c>
      <c r="J318" s="51">
        <f t="shared" si="367"/>
        <v>25</v>
      </c>
      <c r="K318" s="52">
        <f t="shared" si="367"/>
        <v>0</v>
      </c>
      <c r="L318" s="52">
        <f t="shared" si="367"/>
        <v>0</v>
      </c>
      <c r="M318" s="52"/>
      <c r="N318" s="85">
        <f>SUM('AP05'!$F318:$L318)</f>
        <v>1123.305506</v>
      </c>
      <c r="O318" s="51"/>
      <c r="P318" s="51">
        <f>Q317*('AP05'!$R318-1)</f>
        <v>0</v>
      </c>
      <c r="Q318" s="51">
        <f>(Q317*'AP05'!$R318)-'AP05'!$G318</f>
        <v>45369.06356</v>
      </c>
      <c r="R318" s="53">
        <f t="shared" si="149"/>
        <v>1</v>
      </c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56">
        <f t="shared" si="2"/>
        <v>305</v>
      </c>
      <c r="B319" s="50">
        <f t="shared" si="5"/>
        <v>52525</v>
      </c>
      <c r="C319" s="116">
        <f t="shared" si="126"/>
        <v>0.0775</v>
      </c>
      <c r="D319" s="116">
        <f>((1+'AP05'!$C319)^(1/12))-1</f>
        <v>0.006239681461</v>
      </c>
      <c r="E319" s="51">
        <f t="shared" si="127"/>
        <v>2137.579999</v>
      </c>
      <c r="F319" s="51">
        <f>(Q318*'AP05'!$R319)*'AP05'!$D319</f>
        <v>283.0885048</v>
      </c>
      <c r="G319" s="51">
        <f>(Q318*'AP05'!$R319)/($I$5-A318)</f>
        <v>810.1618493</v>
      </c>
      <c r="H319" s="52">
        <f t="shared" ref="H319:L319" si="368">H318</f>
        <v>0</v>
      </c>
      <c r="I319" s="52">
        <f t="shared" si="368"/>
        <v>0</v>
      </c>
      <c r="J319" s="51">
        <f t="shared" si="368"/>
        <v>25</v>
      </c>
      <c r="K319" s="52">
        <f t="shared" si="368"/>
        <v>0</v>
      </c>
      <c r="L319" s="52">
        <f t="shared" si="368"/>
        <v>0</v>
      </c>
      <c r="M319" s="52"/>
      <c r="N319" s="85">
        <f>SUM('AP05'!$F319:$L319)</f>
        <v>1118.250354</v>
      </c>
      <c r="O319" s="51"/>
      <c r="P319" s="51">
        <f>Q318*('AP05'!$R319-1)</f>
        <v>0</v>
      </c>
      <c r="Q319" s="51">
        <f>(Q318*'AP05'!$R319)-'AP05'!$G319</f>
        <v>44558.90171</v>
      </c>
      <c r="R319" s="53">
        <f t="shared" si="149"/>
        <v>1</v>
      </c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56">
        <f t="shared" si="2"/>
        <v>306</v>
      </c>
      <c r="B320" s="50">
        <f t="shared" si="5"/>
        <v>52556</v>
      </c>
      <c r="C320" s="116">
        <f t="shared" si="126"/>
        <v>0.0775</v>
      </c>
      <c r="D320" s="116">
        <f>((1+'AP05'!$C320)^(1/12))-1</f>
        <v>0.006239681461</v>
      </c>
      <c r="E320" s="51">
        <f t="shared" si="127"/>
        <v>2137.579999</v>
      </c>
      <c r="F320" s="51">
        <f>(Q319*'AP05'!$R320)*'AP05'!$D320</f>
        <v>278.0333529</v>
      </c>
      <c r="G320" s="51">
        <f>(Q319*'AP05'!$R320)/($I$5-A319)</f>
        <v>810.1618493</v>
      </c>
      <c r="H320" s="52">
        <f t="shared" ref="H320:L320" si="369">H319</f>
        <v>0</v>
      </c>
      <c r="I320" s="52">
        <f t="shared" si="369"/>
        <v>0</v>
      </c>
      <c r="J320" s="51">
        <f t="shared" si="369"/>
        <v>25</v>
      </c>
      <c r="K320" s="52">
        <f t="shared" si="369"/>
        <v>0</v>
      </c>
      <c r="L320" s="52">
        <f t="shared" si="369"/>
        <v>0</v>
      </c>
      <c r="M320" s="52"/>
      <c r="N320" s="85">
        <f>SUM('AP05'!$F320:$L320)</f>
        <v>1113.195202</v>
      </c>
      <c r="O320" s="51"/>
      <c r="P320" s="51">
        <f>Q319*('AP05'!$R320-1)</f>
        <v>0</v>
      </c>
      <c r="Q320" s="51">
        <f>(Q319*'AP05'!$R320)-'AP05'!$G320</f>
        <v>43748.73986</v>
      </c>
      <c r="R320" s="53">
        <f t="shared" si="149"/>
        <v>1</v>
      </c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56">
        <f t="shared" si="2"/>
        <v>307</v>
      </c>
      <c r="B321" s="50">
        <f t="shared" si="5"/>
        <v>52586</v>
      </c>
      <c r="C321" s="116">
        <f t="shared" si="126"/>
        <v>0.0775</v>
      </c>
      <c r="D321" s="116">
        <f>((1+'AP05'!$C321)^(1/12))-1</f>
        <v>0.006239681461</v>
      </c>
      <c r="E321" s="51">
        <f t="shared" si="127"/>
        <v>2137.579999</v>
      </c>
      <c r="F321" s="51">
        <f>(Q320*'AP05'!$R321)*'AP05'!$D321</f>
        <v>272.9782011</v>
      </c>
      <c r="G321" s="51">
        <f>(Q320*'AP05'!$R321)/($I$5-A320)</f>
        <v>810.1618493</v>
      </c>
      <c r="H321" s="52">
        <f t="shared" ref="H321:L321" si="370">H320</f>
        <v>0</v>
      </c>
      <c r="I321" s="52">
        <f t="shared" si="370"/>
        <v>0</v>
      </c>
      <c r="J321" s="51">
        <f t="shared" si="370"/>
        <v>25</v>
      </c>
      <c r="K321" s="52">
        <f t="shared" si="370"/>
        <v>0</v>
      </c>
      <c r="L321" s="52">
        <f t="shared" si="370"/>
        <v>0</v>
      </c>
      <c r="M321" s="52"/>
      <c r="N321" s="85">
        <f>SUM('AP05'!$F321:$L321)</f>
        <v>1108.14005</v>
      </c>
      <c r="O321" s="51"/>
      <c r="P321" s="51">
        <f>Q320*('AP05'!$R321-1)</f>
        <v>0</v>
      </c>
      <c r="Q321" s="51">
        <f>(Q320*'AP05'!$R321)-'AP05'!$G321</f>
        <v>42938.57801</v>
      </c>
      <c r="R321" s="53">
        <f t="shared" si="149"/>
        <v>1</v>
      </c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56">
        <f t="shared" si="2"/>
        <v>308</v>
      </c>
      <c r="B322" s="50">
        <f t="shared" si="5"/>
        <v>52617</v>
      </c>
      <c r="C322" s="116">
        <f t="shared" si="126"/>
        <v>0.0775</v>
      </c>
      <c r="D322" s="116">
        <f>((1+'AP05'!$C322)^(1/12))-1</f>
        <v>0.006239681461</v>
      </c>
      <c r="E322" s="51">
        <f t="shared" si="127"/>
        <v>2137.579999</v>
      </c>
      <c r="F322" s="51">
        <f>(Q321*'AP05'!$R322)*'AP05'!$D322</f>
        <v>267.9230492</v>
      </c>
      <c r="G322" s="51">
        <f>(Q321*'AP05'!$R322)/($I$5-A321)</f>
        <v>810.1618493</v>
      </c>
      <c r="H322" s="52">
        <f t="shared" ref="H322:L322" si="371">H321</f>
        <v>0</v>
      </c>
      <c r="I322" s="52">
        <f t="shared" si="371"/>
        <v>0</v>
      </c>
      <c r="J322" s="51">
        <f t="shared" si="371"/>
        <v>25</v>
      </c>
      <c r="K322" s="52">
        <f t="shared" si="371"/>
        <v>0</v>
      </c>
      <c r="L322" s="52">
        <f t="shared" si="371"/>
        <v>0</v>
      </c>
      <c r="M322" s="52"/>
      <c r="N322" s="85">
        <f>SUM('AP05'!$F322:$L322)</f>
        <v>1103.084899</v>
      </c>
      <c r="O322" s="51"/>
      <c r="P322" s="51">
        <f>Q321*('AP05'!$R322-1)</f>
        <v>0</v>
      </c>
      <c r="Q322" s="51">
        <f>(Q321*'AP05'!$R322)-'AP05'!$G322</f>
        <v>42128.41616</v>
      </c>
      <c r="R322" s="53">
        <f t="shared" si="149"/>
        <v>1</v>
      </c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56">
        <f t="shared" si="2"/>
        <v>309</v>
      </c>
      <c r="B323" s="50">
        <f t="shared" si="5"/>
        <v>52648</v>
      </c>
      <c r="C323" s="116">
        <f t="shared" si="126"/>
        <v>0.0775</v>
      </c>
      <c r="D323" s="116">
        <f>((1+'AP05'!$C323)^(1/12))-1</f>
        <v>0.006239681461</v>
      </c>
      <c r="E323" s="51">
        <f t="shared" si="127"/>
        <v>2137.579999</v>
      </c>
      <c r="F323" s="51">
        <f>(Q322*'AP05'!$R323)*'AP05'!$D323</f>
        <v>262.8678973</v>
      </c>
      <c r="G323" s="51">
        <f>(Q322*'AP05'!$R323)/($I$5-A322)</f>
        <v>810.1618493</v>
      </c>
      <c r="H323" s="52">
        <f t="shared" ref="H323:L323" si="372">H322</f>
        <v>0</v>
      </c>
      <c r="I323" s="52">
        <f t="shared" si="372"/>
        <v>0</v>
      </c>
      <c r="J323" s="51">
        <f t="shared" si="372"/>
        <v>25</v>
      </c>
      <c r="K323" s="52">
        <f t="shared" si="372"/>
        <v>0</v>
      </c>
      <c r="L323" s="52">
        <f t="shared" si="372"/>
        <v>0</v>
      </c>
      <c r="M323" s="52"/>
      <c r="N323" s="85">
        <f>SUM('AP05'!$F323:$L323)</f>
        <v>1098.029747</v>
      </c>
      <c r="O323" s="51"/>
      <c r="P323" s="51">
        <f>Q322*('AP05'!$R323-1)</f>
        <v>0</v>
      </c>
      <c r="Q323" s="51">
        <f>(Q322*'AP05'!$R323)-'AP05'!$G323</f>
        <v>41318.25431</v>
      </c>
      <c r="R323" s="53">
        <f t="shared" si="149"/>
        <v>1</v>
      </c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56">
        <f t="shared" si="2"/>
        <v>310</v>
      </c>
      <c r="B324" s="50">
        <f t="shared" si="5"/>
        <v>52677</v>
      </c>
      <c r="C324" s="116">
        <f t="shared" si="126"/>
        <v>0.0775</v>
      </c>
      <c r="D324" s="116">
        <f>((1+'AP05'!$C324)^(1/12))-1</f>
        <v>0.006239681461</v>
      </c>
      <c r="E324" s="51">
        <f t="shared" si="127"/>
        <v>2137.579999</v>
      </c>
      <c r="F324" s="51">
        <f>(Q323*'AP05'!$R324)*'AP05'!$D324</f>
        <v>257.8127455</v>
      </c>
      <c r="G324" s="51">
        <f>(Q323*'AP05'!$R324)/($I$5-A323)</f>
        <v>810.1618493</v>
      </c>
      <c r="H324" s="52">
        <f t="shared" ref="H324:L324" si="373">H323</f>
        <v>0</v>
      </c>
      <c r="I324" s="52">
        <f t="shared" si="373"/>
        <v>0</v>
      </c>
      <c r="J324" s="51">
        <f t="shared" si="373"/>
        <v>25</v>
      </c>
      <c r="K324" s="52">
        <f t="shared" si="373"/>
        <v>0</v>
      </c>
      <c r="L324" s="52">
        <f t="shared" si="373"/>
        <v>0</v>
      </c>
      <c r="M324" s="52"/>
      <c r="N324" s="85">
        <f>SUM('AP05'!$F324:$L324)</f>
        <v>1092.974595</v>
      </c>
      <c r="O324" s="51"/>
      <c r="P324" s="51">
        <f>Q323*('AP05'!$R324-1)</f>
        <v>0</v>
      </c>
      <c r="Q324" s="51">
        <f>(Q323*'AP05'!$R324)-'AP05'!$G324</f>
        <v>40508.09247</v>
      </c>
      <c r="R324" s="53">
        <f t="shared" si="149"/>
        <v>1</v>
      </c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56">
        <f t="shared" si="2"/>
        <v>311</v>
      </c>
      <c r="B325" s="50">
        <f t="shared" si="5"/>
        <v>52708</v>
      </c>
      <c r="C325" s="116">
        <f t="shared" si="126"/>
        <v>0.0775</v>
      </c>
      <c r="D325" s="116">
        <f>((1+'AP05'!$C325)^(1/12))-1</f>
        <v>0.006239681461</v>
      </c>
      <c r="E325" s="51">
        <f t="shared" si="127"/>
        <v>2137.579999</v>
      </c>
      <c r="F325" s="51">
        <f>(Q324*'AP05'!$R325)*'AP05'!$D325</f>
        <v>252.7575936</v>
      </c>
      <c r="G325" s="51">
        <f>(Q324*'AP05'!$R325)/($I$5-A324)</f>
        <v>810.1618493</v>
      </c>
      <c r="H325" s="52">
        <f t="shared" ref="H325:L325" si="374">H324</f>
        <v>0</v>
      </c>
      <c r="I325" s="52">
        <f t="shared" si="374"/>
        <v>0</v>
      </c>
      <c r="J325" s="51">
        <f t="shared" si="374"/>
        <v>25</v>
      </c>
      <c r="K325" s="52">
        <f t="shared" si="374"/>
        <v>0</v>
      </c>
      <c r="L325" s="52">
        <f t="shared" si="374"/>
        <v>0</v>
      </c>
      <c r="M325" s="52"/>
      <c r="N325" s="85">
        <f>SUM('AP05'!$F325:$L325)</f>
        <v>1087.919443</v>
      </c>
      <c r="O325" s="51"/>
      <c r="P325" s="51">
        <f>Q324*('AP05'!$R325-1)</f>
        <v>0</v>
      </c>
      <c r="Q325" s="51">
        <f>(Q324*'AP05'!$R325)-'AP05'!$G325</f>
        <v>39697.93062</v>
      </c>
      <c r="R325" s="53">
        <f t="shared" si="149"/>
        <v>1</v>
      </c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56">
        <f t="shared" si="2"/>
        <v>312</v>
      </c>
      <c r="B326" s="50">
        <f t="shared" si="5"/>
        <v>52738</v>
      </c>
      <c r="C326" s="116">
        <f t="shared" si="126"/>
        <v>0.0775</v>
      </c>
      <c r="D326" s="116">
        <f>((1+'AP05'!$C326)^(1/12))-1</f>
        <v>0.006239681461</v>
      </c>
      <c r="E326" s="51">
        <f t="shared" si="127"/>
        <v>2137.579999</v>
      </c>
      <c r="F326" s="51">
        <f>(Q325*'AP05'!$R326)*'AP05'!$D326</f>
        <v>247.7024417</v>
      </c>
      <c r="G326" s="51">
        <f>(Q325*'AP05'!$R326)/($I$5-A325)</f>
        <v>810.1618493</v>
      </c>
      <c r="H326" s="52">
        <f t="shared" ref="H326:L326" si="375">H325</f>
        <v>0</v>
      </c>
      <c r="I326" s="52">
        <f t="shared" si="375"/>
        <v>0</v>
      </c>
      <c r="J326" s="51">
        <f t="shared" si="375"/>
        <v>25</v>
      </c>
      <c r="K326" s="52">
        <f t="shared" si="375"/>
        <v>0</v>
      </c>
      <c r="L326" s="52">
        <f t="shared" si="375"/>
        <v>0</v>
      </c>
      <c r="M326" s="52"/>
      <c r="N326" s="85">
        <f>SUM('AP05'!$F326:$L326)</f>
        <v>1082.864291</v>
      </c>
      <c r="O326" s="51"/>
      <c r="P326" s="51">
        <f>Q325*('AP05'!$R326-1)</f>
        <v>0</v>
      </c>
      <c r="Q326" s="51">
        <f>(Q325*'AP05'!$R326)-'AP05'!$G326</f>
        <v>38887.76877</v>
      </c>
      <c r="R326" s="53">
        <f t="shared" si="149"/>
        <v>1</v>
      </c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56">
        <f t="shared" si="2"/>
        <v>313</v>
      </c>
      <c r="B327" s="50">
        <f t="shared" si="5"/>
        <v>52769</v>
      </c>
      <c r="C327" s="116">
        <f t="shared" si="126"/>
        <v>0.0775</v>
      </c>
      <c r="D327" s="116">
        <f>((1+'AP05'!$C327)^(1/12))-1</f>
        <v>0.006239681461</v>
      </c>
      <c r="E327" s="51">
        <f t="shared" si="127"/>
        <v>2137.579999</v>
      </c>
      <c r="F327" s="51">
        <f>(Q326*'AP05'!$R327)*'AP05'!$D327</f>
        <v>242.6472898</v>
      </c>
      <c r="G327" s="51">
        <f>(Q326*'AP05'!$R327)/($I$5-A326)</f>
        <v>810.1618493</v>
      </c>
      <c r="H327" s="52">
        <f t="shared" ref="H327:L327" si="376">H326</f>
        <v>0</v>
      </c>
      <c r="I327" s="52">
        <f t="shared" si="376"/>
        <v>0</v>
      </c>
      <c r="J327" s="51">
        <f t="shared" si="376"/>
        <v>25</v>
      </c>
      <c r="K327" s="52">
        <f t="shared" si="376"/>
        <v>0</v>
      </c>
      <c r="L327" s="52">
        <f t="shared" si="376"/>
        <v>0</v>
      </c>
      <c r="M327" s="52"/>
      <c r="N327" s="85">
        <f>SUM('AP05'!$F327:$L327)</f>
        <v>1077.809139</v>
      </c>
      <c r="O327" s="51"/>
      <c r="P327" s="51">
        <f>Q326*('AP05'!$R327-1)</f>
        <v>0</v>
      </c>
      <c r="Q327" s="51">
        <f>(Q326*'AP05'!$R327)-'AP05'!$G327</f>
        <v>38077.60692</v>
      </c>
      <c r="R327" s="53">
        <f t="shared" si="149"/>
        <v>1</v>
      </c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56">
        <f t="shared" si="2"/>
        <v>314</v>
      </c>
      <c r="B328" s="50">
        <f t="shared" si="5"/>
        <v>52799</v>
      </c>
      <c r="C328" s="116">
        <f t="shared" si="126"/>
        <v>0.0775</v>
      </c>
      <c r="D328" s="116">
        <f>((1+'AP05'!$C328)^(1/12))-1</f>
        <v>0.006239681461</v>
      </c>
      <c r="E328" s="51">
        <f t="shared" si="127"/>
        <v>2137.579999</v>
      </c>
      <c r="F328" s="51">
        <f>(Q327*'AP05'!$R328)*'AP05'!$D328</f>
        <v>237.592138</v>
      </c>
      <c r="G328" s="51">
        <f>(Q327*'AP05'!$R328)/($I$5-A327)</f>
        <v>810.1618493</v>
      </c>
      <c r="H328" s="52">
        <f t="shared" ref="H328:L328" si="377">H327</f>
        <v>0</v>
      </c>
      <c r="I328" s="52">
        <f t="shared" si="377"/>
        <v>0</v>
      </c>
      <c r="J328" s="51">
        <f t="shared" si="377"/>
        <v>25</v>
      </c>
      <c r="K328" s="52">
        <f t="shared" si="377"/>
        <v>0</v>
      </c>
      <c r="L328" s="52">
        <f t="shared" si="377"/>
        <v>0</v>
      </c>
      <c r="M328" s="52"/>
      <c r="N328" s="85">
        <f>SUM('AP05'!$F328:$L328)</f>
        <v>1072.753987</v>
      </c>
      <c r="O328" s="51"/>
      <c r="P328" s="51">
        <f>Q327*('AP05'!$R328-1)</f>
        <v>0</v>
      </c>
      <c r="Q328" s="51">
        <f>(Q327*'AP05'!$R328)-'AP05'!$G328</f>
        <v>37267.44507</v>
      </c>
      <c r="R328" s="53">
        <f t="shared" si="149"/>
        <v>1</v>
      </c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56">
        <f t="shared" si="2"/>
        <v>315</v>
      </c>
      <c r="B329" s="50">
        <f t="shared" si="5"/>
        <v>52830</v>
      </c>
      <c r="C329" s="116">
        <f t="shared" si="126"/>
        <v>0.0775</v>
      </c>
      <c r="D329" s="116">
        <f>((1+'AP05'!$C329)^(1/12))-1</f>
        <v>0.006239681461</v>
      </c>
      <c r="E329" s="51">
        <f t="shared" si="127"/>
        <v>2137.579999</v>
      </c>
      <c r="F329" s="51">
        <f>(Q328*'AP05'!$R329)*'AP05'!$D329</f>
        <v>232.5369861</v>
      </c>
      <c r="G329" s="51">
        <f>(Q328*'AP05'!$R329)/($I$5-A328)</f>
        <v>810.1618493</v>
      </c>
      <c r="H329" s="52">
        <f t="shared" ref="H329:L329" si="378">H328</f>
        <v>0</v>
      </c>
      <c r="I329" s="52">
        <f t="shared" si="378"/>
        <v>0</v>
      </c>
      <c r="J329" s="51">
        <f t="shared" si="378"/>
        <v>25</v>
      </c>
      <c r="K329" s="52">
        <f t="shared" si="378"/>
        <v>0</v>
      </c>
      <c r="L329" s="52">
        <f t="shared" si="378"/>
        <v>0</v>
      </c>
      <c r="M329" s="52"/>
      <c r="N329" s="85">
        <f>SUM('AP05'!$F329:$L329)</f>
        <v>1067.698835</v>
      </c>
      <c r="O329" s="51"/>
      <c r="P329" s="51">
        <f>Q328*('AP05'!$R329-1)</f>
        <v>0</v>
      </c>
      <c r="Q329" s="51">
        <f>(Q328*'AP05'!$R329)-'AP05'!$G329</f>
        <v>36457.28322</v>
      </c>
      <c r="R329" s="53">
        <f t="shared" si="149"/>
        <v>1</v>
      </c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56">
        <f t="shared" si="2"/>
        <v>316</v>
      </c>
      <c r="B330" s="50">
        <f t="shared" si="5"/>
        <v>52861</v>
      </c>
      <c r="C330" s="116">
        <f t="shared" si="126"/>
        <v>0.0775</v>
      </c>
      <c r="D330" s="116">
        <f>((1+'AP05'!$C330)^(1/12))-1</f>
        <v>0.006239681461</v>
      </c>
      <c r="E330" s="51">
        <f t="shared" si="127"/>
        <v>2137.579999</v>
      </c>
      <c r="F330" s="51">
        <f>(Q329*'AP05'!$R330)*'AP05'!$D330</f>
        <v>227.4818342</v>
      </c>
      <c r="G330" s="51">
        <f>(Q329*'AP05'!$R330)/($I$5-A329)</f>
        <v>810.1618493</v>
      </c>
      <c r="H330" s="52">
        <f t="shared" ref="H330:L330" si="379">H329</f>
        <v>0</v>
      </c>
      <c r="I330" s="52">
        <f t="shared" si="379"/>
        <v>0</v>
      </c>
      <c r="J330" s="51">
        <f t="shared" si="379"/>
        <v>25</v>
      </c>
      <c r="K330" s="52">
        <f t="shared" si="379"/>
        <v>0</v>
      </c>
      <c r="L330" s="52">
        <f t="shared" si="379"/>
        <v>0</v>
      </c>
      <c r="M330" s="52"/>
      <c r="N330" s="85">
        <f>SUM('AP05'!$F330:$L330)</f>
        <v>1062.643684</v>
      </c>
      <c r="O330" s="51"/>
      <c r="P330" s="51">
        <f>Q329*('AP05'!$R330-1)</f>
        <v>0</v>
      </c>
      <c r="Q330" s="51">
        <f>(Q329*'AP05'!$R330)-'AP05'!$G330</f>
        <v>35647.12137</v>
      </c>
      <c r="R330" s="53">
        <f t="shared" si="149"/>
        <v>1</v>
      </c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56">
        <f t="shared" si="2"/>
        <v>317</v>
      </c>
      <c r="B331" s="50">
        <f t="shared" si="5"/>
        <v>52891</v>
      </c>
      <c r="C331" s="116">
        <f t="shared" si="126"/>
        <v>0.0775</v>
      </c>
      <c r="D331" s="116">
        <f>((1+'AP05'!$C331)^(1/12))-1</f>
        <v>0.006239681461</v>
      </c>
      <c r="E331" s="51">
        <f t="shared" si="127"/>
        <v>2137.579999</v>
      </c>
      <c r="F331" s="51">
        <f>(Q330*'AP05'!$R331)*'AP05'!$D331</f>
        <v>222.4266824</v>
      </c>
      <c r="G331" s="51">
        <f>(Q330*'AP05'!$R331)/($I$5-A330)</f>
        <v>810.1618493</v>
      </c>
      <c r="H331" s="52">
        <f t="shared" ref="H331:L331" si="380">H330</f>
        <v>0</v>
      </c>
      <c r="I331" s="52">
        <f t="shared" si="380"/>
        <v>0</v>
      </c>
      <c r="J331" s="51">
        <f t="shared" si="380"/>
        <v>25</v>
      </c>
      <c r="K331" s="52">
        <f t="shared" si="380"/>
        <v>0</v>
      </c>
      <c r="L331" s="52">
        <f t="shared" si="380"/>
        <v>0</v>
      </c>
      <c r="M331" s="52"/>
      <c r="N331" s="85">
        <f>SUM('AP05'!$F331:$L331)</f>
        <v>1057.588532</v>
      </c>
      <c r="O331" s="51"/>
      <c r="P331" s="51">
        <f>Q330*('AP05'!$R331-1)</f>
        <v>0</v>
      </c>
      <c r="Q331" s="51">
        <f>(Q330*'AP05'!$R331)-'AP05'!$G331</f>
        <v>34836.95952</v>
      </c>
      <c r="R331" s="53">
        <f t="shared" si="149"/>
        <v>1</v>
      </c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56">
        <f t="shared" si="2"/>
        <v>318</v>
      </c>
      <c r="B332" s="50">
        <f t="shared" si="5"/>
        <v>52922</v>
      </c>
      <c r="C332" s="116">
        <f t="shared" si="126"/>
        <v>0.0775</v>
      </c>
      <c r="D332" s="116">
        <f>((1+'AP05'!$C332)^(1/12))-1</f>
        <v>0.006239681461</v>
      </c>
      <c r="E332" s="51">
        <f t="shared" si="127"/>
        <v>2137.579999</v>
      </c>
      <c r="F332" s="51">
        <f>(Q331*'AP05'!$R332)*'AP05'!$D332</f>
        <v>217.3715305</v>
      </c>
      <c r="G332" s="51">
        <f>(Q331*'AP05'!$R332)/($I$5-A331)</f>
        <v>810.1618493</v>
      </c>
      <c r="H332" s="52">
        <f t="shared" ref="H332:L332" si="381">H331</f>
        <v>0</v>
      </c>
      <c r="I332" s="52">
        <f t="shared" si="381"/>
        <v>0</v>
      </c>
      <c r="J332" s="51">
        <f t="shared" si="381"/>
        <v>25</v>
      </c>
      <c r="K332" s="52">
        <f t="shared" si="381"/>
        <v>0</v>
      </c>
      <c r="L332" s="52">
        <f t="shared" si="381"/>
        <v>0</v>
      </c>
      <c r="M332" s="52"/>
      <c r="N332" s="85">
        <f>SUM('AP05'!$F332:$L332)</f>
        <v>1052.53338</v>
      </c>
      <c r="O332" s="51"/>
      <c r="P332" s="51">
        <f>Q331*('AP05'!$R332-1)</f>
        <v>0</v>
      </c>
      <c r="Q332" s="51">
        <f>(Q331*'AP05'!$R332)-'AP05'!$G332</f>
        <v>34026.79767</v>
      </c>
      <c r="R332" s="53">
        <f t="shared" si="149"/>
        <v>1</v>
      </c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56">
        <f t="shared" si="2"/>
        <v>319</v>
      </c>
      <c r="B333" s="50">
        <f t="shared" si="5"/>
        <v>52952</v>
      </c>
      <c r="C333" s="116">
        <f t="shared" si="126"/>
        <v>0.0775</v>
      </c>
      <c r="D333" s="116">
        <f>((1+'AP05'!$C333)^(1/12))-1</f>
        <v>0.006239681461</v>
      </c>
      <c r="E333" s="51">
        <f t="shared" si="127"/>
        <v>2137.579999</v>
      </c>
      <c r="F333" s="51">
        <f>(Q332*'AP05'!$R333)*'AP05'!$D333</f>
        <v>212.3163786</v>
      </c>
      <c r="G333" s="51">
        <f>(Q332*'AP05'!$R333)/($I$5-A332)</f>
        <v>810.1618493</v>
      </c>
      <c r="H333" s="52">
        <f t="shared" ref="H333:L333" si="382">H332</f>
        <v>0</v>
      </c>
      <c r="I333" s="52">
        <f t="shared" si="382"/>
        <v>0</v>
      </c>
      <c r="J333" s="51">
        <f t="shared" si="382"/>
        <v>25</v>
      </c>
      <c r="K333" s="52">
        <f t="shared" si="382"/>
        <v>0</v>
      </c>
      <c r="L333" s="52">
        <f t="shared" si="382"/>
        <v>0</v>
      </c>
      <c r="M333" s="52"/>
      <c r="N333" s="85">
        <f>SUM('AP05'!$F333:$L333)</f>
        <v>1047.478228</v>
      </c>
      <c r="O333" s="51"/>
      <c r="P333" s="51">
        <f>Q332*('AP05'!$R333-1)</f>
        <v>0</v>
      </c>
      <c r="Q333" s="51">
        <f>(Q332*'AP05'!$R333)-'AP05'!$G333</f>
        <v>33216.63582</v>
      </c>
      <c r="R333" s="53">
        <f t="shared" si="149"/>
        <v>1</v>
      </c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56">
        <f t="shared" si="2"/>
        <v>320</v>
      </c>
      <c r="B334" s="50">
        <f t="shared" si="5"/>
        <v>52983</v>
      </c>
      <c r="C334" s="116">
        <f t="shared" si="126"/>
        <v>0.0775</v>
      </c>
      <c r="D334" s="116">
        <f>((1+'AP05'!$C334)^(1/12))-1</f>
        <v>0.006239681461</v>
      </c>
      <c r="E334" s="51">
        <f t="shared" si="127"/>
        <v>2137.579999</v>
      </c>
      <c r="F334" s="51">
        <f>(Q333*'AP05'!$R334)*'AP05'!$D334</f>
        <v>207.2612267</v>
      </c>
      <c r="G334" s="51">
        <f>(Q333*'AP05'!$R334)/($I$5-A333)</f>
        <v>810.1618493</v>
      </c>
      <c r="H334" s="52">
        <f t="shared" ref="H334:L334" si="383">H333</f>
        <v>0</v>
      </c>
      <c r="I334" s="52">
        <f t="shared" si="383"/>
        <v>0</v>
      </c>
      <c r="J334" s="51">
        <f t="shared" si="383"/>
        <v>25</v>
      </c>
      <c r="K334" s="52">
        <f t="shared" si="383"/>
        <v>0</v>
      </c>
      <c r="L334" s="52">
        <f t="shared" si="383"/>
        <v>0</v>
      </c>
      <c r="M334" s="52"/>
      <c r="N334" s="85">
        <f>SUM('AP05'!$F334:$L334)</f>
        <v>1042.423076</v>
      </c>
      <c r="O334" s="51"/>
      <c r="P334" s="51">
        <f>Q333*('AP05'!$R334-1)</f>
        <v>0</v>
      </c>
      <c r="Q334" s="51">
        <f>(Q333*'AP05'!$R334)-'AP05'!$G334</f>
        <v>32406.47397</v>
      </c>
      <c r="R334" s="53">
        <f t="shared" si="149"/>
        <v>1</v>
      </c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56">
        <f t="shared" si="2"/>
        <v>321</v>
      </c>
      <c r="B335" s="50">
        <f t="shared" si="5"/>
        <v>53014</v>
      </c>
      <c r="C335" s="116">
        <f t="shared" si="126"/>
        <v>0.0775</v>
      </c>
      <c r="D335" s="116">
        <f>((1+'AP05'!$C335)^(1/12))-1</f>
        <v>0.006239681461</v>
      </c>
      <c r="E335" s="51">
        <f t="shared" si="127"/>
        <v>2137.579999</v>
      </c>
      <c r="F335" s="51">
        <f>(Q334*'AP05'!$R335)*'AP05'!$D335</f>
        <v>202.2060749</v>
      </c>
      <c r="G335" s="51">
        <f>(Q334*'AP05'!$R335)/($I$5-A334)</f>
        <v>810.1618493</v>
      </c>
      <c r="H335" s="52">
        <f t="shared" ref="H335:L335" si="384">H334</f>
        <v>0</v>
      </c>
      <c r="I335" s="52">
        <f t="shared" si="384"/>
        <v>0</v>
      </c>
      <c r="J335" s="51">
        <f t="shared" si="384"/>
        <v>25</v>
      </c>
      <c r="K335" s="52">
        <f t="shared" si="384"/>
        <v>0</v>
      </c>
      <c r="L335" s="52">
        <f t="shared" si="384"/>
        <v>0</v>
      </c>
      <c r="M335" s="52"/>
      <c r="N335" s="85">
        <f>SUM('AP05'!$F335:$L335)</f>
        <v>1037.367924</v>
      </c>
      <c r="O335" s="51"/>
      <c r="P335" s="51">
        <f>Q334*('AP05'!$R335-1)</f>
        <v>0</v>
      </c>
      <c r="Q335" s="51">
        <f>(Q334*'AP05'!$R335)-'AP05'!$G335</f>
        <v>31596.31212</v>
      </c>
      <c r="R335" s="53">
        <f t="shared" si="149"/>
        <v>1</v>
      </c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56">
        <f t="shared" si="2"/>
        <v>322</v>
      </c>
      <c r="B336" s="50">
        <f t="shared" si="5"/>
        <v>53042</v>
      </c>
      <c r="C336" s="116">
        <f t="shared" si="126"/>
        <v>0.0775</v>
      </c>
      <c r="D336" s="116">
        <f>((1+'AP05'!$C336)^(1/12))-1</f>
        <v>0.006239681461</v>
      </c>
      <c r="E336" s="51">
        <f t="shared" si="127"/>
        <v>2137.579999</v>
      </c>
      <c r="F336" s="51">
        <f>(Q335*'AP05'!$R336)*'AP05'!$D336</f>
        <v>197.150923</v>
      </c>
      <c r="G336" s="51">
        <f>(Q335*'AP05'!$R336)/($I$5-A335)</f>
        <v>810.1618493</v>
      </c>
      <c r="H336" s="52">
        <f t="shared" ref="H336:L336" si="385">H335</f>
        <v>0</v>
      </c>
      <c r="I336" s="52">
        <f t="shared" si="385"/>
        <v>0</v>
      </c>
      <c r="J336" s="51">
        <f t="shared" si="385"/>
        <v>25</v>
      </c>
      <c r="K336" s="52">
        <f t="shared" si="385"/>
        <v>0</v>
      </c>
      <c r="L336" s="52">
        <f t="shared" si="385"/>
        <v>0</v>
      </c>
      <c r="M336" s="52"/>
      <c r="N336" s="85">
        <f>SUM('AP05'!$F336:$L336)</f>
        <v>1032.312772</v>
      </c>
      <c r="O336" s="51"/>
      <c r="P336" s="51">
        <f>Q335*('AP05'!$R336-1)</f>
        <v>0</v>
      </c>
      <c r="Q336" s="51">
        <f>(Q335*'AP05'!$R336)-'AP05'!$G336</f>
        <v>30786.15027</v>
      </c>
      <c r="R336" s="53">
        <f t="shared" si="149"/>
        <v>1</v>
      </c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56">
        <f t="shared" si="2"/>
        <v>323</v>
      </c>
      <c r="B337" s="50">
        <f t="shared" si="5"/>
        <v>53073</v>
      </c>
      <c r="C337" s="116">
        <f t="shared" si="126"/>
        <v>0.0775</v>
      </c>
      <c r="D337" s="116">
        <f>((1+'AP05'!$C337)^(1/12))-1</f>
        <v>0.006239681461</v>
      </c>
      <c r="E337" s="51">
        <f t="shared" si="127"/>
        <v>2137.579999</v>
      </c>
      <c r="F337" s="51">
        <f>(Q336*'AP05'!$R337)*'AP05'!$D337</f>
        <v>192.0957711</v>
      </c>
      <c r="G337" s="51">
        <f>(Q336*'AP05'!$R337)/($I$5-A336)</f>
        <v>810.1618493</v>
      </c>
      <c r="H337" s="52">
        <f t="shared" ref="H337:L337" si="386">H336</f>
        <v>0</v>
      </c>
      <c r="I337" s="52">
        <f t="shared" si="386"/>
        <v>0</v>
      </c>
      <c r="J337" s="51">
        <f t="shared" si="386"/>
        <v>25</v>
      </c>
      <c r="K337" s="52">
        <f t="shared" si="386"/>
        <v>0</v>
      </c>
      <c r="L337" s="52">
        <f t="shared" si="386"/>
        <v>0</v>
      </c>
      <c r="M337" s="52"/>
      <c r="N337" s="85">
        <f>SUM('AP05'!$F337:$L337)</f>
        <v>1027.25762</v>
      </c>
      <c r="O337" s="51"/>
      <c r="P337" s="51">
        <f>Q336*('AP05'!$R337-1)</f>
        <v>0</v>
      </c>
      <c r="Q337" s="51">
        <f>(Q336*'AP05'!$R337)-'AP05'!$G337</f>
        <v>29975.98842</v>
      </c>
      <c r="R337" s="53">
        <f t="shared" si="149"/>
        <v>1</v>
      </c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56">
        <f t="shared" si="2"/>
        <v>324</v>
      </c>
      <c r="B338" s="50">
        <f t="shared" si="5"/>
        <v>53103</v>
      </c>
      <c r="C338" s="116">
        <f t="shared" si="126"/>
        <v>0.0775</v>
      </c>
      <c r="D338" s="116">
        <f>((1+'AP05'!$C338)^(1/12))-1</f>
        <v>0.006239681461</v>
      </c>
      <c r="E338" s="51">
        <f t="shared" si="127"/>
        <v>2137.579999</v>
      </c>
      <c r="F338" s="51">
        <f>(Q337*'AP05'!$R338)*'AP05'!$D338</f>
        <v>187.0406193</v>
      </c>
      <c r="G338" s="51">
        <f>(Q337*'AP05'!$R338)/($I$5-A337)</f>
        <v>810.1618493</v>
      </c>
      <c r="H338" s="52">
        <f t="shared" ref="H338:L338" si="387">H337</f>
        <v>0</v>
      </c>
      <c r="I338" s="52">
        <f t="shared" si="387"/>
        <v>0</v>
      </c>
      <c r="J338" s="51">
        <f t="shared" si="387"/>
        <v>25</v>
      </c>
      <c r="K338" s="52">
        <f t="shared" si="387"/>
        <v>0</v>
      </c>
      <c r="L338" s="52">
        <f t="shared" si="387"/>
        <v>0</v>
      </c>
      <c r="M338" s="52"/>
      <c r="N338" s="85">
        <f>SUM('AP05'!$F338:$L338)</f>
        <v>1022.202469</v>
      </c>
      <c r="O338" s="51"/>
      <c r="P338" s="51">
        <f>Q337*('AP05'!$R338-1)</f>
        <v>0</v>
      </c>
      <c r="Q338" s="51">
        <f>(Q337*'AP05'!$R338)-'AP05'!$G338</f>
        <v>29165.82658</v>
      </c>
      <c r="R338" s="53">
        <f t="shared" si="149"/>
        <v>1</v>
      </c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56">
        <f t="shared" si="2"/>
        <v>325</v>
      </c>
      <c r="B339" s="50">
        <f t="shared" si="5"/>
        <v>53134</v>
      </c>
      <c r="C339" s="116">
        <f t="shared" si="126"/>
        <v>0.0775</v>
      </c>
      <c r="D339" s="116">
        <f>((1+'AP05'!$C339)^(1/12))-1</f>
        <v>0.006239681461</v>
      </c>
      <c r="E339" s="51">
        <f t="shared" si="127"/>
        <v>2137.579999</v>
      </c>
      <c r="F339" s="51">
        <f>(Q338*'AP05'!$R339)*'AP05'!$D339</f>
        <v>181.9854674</v>
      </c>
      <c r="G339" s="51">
        <f>(Q338*'AP05'!$R339)/($I$5-A338)</f>
        <v>810.1618493</v>
      </c>
      <c r="H339" s="52">
        <f t="shared" ref="H339:L339" si="388">H338</f>
        <v>0</v>
      </c>
      <c r="I339" s="52">
        <f t="shared" si="388"/>
        <v>0</v>
      </c>
      <c r="J339" s="51">
        <f t="shared" si="388"/>
        <v>25</v>
      </c>
      <c r="K339" s="52">
        <f t="shared" si="388"/>
        <v>0</v>
      </c>
      <c r="L339" s="52">
        <f t="shared" si="388"/>
        <v>0</v>
      </c>
      <c r="M339" s="52"/>
      <c r="N339" s="85">
        <f>SUM('AP05'!$F339:$L339)</f>
        <v>1017.147317</v>
      </c>
      <c r="O339" s="51"/>
      <c r="P339" s="51">
        <f>Q338*('AP05'!$R339-1)</f>
        <v>0</v>
      </c>
      <c r="Q339" s="51">
        <f>(Q338*'AP05'!$R339)-'AP05'!$G339</f>
        <v>28355.66473</v>
      </c>
      <c r="R339" s="53">
        <f t="shared" si="149"/>
        <v>1</v>
      </c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56">
        <f t="shared" si="2"/>
        <v>326</v>
      </c>
      <c r="B340" s="50">
        <f t="shared" si="5"/>
        <v>53164</v>
      </c>
      <c r="C340" s="116">
        <f t="shared" si="126"/>
        <v>0.0775</v>
      </c>
      <c r="D340" s="116">
        <f>((1+'AP05'!$C340)^(1/12))-1</f>
        <v>0.006239681461</v>
      </c>
      <c r="E340" s="51">
        <f t="shared" si="127"/>
        <v>2137.579999</v>
      </c>
      <c r="F340" s="51">
        <f>(Q339*'AP05'!$R340)*'AP05'!$D340</f>
        <v>176.9303155</v>
      </c>
      <c r="G340" s="51">
        <f>(Q339*'AP05'!$R340)/($I$5-A339)</f>
        <v>810.1618493</v>
      </c>
      <c r="H340" s="52">
        <f t="shared" ref="H340:L340" si="389">H339</f>
        <v>0</v>
      </c>
      <c r="I340" s="52">
        <f t="shared" si="389"/>
        <v>0</v>
      </c>
      <c r="J340" s="51">
        <f t="shared" si="389"/>
        <v>25</v>
      </c>
      <c r="K340" s="52">
        <f t="shared" si="389"/>
        <v>0</v>
      </c>
      <c r="L340" s="52">
        <f t="shared" si="389"/>
        <v>0</v>
      </c>
      <c r="M340" s="52"/>
      <c r="N340" s="85">
        <f>SUM('AP05'!$F340:$L340)</f>
        <v>1012.092165</v>
      </c>
      <c r="O340" s="51"/>
      <c r="P340" s="51">
        <f>Q339*('AP05'!$R340-1)</f>
        <v>0</v>
      </c>
      <c r="Q340" s="51">
        <f>(Q339*'AP05'!$R340)-'AP05'!$G340</f>
        <v>27545.50288</v>
      </c>
      <c r="R340" s="53">
        <f t="shared" si="149"/>
        <v>1</v>
      </c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56">
        <f t="shared" si="2"/>
        <v>327</v>
      </c>
      <c r="B341" s="50">
        <f t="shared" si="5"/>
        <v>53195</v>
      </c>
      <c r="C341" s="116">
        <f t="shared" si="126"/>
        <v>0.0775</v>
      </c>
      <c r="D341" s="116">
        <f>((1+'AP05'!$C341)^(1/12))-1</f>
        <v>0.006239681461</v>
      </c>
      <c r="E341" s="51">
        <f t="shared" si="127"/>
        <v>2137.579999</v>
      </c>
      <c r="F341" s="51">
        <f>(Q340*'AP05'!$R341)*'AP05'!$D341</f>
        <v>171.8751636</v>
      </c>
      <c r="G341" s="51">
        <f>(Q340*'AP05'!$R341)/($I$5-A340)</f>
        <v>810.1618493</v>
      </c>
      <c r="H341" s="52">
        <f t="shared" ref="H341:L341" si="390">H340</f>
        <v>0</v>
      </c>
      <c r="I341" s="52">
        <f t="shared" si="390"/>
        <v>0</v>
      </c>
      <c r="J341" s="51">
        <f t="shared" si="390"/>
        <v>25</v>
      </c>
      <c r="K341" s="52">
        <f t="shared" si="390"/>
        <v>0</v>
      </c>
      <c r="L341" s="52">
        <f t="shared" si="390"/>
        <v>0</v>
      </c>
      <c r="M341" s="52"/>
      <c r="N341" s="85">
        <f>SUM('AP05'!$F341:$L341)</f>
        <v>1007.037013</v>
      </c>
      <c r="O341" s="51"/>
      <c r="P341" s="51">
        <f>Q340*('AP05'!$R341-1)</f>
        <v>0</v>
      </c>
      <c r="Q341" s="51">
        <f>(Q340*'AP05'!$R341)-'AP05'!$G341</f>
        <v>26735.34103</v>
      </c>
      <c r="R341" s="53">
        <f t="shared" si="149"/>
        <v>1</v>
      </c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56">
        <f t="shared" si="2"/>
        <v>328</v>
      </c>
      <c r="B342" s="50">
        <f t="shared" si="5"/>
        <v>53226</v>
      </c>
      <c r="C342" s="116">
        <f t="shared" si="126"/>
        <v>0.0775</v>
      </c>
      <c r="D342" s="116">
        <f>((1+'AP05'!$C342)^(1/12))-1</f>
        <v>0.006239681461</v>
      </c>
      <c r="E342" s="51">
        <f t="shared" si="127"/>
        <v>2137.579999</v>
      </c>
      <c r="F342" s="51">
        <f>(Q341*'AP05'!$R342)*'AP05'!$D342</f>
        <v>166.8200118</v>
      </c>
      <c r="G342" s="51">
        <f>(Q341*'AP05'!$R342)/($I$5-A341)</f>
        <v>810.1618493</v>
      </c>
      <c r="H342" s="52">
        <f t="shared" ref="H342:L342" si="391">H341</f>
        <v>0</v>
      </c>
      <c r="I342" s="52">
        <f t="shared" si="391"/>
        <v>0</v>
      </c>
      <c r="J342" s="51">
        <f t="shared" si="391"/>
        <v>25</v>
      </c>
      <c r="K342" s="52">
        <f t="shared" si="391"/>
        <v>0</v>
      </c>
      <c r="L342" s="52">
        <f t="shared" si="391"/>
        <v>0</v>
      </c>
      <c r="M342" s="52"/>
      <c r="N342" s="85">
        <f>SUM('AP05'!$F342:$L342)</f>
        <v>1001.981861</v>
      </c>
      <c r="O342" s="51"/>
      <c r="P342" s="51">
        <f>Q341*('AP05'!$R342-1)</f>
        <v>0</v>
      </c>
      <c r="Q342" s="51">
        <f>(Q341*'AP05'!$R342)-'AP05'!$G342</f>
        <v>25925.17918</v>
      </c>
      <c r="R342" s="53">
        <f t="shared" si="149"/>
        <v>1</v>
      </c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56">
        <f t="shared" si="2"/>
        <v>329</v>
      </c>
      <c r="B343" s="50">
        <f t="shared" si="5"/>
        <v>53256</v>
      </c>
      <c r="C343" s="116">
        <f t="shared" si="126"/>
        <v>0.0775</v>
      </c>
      <c r="D343" s="116">
        <f>((1+'AP05'!$C343)^(1/12))-1</f>
        <v>0.006239681461</v>
      </c>
      <c r="E343" s="51">
        <f t="shared" si="127"/>
        <v>2137.579999</v>
      </c>
      <c r="F343" s="51">
        <f>(Q342*'AP05'!$R343)*'AP05'!$D343</f>
        <v>161.7648599</v>
      </c>
      <c r="G343" s="51">
        <f>(Q342*'AP05'!$R343)/($I$5-A342)</f>
        <v>810.1618493</v>
      </c>
      <c r="H343" s="52">
        <f t="shared" ref="H343:L343" si="392">H342</f>
        <v>0</v>
      </c>
      <c r="I343" s="52">
        <f t="shared" si="392"/>
        <v>0</v>
      </c>
      <c r="J343" s="51">
        <f t="shared" si="392"/>
        <v>25</v>
      </c>
      <c r="K343" s="52">
        <f t="shared" si="392"/>
        <v>0</v>
      </c>
      <c r="L343" s="52">
        <f t="shared" si="392"/>
        <v>0</v>
      </c>
      <c r="M343" s="52"/>
      <c r="N343" s="85">
        <f>SUM('AP05'!$F343:$L343)</f>
        <v>996.9267092</v>
      </c>
      <c r="O343" s="51"/>
      <c r="P343" s="51">
        <f>Q342*('AP05'!$R343-1)</f>
        <v>0</v>
      </c>
      <c r="Q343" s="51">
        <f>(Q342*'AP05'!$R343)-'AP05'!$G343</f>
        <v>25115.01733</v>
      </c>
      <c r="R343" s="53">
        <f t="shared" si="149"/>
        <v>1</v>
      </c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56">
        <f t="shared" si="2"/>
        <v>330</v>
      </c>
      <c r="B344" s="50">
        <f t="shared" si="5"/>
        <v>53287</v>
      </c>
      <c r="C344" s="116">
        <f t="shared" si="126"/>
        <v>0.0775</v>
      </c>
      <c r="D344" s="116">
        <f>((1+'AP05'!$C344)^(1/12))-1</f>
        <v>0.006239681461</v>
      </c>
      <c r="E344" s="51">
        <f t="shared" si="127"/>
        <v>2137.579999</v>
      </c>
      <c r="F344" s="51">
        <f>(Q343*'AP05'!$R344)*'AP05'!$D344</f>
        <v>156.709708</v>
      </c>
      <c r="G344" s="51">
        <f>(Q343*'AP05'!$R344)/($I$5-A343)</f>
        <v>810.1618493</v>
      </c>
      <c r="H344" s="52">
        <f t="shared" ref="H344:L344" si="393">H343</f>
        <v>0</v>
      </c>
      <c r="I344" s="52">
        <f t="shared" si="393"/>
        <v>0</v>
      </c>
      <c r="J344" s="51">
        <f t="shared" si="393"/>
        <v>25</v>
      </c>
      <c r="K344" s="52">
        <f t="shared" si="393"/>
        <v>0</v>
      </c>
      <c r="L344" s="52">
        <f t="shared" si="393"/>
        <v>0</v>
      </c>
      <c r="M344" s="52"/>
      <c r="N344" s="85">
        <f>SUM('AP05'!$F344:$L344)</f>
        <v>991.8715573</v>
      </c>
      <c r="O344" s="51"/>
      <c r="P344" s="51">
        <f>Q343*('AP05'!$R344-1)</f>
        <v>0</v>
      </c>
      <c r="Q344" s="51">
        <f>(Q343*'AP05'!$R344)-'AP05'!$G344</f>
        <v>24304.85548</v>
      </c>
      <c r="R344" s="53">
        <f t="shared" si="149"/>
        <v>1</v>
      </c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56">
        <f t="shared" si="2"/>
        <v>331</v>
      </c>
      <c r="B345" s="50">
        <f t="shared" si="5"/>
        <v>53317</v>
      </c>
      <c r="C345" s="116">
        <f t="shared" si="126"/>
        <v>0.0775</v>
      </c>
      <c r="D345" s="116">
        <f>((1+'AP05'!$C345)^(1/12))-1</f>
        <v>0.006239681461</v>
      </c>
      <c r="E345" s="51">
        <f t="shared" si="127"/>
        <v>2137.579999</v>
      </c>
      <c r="F345" s="51">
        <f>(Q344*'AP05'!$R345)*'AP05'!$D345</f>
        <v>151.6545562</v>
      </c>
      <c r="G345" s="51">
        <f>(Q344*'AP05'!$R345)/($I$5-A344)</f>
        <v>810.1618493</v>
      </c>
      <c r="H345" s="52">
        <f t="shared" ref="H345:L345" si="394">H344</f>
        <v>0</v>
      </c>
      <c r="I345" s="52">
        <f t="shared" si="394"/>
        <v>0</v>
      </c>
      <c r="J345" s="51">
        <f t="shared" si="394"/>
        <v>25</v>
      </c>
      <c r="K345" s="52">
        <f t="shared" si="394"/>
        <v>0</v>
      </c>
      <c r="L345" s="52">
        <f t="shared" si="394"/>
        <v>0</v>
      </c>
      <c r="M345" s="52"/>
      <c r="N345" s="85">
        <f>SUM('AP05'!$F345:$L345)</f>
        <v>986.8164055</v>
      </c>
      <c r="O345" s="51"/>
      <c r="P345" s="51">
        <f>Q344*('AP05'!$R345-1)</f>
        <v>0</v>
      </c>
      <c r="Q345" s="51">
        <f>(Q344*'AP05'!$R345)-'AP05'!$G345</f>
        <v>23494.69363</v>
      </c>
      <c r="R345" s="53">
        <f t="shared" si="149"/>
        <v>1</v>
      </c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56">
        <f t="shared" si="2"/>
        <v>332</v>
      </c>
      <c r="B346" s="50">
        <f t="shared" si="5"/>
        <v>53348</v>
      </c>
      <c r="C346" s="116">
        <f t="shared" si="126"/>
        <v>0.0775</v>
      </c>
      <c r="D346" s="116">
        <f>((1+'AP05'!$C346)^(1/12))-1</f>
        <v>0.006239681461</v>
      </c>
      <c r="E346" s="51">
        <f t="shared" si="127"/>
        <v>2137.579999</v>
      </c>
      <c r="F346" s="51">
        <f>(Q345*'AP05'!$R346)*'AP05'!$D346</f>
        <v>146.5994043</v>
      </c>
      <c r="G346" s="51">
        <f>(Q345*'AP05'!$R346)/($I$5-A345)</f>
        <v>810.1618493</v>
      </c>
      <c r="H346" s="52">
        <f t="shared" ref="H346:L346" si="395">H345</f>
        <v>0</v>
      </c>
      <c r="I346" s="52">
        <f t="shared" si="395"/>
        <v>0</v>
      </c>
      <c r="J346" s="51">
        <f t="shared" si="395"/>
        <v>25</v>
      </c>
      <c r="K346" s="52">
        <f t="shared" si="395"/>
        <v>0</v>
      </c>
      <c r="L346" s="52">
        <f t="shared" si="395"/>
        <v>0</v>
      </c>
      <c r="M346" s="52"/>
      <c r="N346" s="85">
        <f>SUM('AP05'!$F346:$L346)</f>
        <v>981.7612536</v>
      </c>
      <c r="O346" s="51"/>
      <c r="P346" s="51">
        <f>Q345*('AP05'!$R346-1)</f>
        <v>0</v>
      </c>
      <c r="Q346" s="51">
        <f>(Q345*'AP05'!$R346)-'AP05'!$G346</f>
        <v>22684.53178</v>
      </c>
      <c r="R346" s="53">
        <f t="shared" si="149"/>
        <v>1</v>
      </c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56">
        <f t="shared" si="2"/>
        <v>333</v>
      </c>
      <c r="B347" s="50">
        <f t="shared" si="5"/>
        <v>53379</v>
      </c>
      <c r="C347" s="116">
        <f t="shared" si="126"/>
        <v>0.0775</v>
      </c>
      <c r="D347" s="116">
        <f>((1+'AP05'!$C347)^(1/12))-1</f>
        <v>0.006239681461</v>
      </c>
      <c r="E347" s="51">
        <f t="shared" si="127"/>
        <v>2137.579999</v>
      </c>
      <c r="F347" s="51">
        <f>(Q346*'AP05'!$R347)*'AP05'!$D347</f>
        <v>141.5442524</v>
      </c>
      <c r="G347" s="51">
        <f>(Q346*'AP05'!$R347)/($I$5-A346)</f>
        <v>810.1618493</v>
      </c>
      <c r="H347" s="52">
        <f t="shared" ref="H347:L347" si="396">H346</f>
        <v>0</v>
      </c>
      <c r="I347" s="52">
        <f t="shared" si="396"/>
        <v>0</v>
      </c>
      <c r="J347" s="51">
        <f t="shared" si="396"/>
        <v>25</v>
      </c>
      <c r="K347" s="52">
        <f t="shared" si="396"/>
        <v>0</v>
      </c>
      <c r="L347" s="52">
        <f t="shared" si="396"/>
        <v>0</v>
      </c>
      <c r="M347" s="52"/>
      <c r="N347" s="85">
        <f>SUM('AP05'!$F347:$L347)</f>
        <v>976.7061017</v>
      </c>
      <c r="O347" s="51"/>
      <c r="P347" s="51">
        <f>Q346*('AP05'!$R347-1)</f>
        <v>0</v>
      </c>
      <c r="Q347" s="51">
        <f>(Q346*'AP05'!$R347)-'AP05'!$G347</f>
        <v>21874.36993</v>
      </c>
      <c r="R347" s="53">
        <f t="shared" si="149"/>
        <v>1</v>
      </c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56">
        <f t="shared" si="2"/>
        <v>334</v>
      </c>
      <c r="B348" s="50">
        <f t="shared" si="5"/>
        <v>53407</v>
      </c>
      <c r="C348" s="116">
        <f t="shared" si="126"/>
        <v>0.0775</v>
      </c>
      <c r="D348" s="116">
        <f>((1+'AP05'!$C348)^(1/12))-1</f>
        <v>0.006239681461</v>
      </c>
      <c r="E348" s="51">
        <f t="shared" si="127"/>
        <v>2137.579999</v>
      </c>
      <c r="F348" s="51">
        <f>(Q347*'AP05'!$R348)*'AP05'!$D348</f>
        <v>136.4891005</v>
      </c>
      <c r="G348" s="51">
        <f>(Q347*'AP05'!$R348)/($I$5-A347)</f>
        <v>810.1618493</v>
      </c>
      <c r="H348" s="52">
        <f t="shared" ref="H348:L348" si="397">H347</f>
        <v>0</v>
      </c>
      <c r="I348" s="52">
        <f t="shared" si="397"/>
        <v>0</v>
      </c>
      <c r="J348" s="51">
        <f t="shared" si="397"/>
        <v>25</v>
      </c>
      <c r="K348" s="52">
        <f t="shared" si="397"/>
        <v>0</v>
      </c>
      <c r="L348" s="52">
        <f t="shared" si="397"/>
        <v>0</v>
      </c>
      <c r="M348" s="52"/>
      <c r="N348" s="85">
        <f>SUM('AP05'!$F348:$L348)</f>
        <v>971.6509499</v>
      </c>
      <c r="O348" s="51"/>
      <c r="P348" s="51">
        <f>Q347*('AP05'!$R348-1)</f>
        <v>0</v>
      </c>
      <c r="Q348" s="51">
        <f>(Q347*'AP05'!$R348)-'AP05'!$G348</f>
        <v>21064.20808</v>
      </c>
      <c r="R348" s="53">
        <f t="shared" si="149"/>
        <v>1</v>
      </c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56">
        <f t="shared" si="2"/>
        <v>335</v>
      </c>
      <c r="B349" s="50">
        <f t="shared" si="5"/>
        <v>53438</v>
      </c>
      <c r="C349" s="116">
        <f t="shared" si="126"/>
        <v>0.0775</v>
      </c>
      <c r="D349" s="116">
        <f>((1+'AP05'!$C349)^(1/12))-1</f>
        <v>0.006239681461</v>
      </c>
      <c r="E349" s="51">
        <f t="shared" si="127"/>
        <v>2137.579999</v>
      </c>
      <c r="F349" s="51">
        <f>(Q348*'AP05'!$R349)*'AP05'!$D349</f>
        <v>131.4339487</v>
      </c>
      <c r="G349" s="51">
        <f>(Q348*'AP05'!$R349)/($I$5-A348)</f>
        <v>810.1618493</v>
      </c>
      <c r="H349" s="52">
        <f t="shared" ref="H349:L349" si="398">H348</f>
        <v>0</v>
      </c>
      <c r="I349" s="52">
        <f t="shared" si="398"/>
        <v>0</v>
      </c>
      <c r="J349" s="51">
        <f t="shared" si="398"/>
        <v>25</v>
      </c>
      <c r="K349" s="52">
        <f t="shared" si="398"/>
        <v>0</v>
      </c>
      <c r="L349" s="52">
        <f t="shared" si="398"/>
        <v>0</v>
      </c>
      <c r="M349" s="52"/>
      <c r="N349" s="85">
        <f>SUM('AP05'!$F349:$L349)</f>
        <v>966.595798</v>
      </c>
      <c r="O349" s="51"/>
      <c r="P349" s="51">
        <f>Q348*('AP05'!$R349-1)</f>
        <v>0</v>
      </c>
      <c r="Q349" s="51">
        <f>(Q348*'AP05'!$R349)-'AP05'!$G349</f>
        <v>20254.04623</v>
      </c>
      <c r="R349" s="53">
        <f t="shared" si="149"/>
        <v>1</v>
      </c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56">
        <f t="shared" si="2"/>
        <v>336</v>
      </c>
      <c r="B350" s="50">
        <f t="shared" si="5"/>
        <v>53468</v>
      </c>
      <c r="C350" s="116">
        <f t="shared" si="126"/>
        <v>0.0775</v>
      </c>
      <c r="D350" s="116">
        <f>((1+'AP05'!$C350)^(1/12))-1</f>
        <v>0.006239681461</v>
      </c>
      <c r="E350" s="51">
        <f t="shared" si="127"/>
        <v>2137.579999</v>
      </c>
      <c r="F350" s="51">
        <f>(Q349*'AP05'!$R350)*'AP05'!$D350</f>
        <v>126.3787968</v>
      </c>
      <c r="G350" s="51">
        <f>(Q349*'AP05'!$R350)/($I$5-A349)</f>
        <v>810.1618493</v>
      </c>
      <c r="H350" s="52">
        <f t="shared" ref="H350:L350" si="399">H349</f>
        <v>0</v>
      </c>
      <c r="I350" s="52">
        <f t="shared" si="399"/>
        <v>0</v>
      </c>
      <c r="J350" s="51">
        <f t="shared" si="399"/>
        <v>25</v>
      </c>
      <c r="K350" s="52">
        <f t="shared" si="399"/>
        <v>0</v>
      </c>
      <c r="L350" s="52">
        <f t="shared" si="399"/>
        <v>0</v>
      </c>
      <c r="M350" s="52"/>
      <c r="N350" s="85">
        <f>SUM('AP05'!$F350:$L350)</f>
        <v>961.5406461</v>
      </c>
      <c r="O350" s="51"/>
      <c r="P350" s="51">
        <f>Q349*('AP05'!$R350-1)</f>
        <v>0</v>
      </c>
      <c r="Q350" s="51">
        <f>(Q349*'AP05'!$R350)-'AP05'!$G350</f>
        <v>19443.88438</v>
      </c>
      <c r="R350" s="53">
        <f t="shared" si="149"/>
        <v>1</v>
      </c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56">
        <f t="shared" si="2"/>
        <v>337</v>
      </c>
      <c r="B351" s="50">
        <f t="shared" si="5"/>
        <v>53499</v>
      </c>
      <c r="C351" s="116">
        <f t="shared" si="126"/>
        <v>0.0775</v>
      </c>
      <c r="D351" s="116">
        <f>((1+'AP05'!$C351)^(1/12))-1</f>
        <v>0.006239681461</v>
      </c>
      <c r="E351" s="51">
        <f t="shared" si="127"/>
        <v>2137.579999</v>
      </c>
      <c r="F351" s="51">
        <f>(Q350*'AP05'!$R351)*'AP05'!$D351</f>
        <v>121.3236449</v>
      </c>
      <c r="G351" s="51">
        <f>(Q350*'AP05'!$R351)/($I$5-A350)</f>
        <v>810.1618493</v>
      </c>
      <c r="H351" s="52">
        <f t="shared" ref="H351:L351" si="400">H350</f>
        <v>0</v>
      </c>
      <c r="I351" s="52">
        <f t="shared" si="400"/>
        <v>0</v>
      </c>
      <c r="J351" s="51">
        <f t="shared" si="400"/>
        <v>25</v>
      </c>
      <c r="K351" s="52">
        <f t="shared" si="400"/>
        <v>0</v>
      </c>
      <c r="L351" s="52">
        <f t="shared" si="400"/>
        <v>0</v>
      </c>
      <c r="M351" s="52"/>
      <c r="N351" s="85">
        <f>SUM('AP05'!$F351:$L351)</f>
        <v>956.4854942</v>
      </c>
      <c r="O351" s="51"/>
      <c r="P351" s="51">
        <f>Q350*('AP05'!$R351-1)</f>
        <v>0</v>
      </c>
      <c r="Q351" s="51">
        <f>(Q350*'AP05'!$R351)-'AP05'!$G351</f>
        <v>18633.72253</v>
      </c>
      <c r="R351" s="53">
        <f t="shared" si="149"/>
        <v>1</v>
      </c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56">
        <f t="shared" si="2"/>
        <v>338</v>
      </c>
      <c r="B352" s="50">
        <f t="shared" si="5"/>
        <v>53529</v>
      </c>
      <c r="C352" s="116">
        <f t="shared" si="126"/>
        <v>0.0775</v>
      </c>
      <c r="D352" s="116">
        <f>((1+'AP05'!$C352)^(1/12))-1</f>
        <v>0.006239681461</v>
      </c>
      <c r="E352" s="51">
        <f t="shared" si="127"/>
        <v>2137.579999</v>
      </c>
      <c r="F352" s="51">
        <f>(Q351*'AP05'!$R352)*'AP05'!$D352</f>
        <v>116.2684931</v>
      </c>
      <c r="G352" s="51">
        <f>(Q351*'AP05'!$R352)/($I$5-A351)</f>
        <v>810.1618493</v>
      </c>
      <c r="H352" s="52">
        <f t="shared" ref="H352:L352" si="401">H351</f>
        <v>0</v>
      </c>
      <c r="I352" s="52">
        <f t="shared" si="401"/>
        <v>0</v>
      </c>
      <c r="J352" s="51">
        <f t="shared" si="401"/>
        <v>25</v>
      </c>
      <c r="K352" s="52">
        <f t="shared" si="401"/>
        <v>0</v>
      </c>
      <c r="L352" s="52">
        <f t="shared" si="401"/>
        <v>0</v>
      </c>
      <c r="M352" s="52"/>
      <c r="N352" s="85">
        <f>SUM('AP05'!$F352:$L352)</f>
        <v>951.4303424</v>
      </c>
      <c r="O352" s="51"/>
      <c r="P352" s="51">
        <f>Q351*('AP05'!$R352-1)</f>
        <v>0</v>
      </c>
      <c r="Q352" s="51">
        <f>(Q351*'AP05'!$R352)-'AP05'!$G352</f>
        <v>17823.56068</v>
      </c>
      <c r="R352" s="53">
        <f t="shared" si="149"/>
        <v>1</v>
      </c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56">
        <f t="shared" si="2"/>
        <v>339</v>
      </c>
      <c r="B353" s="50">
        <f t="shared" si="5"/>
        <v>53560</v>
      </c>
      <c r="C353" s="116">
        <f t="shared" si="126"/>
        <v>0.0775</v>
      </c>
      <c r="D353" s="116">
        <f>((1+'AP05'!$C353)^(1/12))-1</f>
        <v>0.006239681461</v>
      </c>
      <c r="E353" s="51">
        <f t="shared" si="127"/>
        <v>2137.579999</v>
      </c>
      <c r="F353" s="51">
        <f>(Q352*'AP05'!$R353)*'AP05'!$D353</f>
        <v>111.2133412</v>
      </c>
      <c r="G353" s="51">
        <f>(Q352*'AP05'!$R353)/($I$5-A352)</f>
        <v>810.1618493</v>
      </c>
      <c r="H353" s="52">
        <f t="shared" ref="H353:L353" si="402">H352</f>
        <v>0</v>
      </c>
      <c r="I353" s="52">
        <f t="shared" si="402"/>
        <v>0</v>
      </c>
      <c r="J353" s="51">
        <f t="shared" si="402"/>
        <v>25</v>
      </c>
      <c r="K353" s="52">
        <f t="shared" si="402"/>
        <v>0</v>
      </c>
      <c r="L353" s="52">
        <f t="shared" si="402"/>
        <v>0</v>
      </c>
      <c r="M353" s="52"/>
      <c r="N353" s="85">
        <f>SUM('AP05'!$F353:$L353)</f>
        <v>946.3751905</v>
      </c>
      <c r="O353" s="51"/>
      <c r="P353" s="51">
        <f>Q352*('AP05'!$R353-1)</f>
        <v>0</v>
      </c>
      <c r="Q353" s="51">
        <f>(Q352*'AP05'!$R353)-'AP05'!$G353</f>
        <v>17013.39884</v>
      </c>
      <c r="R353" s="53">
        <f t="shared" si="149"/>
        <v>1</v>
      </c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56">
        <f t="shared" si="2"/>
        <v>340</v>
      </c>
      <c r="B354" s="50">
        <f t="shared" si="5"/>
        <v>53591</v>
      </c>
      <c r="C354" s="116">
        <f t="shared" si="126"/>
        <v>0.0775</v>
      </c>
      <c r="D354" s="116">
        <f>((1+'AP05'!$C354)^(1/12))-1</f>
        <v>0.006239681461</v>
      </c>
      <c r="E354" s="51">
        <f t="shared" si="127"/>
        <v>2137.579999</v>
      </c>
      <c r="F354" s="51">
        <f>(Q353*'AP05'!$R354)*'AP05'!$D354</f>
        <v>106.1581893</v>
      </c>
      <c r="G354" s="51">
        <f>(Q353*'AP05'!$R354)/($I$5-A353)</f>
        <v>810.1618493</v>
      </c>
      <c r="H354" s="52">
        <f t="shared" ref="H354:L354" si="403">H353</f>
        <v>0</v>
      </c>
      <c r="I354" s="52">
        <f t="shared" si="403"/>
        <v>0</v>
      </c>
      <c r="J354" s="51">
        <f t="shared" si="403"/>
        <v>25</v>
      </c>
      <c r="K354" s="52">
        <f t="shared" si="403"/>
        <v>0</v>
      </c>
      <c r="L354" s="52">
        <f t="shared" si="403"/>
        <v>0</v>
      </c>
      <c r="M354" s="52"/>
      <c r="N354" s="85">
        <f>SUM('AP05'!$F354:$L354)</f>
        <v>941.3200386</v>
      </c>
      <c r="O354" s="51"/>
      <c r="P354" s="51">
        <f>Q353*('AP05'!$R354-1)</f>
        <v>0</v>
      </c>
      <c r="Q354" s="51">
        <f>(Q353*'AP05'!$R354)-'AP05'!$G354</f>
        <v>16203.23699</v>
      </c>
      <c r="R354" s="53">
        <f t="shared" si="149"/>
        <v>1</v>
      </c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56">
        <f t="shared" si="2"/>
        <v>341</v>
      </c>
      <c r="B355" s="50">
        <f t="shared" si="5"/>
        <v>53621</v>
      </c>
      <c r="C355" s="116">
        <f t="shared" si="126"/>
        <v>0.0775</v>
      </c>
      <c r="D355" s="116">
        <f>((1+'AP05'!$C355)^(1/12))-1</f>
        <v>0.006239681461</v>
      </c>
      <c r="E355" s="51">
        <f t="shared" si="127"/>
        <v>2137.579999</v>
      </c>
      <c r="F355" s="51">
        <f>(Q354*'AP05'!$R355)*'AP05'!$D355</f>
        <v>101.1030374</v>
      </c>
      <c r="G355" s="51">
        <f>(Q354*'AP05'!$R355)/($I$5-A354)</f>
        <v>810.1618493</v>
      </c>
      <c r="H355" s="52">
        <f t="shared" ref="H355:L355" si="404">H354</f>
        <v>0</v>
      </c>
      <c r="I355" s="52">
        <f t="shared" si="404"/>
        <v>0</v>
      </c>
      <c r="J355" s="51">
        <f t="shared" si="404"/>
        <v>25</v>
      </c>
      <c r="K355" s="52">
        <f t="shared" si="404"/>
        <v>0</v>
      </c>
      <c r="L355" s="52">
        <f t="shared" si="404"/>
        <v>0</v>
      </c>
      <c r="M355" s="52"/>
      <c r="N355" s="85">
        <f>SUM('AP05'!$F355:$L355)</f>
        <v>936.2648867</v>
      </c>
      <c r="O355" s="51"/>
      <c r="P355" s="51">
        <f>Q354*('AP05'!$R355-1)</f>
        <v>0</v>
      </c>
      <c r="Q355" s="51">
        <f>(Q354*'AP05'!$R355)-'AP05'!$G355</f>
        <v>15393.07514</v>
      </c>
      <c r="R355" s="53">
        <f t="shared" si="149"/>
        <v>1</v>
      </c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56">
        <f t="shared" si="2"/>
        <v>342</v>
      </c>
      <c r="B356" s="50">
        <f t="shared" si="5"/>
        <v>53652</v>
      </c>
      <c r="C356" s="116">
        <f t="shared" si="126"/>
        <v>0.0775</v>
      </c>
      <c r="D356" s="116">
        <f>((1+'AP05'!$C356)^(1/12))-1</f>
        <v>0.006239681461</v>
      </c>
      <c r="E356" s="51">
        <f t="shared" si="127"/>
        <v>2137.579999</v>
      </c>
      <c r="F356" s="51">
        <f>(Q355*'AP05'!$R356)*'AP05'!$D356</f>
        <v>96.04788556</v>
      </c>
      <c r="G356" s="51">
        <f>(Q355*'AP05'!$R356)/($I$5-A355)</f>
        <v>810.1618493</v>
      </c>
      <c r="H356" s="52">
        <f t="shared" ref="H356:L356" si="405">H355</f>
        <v>0</v>
      </c>
      <c r="I356" s="52">
        <f t="shared" si="405"/>
        <v>0</v>
      </c>
      <c r="J356" s="51">
        <f t="shared" si="405"/>
        <v>25</v>
      </c>
      <c r="K356" s="52">
        <f t="shared" si="405"/>
        <v>0</v>
      </c>
      <c r="L356" s="52">
        <f t="shared" si="405"/>
        <v>0</v>
      </c>
      <c r="M356" s="52"/>
      <c r="N356" s="85">
        <f>SUM('AP05'!$F356:$L356)</f>
        <v>931.2097349</v>
      </c>
      <c r="O356" s="51"/>
      <c r="P356" s="51">
        <f>Q355*('AP05'!$R356-1)</f>
        <v>0</v>
      </c>
      <c r="Q356" s="51">
        <f>(Q355*'AP05'!$R356)-'AP05'!$G356</f>
        <v>14582.91329</v>
      </c>
      <c r="R356" s="53">
        <f t="shared" si="149"/>
        <v>1</v>
      </c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56">
        <f t="shared" si="2"/>
        <v>343</v>
      </c>
      <c r="B357" s="50">
        <f t="shared" si="5"/>
        <v>53682</v>
      </c>
      <c r="C357" s="116">
        <f t="shared" si="126"/>
        <v>0.0775</v>
      </c>
      <c r="D357" s="116">
        <f>((1+'AP05'!$C357)^(1/12))-1</f>
        <v>0.006239681461</v>
      </c>
      <c r="E357" s="51">
        <f t="shared" si="127"/>
        <v>2137.579999</v>
      </c>
      <c r="F357" s="51">
        <f>(Q356*'AP05'!$R357)*'AP05'!$D357</f>
        <v>90.99273369</v>
      </c>
      <c r="G357" s="51">
        <f>(Q356*'AP05'!$R357)/($I$5-A356)</f>
        <v>810.1618493</v>
      </c>
      <c r="H357" s="52">
        <f t="shared" ref="H357:L357" si="406">H356</f>
        <v>0</v>
      </c>
      <c r="I357" s="52">
        <f t="shared" si="406"/>
        <v>0</v>
      </c>
      <c r="J357" s="51">
        <f t="shared" si="406"/>
        <v>25</v>
      </c>
      <c r="K357" s="52">
        <f t="shared" si="406"/>
        <v>0</v>
      </c>
      <c r="L357" s="52">
        <f t="shared" si="406"/>
        <v>0</v>
      </c>
      <c r="M357" s="52"/>
      <c r="N357" s="85">
        <f>SUM('AP05'!$F357:$L357)</f>
        <v>926.154583</v>
      </c>
      <c r="O357" s="51"/>
      <c r="P357" s="51">
        <f>Q356*('AP05'!$R357-1)</f>
        <v>0</v>
      </c>
      <c r="Q357" s="51">
        <f>(Q356*'AP05'!$R357)-'AP05'!$G357</f>
        <v>13772.75144</v>
      </c>
      <c r="R357" s="53">
        <f t="shared" si="149"/>
        <v>1</v>
      </c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56">
        <f t="shared" si="2"/>
        <v>344</v>
      </c>
      <c r="B358" s="50">
        <f t="shared" si="5"/>
        <v>53713</v>
      </c>
      <c r="C358" s="116">
        <f t="shared" si="126"/>
        <v>0.0775</v>
      </c>
      <c r="D358" s="116">
        <f>((1+'AP05'!$C358)^(1/12))-1</f>
        <v>0.006239681461</v>
      </c>
      <c r="E358" s="51">
        <f t="shared" si="127"/>
        <v>2137.579999</v>
      </c>
      <c r="F358" s="51">
        <f>(Q357*'AP05'!$R358)*'AP05'!$D358</f>
        <v>85.93758182</v>
      </c>
      <c r="G358" s="51">
        <f>(Q357*'AP05'!$R358)/($I$5-A357)</f>
        <v>810.1618493</v>
      </c>
      <c r="H358" s="52">
        <f t="shared" ref="H358:L358" si="407">H357</f>
        <v>0</v>
      </c>
      <c r="I358" s="52">
        <f t="shared" si="407"/>
        <v>0</v>
      </c>
      <c r="J358" s="51">
        <f t="shared" si="407"/>
        <v>25</v>
      </c>
      <c r="K358" s="52">
        <f t="shared" si="407"/>
        <v>0</v>
      </c>
      <c r="L358" s="52">
        <f t="shared" si="407"/>
        <v>0</v>
      </c>
      <c r="M358" s="52"/>
      <c r="N358" s="85">
        <f>SUM('AP05'!$F358:$L358)</f>
        <v>921.0994311</v>
      </c>
      <c r="O358" s="51"/>
      <c r="P358" s="51">
        <f>Q357*('AP05'!$R358-1)</f>
        <v>0</v>
      </c>
      <c r="Q358" s="51">
        <f>(Q357*'AP05'!$R358)-'AP05'!$G358</f>
        <v>12962.58959</v>
      </c>
      <c r="R358" s="53">
        <f t="shared" si="149"/>
        <v>1</v>
      </c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56">
        <f t="shared" si="2"/>
        <v>345</v>
      </c>
      <c r="B359" s="50">
        <f t="shared" si="5"/>
        <v>53744</v>
      </c>
      <c r="C359" s="116">
        <f t="shared" si="126"/>
        <v>0.0775</v>
      </c>
      <c r="D359" s="116">
        <f>((1+'AP05'!$C359)^(1/12))-1</f>
        <v>0.006239681461</v>
      </c>
      <c r="E359" s="51">
        <f t="shared" si="127"/>
        <v>2137.579999</v>
      </c>
      <c r="F359" s="51">
        <f>(Q358*'AP05'!$R359)*'AP05'!$D359</f>
        <v>80.88242995</v>
      </c>
      <c r="G359" s="51">
        <f>(Q358*'AP05'!$R359)/($I$5-A358)</f>
        <v>810.1618493</v>
      </c>
      <c r="H359" s="52">
        <f t="shared" ref="H359:L359" si="408">H358</f>
        <v>0</v>
      </c>
      <c r="I359" s="52">
        <f t="shared" si="408"/>
        <v>0</v>
      </c>
      <c r="J359" s="51">
        <f t="shared" si="408"/>
        <v>25</v>
      </c>
      <c r="K359" s="52">
        <f t="shared" si="408"/>
        <v>0</v>
      </c>
      <c r="L359" s="52">
        <f t="shared" si="408"/>
        <v>0</v>
      </c>
      <c r="M359" s="52"/>
      <c r="N359" s="85">
        <f>SUM('AP05'!$F359:$L359)</f>
        <v>916.0442793</v>
      </c>
      <c r="O359" s="51"/>
      <c r="P359" s="51">
        <f>Q358*('AP05'!$R359-1)</f>
        <v>0</v>
      </c>
      <c r="Q359" s="51">
        <f>(Q358*'AP05'!$R359)-'AP05'!$G359</f>
        <v>12152.42774</v>
      </c>
      <c r="R359" s="53">
        <f t="shared" si="149"/>
        <v>1</v>
      </c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56">
        <f t="shared" si="2"/>
        <v>346</v>
      </c>
      <c r="B360" s="50">
        <f t="shared" si="5"/>
        <v>53772</v>
      </c>
      <c r="C360" s="116">
        <f t="shared" si="126"/>
        <v>0.0775</v>
      </c>
      <c r="D360" s="116">
        <f>((1+'AP05'!$C360)^(1/12))-1</f>
        <v>0.006239681461</v>
      </c>
      <c r="E360" s="51">
        <f t="shared" si="127"/>
        <v>2137.579999</v>
      </c>
      <c r="F360" s="51">
        <f>(Q359*'AP05'!$R360)*'AP05'!$D360</f>
        <v>75.82727808</v>
      </c>
      <c r="G360" s="51">
        <f>(Q359*'AP05'!$R360)/($I$5-A359)</f>
        <v>810.1618493</v>
      </c>
      <c r="H360" s="52">
        <f t="shared" ref="H360:L360" si="409">H359</f>
        <v>0</v>
      </c>
      <c r="I360" s="52">
        <f t="shared" si="409"/>
        <v>0</v>
      </c>
      <c r="J360" s="51">
        <f t="shared" si="409"/>
        <v>25</v>
      </c>
      <c r="K360" s="52">
        <f t="shared" si="409"/>
        <v>0</v>
      </c>
      <c r="L360" s="52">
        <f t="shared" si="409"/>
        <v>0</v>
      </c>
      <c r="M360" s="52"/>
      <c r="N360" s="85">
        <f>SUM('AP05'!$F360:$L360)</f>
        <v>910.9891274</v>
      </c>
      <c r="O360" s="51"/>
      <c r="P360" s="51">
        <f>Q359*('AP05'!$R360-1)</f>
        <v>0</v>
      </c>
      <c r="Q360" s="51">
        <f>(Q359*'AP05'!$R360)-'AP05'!$G360</f>
        <v>11342.26589</v>
      </c>
      <c r="R360" s="53">
        <f t="shared" si="149"/>
        <v>1</v>
      </c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56">
        <f t="shared" si="2"/>
        <v>347</v>
      </c>
      <c r="B361" s="50">
        <f t="shared" si="5"/>
        <v>53803</v>
      </c>
      <c r="C361" s="116">
        <f t="shared" si="126"/>
        <v>0.0775</v>
      </c>
      <c r="D361" s="116">
        <f>((1+'AP05'!$C361)^(1/12))-1</f>
        <v>0.006239681461</v>
      </c>
      <c r="E361" s="51">
        <f t="shared" si="127"/>
        <v>2137.579999</v>
      </c>
      <c r="F361" s="51">
        <f>(Q360*'AP05'!$R361)*'AP05'!$D361</f>
        <v>70.77212621</v>
      </c>
      <c r="G361" s="51">
        <f>(Q360*'AP05'!$R361)/($I$5-A360)</f>
        <v>810.1618493</v>
      </c>
      <c r="H361" s="52">
        <f t="shared" ref="H361:L361" si="410">H360</f>
        <v>0</v>
      </c>
      <c r="I361" s="52">
        <f t="shared" si="410"/>
        <v>0</v>
      </c>
      <c r="J361" s="51">
        <f t="shared" si="410"/>
        <v>25</v>
      </c>
      <c r="K361" s="52">
        <f t="shared" si="410"/>
        <v>0</v>
      </c>
      <c r="L361" s="52">
        <f t="shared" si="410"/>
        <v>0</v>
      </c>
      <c r="M361" s="52"/>
      <c r="N361" s="85">
        <f>SUM('AP05'!$F361:$L361)</f>
        <v>905.9339755</v>
      </c>
      <c r="O361" s="51"/>
      <c r="P361" s="51">
        <f>Q360*('AP05'!$R361-1)</f>
        <v>0</v>
      </c>
      <c r="Q361" s="51">
        <f>(Q360*'AP05'!$R361)-'AP05'!$G361</f>
        <v>10532.10404</v>
      </c>
      <c r="R361" s="53">
        <f t="shared" si="149"/>
        <v>1</v>
      </c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56">
        <f t="shared" si="2"/>
        <v>348</v>
      </c>
      <c r="B362" s="50">
        <f t="shared" si="5"/>
        <v>53833</v>
      </c>
      <c r="C362" s="116">
        <f t="shared" si="126"/>
        <v>0.0775</v>
      </c>
      <c r="D362" s="116">
        <f>((1+'AP05'!$C362)^(1/12))-1</f>
        <v>0.006239681461</v>
      </c>
      <c r="E362" s="51">
        <f t="shared" si="127"/>
        <v>2137.579999</v>
      </c>
      <c r="F362" s="51">
        <f>(Q361*'AP05'!$R362)*'AP05'!$D362</f>
        <v>65.71697433</v>
      </c>
      <c r="G362" s="51">
        <f>(Q361*'AP05'!$R362)/($I$5-A361)</f>
        <v>810.1618493</v>
      </c>
      <c r="H362" s="52">
        <f t="shared" ref="H362:L362" si="411">H361</f>
        <v>0</v>
      </c>
      <c r="I362" s="52">
        <f t="shared" si="411"/>
        <v>0</v>
      </c>
      <c r="J362" s="51">
        <f t="shared" si="411"/>
        <v>25</v>
      </c>
      <c r="K362" s="52">
        <f t="shared" si="411"/>
        <v>0</v>
      </c>
      <c r="L362" s="52">
        <f t="shared" si="411"/>
        <v>0</v>
      </c>
      <c r="M362" s="52"/>
      <c r="N362" s="85">
        <f>SUM('AP05'!$F362:$L362)</f>
        <v>900.8788236</v>
      </c>
      <c r="O362" s="51"/>
      <c r="P362" s="51">
        <f>Q361*('AP05'!$R362-1)</f>
        <v>0</v>
      </c>
      <c r="Q362" s="51">
        <f>(Q361*'AP05'!$R362)-'AP05'!$G362</f>
        <v>9721.942192</v>
      </c>
      <c r="R362" s="53">
        <f t="shared" si="149"/>
        <v>1</v>
      </c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56">
        <f t="shared" si="2"/>
        <v>349</v>
      </c>
      <c r="B363" s="50">
        <f t="shared" si="5"/>
        <v>53864</v>
      </c>
      <c r="C363" s="116">
        <f t="shared" si="126"/>
        <v>0.0775</v>
      </c>
      <c r="D363" s="116">
        <f>((1+'AP05'!$C363)^(1/12))-1</f>
        <v>0.006239681461</v>
      </c>
      <c r="E363" s="51">
        <f t="shared" si="127"/>
        <v>2137.579999</v>
      </c>
      <c r="F363" s="51">
        <f>(Q362*'AP05'!$R363)*'AP05'!$D363</f>
        <v>60.66182246</v>
      </c>
      <c r="G363" s="51">
        <f>(Q362*'AP05'!$R363)/($I$5-A362)</f>
        <v>810.1618493</v>
      </c>
      <c r="H363" s="52">
        <f t="shared" ref="H363:L363" si="412">H362</f>
        <v>0</v>
      </c>
      <c r="I363" s="52">
        <f t="shared" si="412"/>
        <v>0</v>
      </c>
      <c r="J363" s="51">
        <f t="shared" si="412"/>
        <v>25</v>
      </c>
      <c r="K363" s="52">
        <f t="shared" si="412"/>
        <v>0</v>
      </c>
      <c r="L363" s="52">
        <f t="shared" si="412"/>
        <v>0</v>
      </c>
      <c r="M363" s="52"/>
      <c r="N363" s="85">
        <f>SUM('AP05'!$F363:$L363)</f>
        <v>895.8236718</v>
      </c>
      <c r="O363" s="51"/>
      <c r="P363" s="51">
        <f>Q362*('AP05'!$R363-1)</f>
        <v>0</v>
      </c>
      <c r="Q363" s="51">
        <f>(Q362*'AP05'!$R363)-'AP05'!$G363</f>
        <v>8911.780342</v>
      </c>
      <c r="R363" s="53">
        <f t="shared" si="149"/>
        <v>1</v>
      </c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56">
        <f t="shared" si="2"/>
        <v>350</v>
      </c>
      <c r="B364" s="50">
        <f t="shared" si="5"/>
        <v>53894</v>
      </c>
      <c r="C364" s="116">
        <f t="shared" si="126"/>
        <v>0.0775</v>
      </c>
      <c r="D364" s="116">
        <f>((1+'AP05'!$C364)^(1/12))-1</f>
        <v>0.006239681461</v>
      </c>
      <c r="E364" s="51">
        <f t="shared" si="127"/>
        <v>2137.579999</v>
      </c>
      <c r="F364" s="51">
        <f>(Q363*'AP05'!$R364)*'AP05'!$D364</f>
        <v>55.60667059</v>
      </c>
      <c r="G364" s="51">
        <f>(Q363*'AP05'!$R364)/($I$5-A363)</f>
        <v>810.1618493</v>
      </c>
      <c r="H364" s="52">
        <f t="shared" ref="H364:L364" si="413">H363</f>
        <v>0</v>
      </c>
      <c r="I364" s="52">
        <f t="shared" si="413"/>
        <v>0</v>
      </c>
      <c r="J364" s="51">
        <f t="shared" si="413"/>
        <v>25</v>
      </c>
      <c r="K364" s="52">
        <f t="shared" si="413"/>
        <v>0</v>
      </c>
      <c r="L364" s="52">
        <f t="shared" si="413"/>
        <v>0</v>
      </c>
      <c r="M364" s="52"/>
      <c r="N364" s="85">
        <f>SUM('AP05'!$F364:$L364)</f>
        <v>890.7685199</v>
      </c>
      <c r="O364" s="51"/>
      <c r="P364" s="51">
        <f>Q363*('AP05'!$R364-1)</f>
        <v>0</v>
      </c>
      <c r="Q364" s="51">
        <f>(Q363*'AP05'!$R364)-'AP05'!$G364</f>
        <v>8101.618493</v>
      </c>
      <c r="R364" s="53">
        <f t="shared" si="149"/>
        <v>1</v>
      </c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56">
        <f t="shared" si="2"/>
        <v>351</v>
      </c>
      <c r="B365" s="50">
        <f t="shared" si="5"/>
        <v>53925</v>
      </c>
      <c r="C365" s="116">
        <f t="shared" si="126"/>
        <v>0.0775</v>
      </c>
      <c r="D365" s="116">
        <f>((1+'AP05'!$C365)^(1/12))-1</f>
        <v>0.006239681461</v>
      </c>
      <c r="E365" s="51">
        <f t="shared" si="127"/>
        <v>2137.579999</v>
      </c>
      <c r="F365" s="51">
        <f>(Q364*'AP05'!$R365)*'AP05'!$D365</f>
        <v>50.55151872</v>
      </c>
      <c r="G365" s="51">
        <f>(Q364*'AP05'!$R365)/($I$5-A364)</f>
        <v>810.1618493</v>
      </c>
      <c r="H365" s="52">
        <f t="shared" ref="H365:L365" si="414">H364</f>
        <v>0</v>
      </c>
      <c r="I365" s="52">
        <f t="shared" si="414"/>
        <v>0</v>
      </c>
      <c r="J365" s="51">
        <f t="shared" si="414"/>
        <v>25</v>
      </c>
      <c r="K365" s="52">
        <f t="shared" si="414"/>
        <v>0</v>
      </c>
      <c r="L365" s="52">
        <f t="shared" si="414"/>
        <v>0</v>
      </c>
      <c r="M365" s="52"/>
      <c r="N365" s="85">
        <f>SUM('AP05'!$F365:$L365)</f>
        <v>885.713368</v>
      </c>
      <c r="O365" s="51"/>
      <c r="P365" s="51">
        <f>Q364*('AP05'!$R365-1)</f>
        <v>0</v>
      </c>
      <c r="Q365" s="51">
        <f>(Q364*'AP05'!$R365)-'AP05'!$G365</f>
        <v>7291.456644</v>
      </c>
      <c r="R365" s="53">
        <f t="shared" si="149"/>
        <v>1</v>
      </c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56">
        <f t="shared" si="2"/>
        <v>352</v>
      </c>
      <c r="B366" s="50">
        <f t="shared" si="5"/>
        <v>53956</v>
      </c>
      <c r="C366" s="116">
        <f t="shared" si="126"/>
        <v>0.0775</v>
      </c>
      <c r="D366" s="116">
        <f>((1+'AP05'!$C366)^(1/12))-1</f>
        <v>0.006239681461</v>
      </c>
      <c r="E366" s="51">
        <f t="shared" si="127"/>
        <v>2137.579999</v>
      </c>
      <c r="F366" s="51">
        <f>(Q365*'AP05'!$R366)*'AP05'!$D366</f>
        <v>45.49636685</v>
      </c>
      <c r="G366" s="51">
        <f>(Q365*'AP05'!$R366)/($I$5-A365)</f>
        <v>810.1618493</v>
      </c>
      <c r="H366" s="52">
        <f t="shared" ref="H366:L366" si="415">H365</f>
        <v>0</v>
      </c>
      <c r="I366" s="52">
        <f t="shared" si="415"/>
        <v>0</v>
      </c>
      <c r="J366" s="51">
        <f t="shared" si="415"/>
        <v>25</v>
      </c>
      <c r="K366" s="52">
        <f t="shared" si="415"/>
        <v>0</v>
      </c>
      <c r="L366" s="52">
        <f t="shared" si="415"/>
        <v>0</v>
      </c>
      <c r="M366" s="52"/>
      <c r="N366" s="85">
        <f>SUM('AP05'!$F366:$L366)</f>
        <v>880.6582162</v>
      </c>
      <c r="O366" s="51"/>
      <c r="P366" s="51">
        <f>Q365*('AP05'!$R366-1)</f>
        <v>0</v>
      </c>
      <c r="Q366" s="51">
        <f>(Q365*'AP05'!$R366)-'AP05'!$G366</f>
        <v>6481.294795</v>
      </c>
      <c r="R366" s="53">
        <f t="shared" si="149"/>
        <v>1</v>
      </c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56">
        <f t="shared" si="2"/>
        <v>353</v>
      </c>
      <c r="B367" s="50">
        <f t="shared" si="5"/>
        <v>53986</v>
      </c>
      <c r="C367" s="116">
        <f t="shared" si="126"/>
        <v>0.0775</v>
      </c>
      <c r="D367" s="116">
        <f>((1+'AP05'!$C367)^(1/12))-1</f>
        <v>0.006239681461</v>
      </c>
      <c r="E367" s="51">
        <f t="shared" si="127"/>
        <v>2137.579999</v>
      </c>
      <c r="F367" s="51">
        <f>(Q366*'AP05'!$R367)*'AP05'!$D367</f>
        <v>40.44121497</v>
      </c>
      <c r="G367" s="51">
        <f>(Q366*'AP05'!$R367)/($I$5-A366)</f>
        <v>810.1618493</v>
      </c>
      <c r="H367" s="52">
        <f t="shared" ref="H367:L367" si="416">H366</f>
        <v>0</v>
      </c>
      <c r="I367" s="52">
        <f t="shared" si="416"/>
        <v>0</v>
      </c>
      <c r="J367" s="51">
        <f t="shared" si="416"/>
        <v>25</v>
      </c>
      <c r="K367" s="52">
        <f t="shared" si="416"/>
        <v>0</v>
      </c>
      <c r="L367" s="52">
        <f t="shared" si="416"/>
        <v>0</v>
      </c>
      <c r="M367" s="52"/>
      <c r="N367" s="85">
        <f>SUM('AP05'!$F367:$L367)</f>
        <v>875.6030643</v>
      </c>
      <c r="O367" s="51"/>
      <c r="P367" s="51">
        <f>Q366*('AP05'!$R367-1)</f>
        <v>0</v>
      </c>
      <c r="Q367" s="51">
        <f>(Q366*'AP05'!$R367)-'AP05'!$G367</f>
        <v>5671.132945</v>
      </c>
      <c r="R367" s="53">
        <f t="shared" si="149"/>
        <v>1</v>
      </c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56">
        <f t="shared" si="2"/>
        <v>354</v>
      </c>
      <c r="B368" s="50">
        <f t="shared" si="5"/>
        <v>54017</v>
      </c>
      <c r="C368" s="116">
        <f t="shared" si="126"/>
        <v>0.0775</v>
      </c>
      <c r="D368" s="116">
        <f>((1+'AP05'!$C368)^(1/12))-1</f>
        <v>0.006239681461</v>
      </c>
      <c r="E368" s="51">
        <f t="shared" si="127"/>
        <v>2137.579999</v>
      </c>
      <c r="F368" s="51">
        <f>(Q367*'AP05'!$R368)*'AP05'!$D368</f>
        <v>35.3860631</v>
      </c>
      <c r="G368" s="51">
        <f>(Q367*'AP05'!$R368)/($I$5-A367)</f>
        <v>810.1618493</v>
      </c>
      <c r="H368" s="52">
        <f t="shared" ref="H368:L368" si="417">H367</f>
        <v>0</v>
      </c>
      <c r="I368" s="52">
        <f t="shared" si="417"/>
        <v>0</v>
      </c>
      <c r="J368" s="51">
        <f t="shared" si="417"/>
        <v>25</v>
      </c>
      <c r="K368" s="52">
        <f t="shared" si="417"/>
        <v>0</v>
      </c>
      <c r="L368" s="52">
        <f t="shared" si="417"/>
        <v>0</v>
      </c>
      <c r="M368" s="52"/>
      <c r="N368" s="85">
        <f>SUM('AP05'!$F368:$L368)</f>
        <v>870.5479124</v>
      </c>
      <c r="O368" s="51"/>
      <c r="P368" s="51">
        <f>Q367*('AP05'!$R368-1)</f>
        <v>0</v>
      </c>
      <c r="Q368" s="51">
        <f>(Q367*'AP05'!$R368)-'AP05'!$G368</f>
        <v>4860.971096</v>
      </c>
      <c r="R368" s="53">
        <f t="shared" si="149"/>
        <v>1</v>
      </c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56">
        <f t="shared" si="2"/>
        <v>355</v>
      </c>
      <c r="B369" s="50">
        <f t="shared" si="5"/>
        <v>54047</v>
      </c>
      <c r="C369" s="116">
        <f t="shared" si="126"/>
        <v>0.0775</v>
      </c>
      <c r="D369" s="116">
        <f>((1+'AP05'!$C369)^(1/12))-1</f>
        <v>0.006239681461</v>
      </c>
      <c r="E369" s="51">
        <f t="shared" si="127"/>
        <v>2137.579999</v>
      </c>
      <c r="F369" s="51">
        <f>(Q368*'AP05'!$R369)*'AP05'!$D369</f>
        <v>30.33091123</v>
      </c>
      <c r="G369" s="51">
        <f>(Q368*'AP05'!$R369)/($I$5-A368)</f>
        <v>810.1618493</v>
      </c>
      <c r="H369" s="52">
        <f t="shared" ref="H369:L369" si="418">H368</f>
        <v>0</v>
      </c>
      <c r="I369" s="52">
        <f t="shared" si="418"/>
        <v>0</v>
      </c>
      <c r="J369" s="51">
        <f t="shared" si="418"/>
        <v>25</v>
      </c>
      <c r="K369" s="52">
        <f t="shared" si="418"/>
        <v>0</v>
      </c>
      <c r="L369" s="52">
        <f t="shared" si="418"/>
        <v>0</v>
      </c>
      <c r="M369" s="52"/>
      <c r="N369" s="85">
        <f>SUM('AP05'!$F369:$L369)</f>
        <v>865.4927605</v>
      </c>
      <c r="O369" s="51"/>
      <c r="P369" s="51">
        <f>Q368*('AP05'!$R369-1)</f>
        <v>0</v>
      </c>
      <c r="Q369" s="51">
        <f>(Q368*'AP05'!$R369)-'AP05'!$G369</f>
        <v>4050.809247</v>
      </c>
      <c r="R369" s="53">
        <f t="shared" si="149"/>
        <v>1</v>
      </c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56">
        <f t="shared" si="2"/>
        <v>356</v>
      </c>
      <c r="B370" s="50">
        <f t="shared" si="5"/>
        <v>54078</v>
      </c>
      <c r="C370" s="116">
        <f t="shared" si="126"/>
        <v>0.0775</v>
      </c>
      <c r="D370" s="116">
        <f>((1+'AP05'!$C370)^(1/12))-1</f>
        <v>0.006239681461</v>
      </c>
      <c r="E370" s="51">
        <f t="shared" si="127"/>
        <v>2137.579999</v>
      </c>
      <c r="F370" s="51">
        <f>(Q369*'AP05'!$R370)*'AP05'!$D370</f>
        <v>25.27575936</v>
      </c>
      <c r="G370" s="51">
        <f>(Q369*'AP05'!$R370)/($I$5-A369)</f>
        <v>810.1618493</v>
      </c>
      <c r="H370" s="52">
        <f t="shared" ref="H370:L370" si="419">H369</f>
        <v>0</v>
      </c>
      <c r="I370" s="52">
        <f t="shared" si="419"/>
        <v>0</v>
      </c>
      <c r="J370" s="51">
        <f t="shared" si="419"/>
        <v>25</v>
      </c>
      <c r="K370" s="52">
        <f t="shared" si="419"/>
        <v>0</v>
      </c>
      <c r="L370" s="52">
        <f t="shared" si="419"/>
        <v>0</v>
      </c>
      <c r="M370" s="52"/>
      <c r="N370" s="85">
        <f>SUM('AP05'!$F370:$L370)</f>
        <v>860.4376087</v>
      </c>
      <c r="O370" s="51"/>
      <c r="P370" s="51">
        <f>Q369*('AP05'!$R370-1)</f>
        <v>0</v>
      </c>
      <c r="Q370" s="51">
        <f>(Q369*'AP05'!$R370)-'AP05'!$G370</f>
        <v>3240.647397</v>
      </c>
      <c r="R370" s="53">
        <f t="shared" si="149"/>
        <v>1</v>
      </c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56">
        <f t="shared" si="2"/>
        <v>357</v>
      </c>
      <c r="B371" s="50">
        <f t="shared" si="5"/>
        <v>54109</v>
      </c>
      <c r="C371" s="116">
        <f t="shared" si="126"/>
        <v>0.0775</v>
      </c>
      <c r="D371" s="116">
        <f>((1+'AP05'!$C371)^(1/12))-1</f>
        <v>0.006239681461</v>
      </c>
      <c r="E371" s="51">
        <f t="shared" si="127"/>
        <v>2137.579999</v>
      </c>
      <c r="F371" s="51">
        <f>(Q370*'AP05'!$R371)*'AP05'!$D371</f>
        <v>20.22060749</v>
      </c>
      <c r="G371" s="51">
        <f>(Q370*'AP05'!$R371)/($I$5-A370)</f>
        <v>810.1618493</v>
      </c>
      <c r="H371" s="52">
        <f t="shared" ref="H371:L371" si="420">H370</f>
        <v>0</v>
      </c>
      <c r="I371" s="52">
        <f t="shared" si="420"/>
        <v>0</v>
      </c>
      <c r="J371" s="51">
        <f t="shared" si="420"/>
        <v>25</v>
      </c>
      <c r="K371" s="52">
        <f t="shared" si="420"/>
        <v>0</v>
      </c>
      <c r="L371" s="52">
        <f t="shared" si="420"/>
        <v>0</v>
      </c>
      <c r="M371" s="52"/>
      <c r="N371" s="85">
        <f>SUM('AP05'!$F371:$L371)</f>
        <v>855.3824568</v>
      </c>
      <c r="O371" s="51"/>
      <c r="P371" s="51">
        <f>Q370*('AP05'!$R371-1)</f>
        <v>0</v>
      </c>
      <c r="Q371" s="51">
        <f>(Q370*'AP05'!$R371)-'AP05'!$G371</f>
        <v>2430.485548</v>
      </c>
      <c r="R371" s="53">
        <f t="shared" si="149"/>
        <v>1</v>
      </c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56">
        <f t="shared" si="2"/>
        <v>358</v>
      </c>
      <c r="B372" s="50">
        <f t="shared" si="5"/>
        <v>54138</v>
      </c>
      <c r="C372" s="116">
        <f t="shared" si="126"/>
        <v>0.0775</v>
      </c>
      <c r="D372" s="116">
        <f>((1+'AP05'!$C372)^(1/12))-1</f>
        <v>0.006239681461</v>
      </c>
      <c r="E372" s="51">
        <f t="shared" si="127"/>
        <v>2137.579999</v>
      </c>
      <c r="F372" s="51">
        <f>(Q371*'AP05'!$R372)*'AP05'!$D372</f>
        <v>15.16545562</v>
      </c>
      <c r="G372" s="51">
        <f>(Q371*'AP05'!$R372)/($I$5-A371)</f>
        <v>810.1618493</v>
      </c>
      <c r="H372" s="52">
        <f t="shared" ref="H372:L372" si="421">H371</f>
        <v>0</v>
      </c>
      <c r="I372" s="52">
        <f t="shared" si="421"/>
        <v>0</v>
      </c>
      <c r="J372" s="51">
        <f t="shared" si="421"/>
        <v>25</v>
      </c>
      <c r="K372" s="52">
        <f t="shared" si="421"/>
        <v>0</v>
      </c>
      <c r="L372" s="52">
        <f t="shared" si="421"/>
        <v>0</v>
      </c>
      <c r="M372" s="52"/>
      <c r="N372" s="85">
        <f>SUM('AP05'!$F372:$L372)</f>
        <v>850.3273049</v>
      </c>
      <c r="O372" s="51"/>
      <c r="P372" s="51">
        <f>Q371*('AP05'!$R372-1)</f>
        <v>0</v>
      </c>
      <c r="Q372" s="51">
        <f>(Q371*'AP05'!$R372)-'AP05'!$G372</f>
        <v>1620.323699</v>
      </c>
      <c r="R372" s="53">
        <f t="shared" si="149"/>
        <v>1</v>
      </c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56">
        <f t="shared" si="2"/>
        <v>359</v>
      </c>
      <c r="B373" s="50">
        <f t="shared" si="5"/>
        <v>54169</v>
      </c>
      <c r="C373" s="116">
        <f t="shared" si="126"/>
        <v>0.0775</v>
      </c>
      <c r="D373" s="116">
        <f>((1+'AP05'!$C373)^(1/12))-1</f>
        <v>0.006239681461</v>
      </c>
      <c r="E373" s="51">
        <f t="shared" si="127"/>
        <v>2137.579999</v>
      </c>
      <c r="F373" s="51">
        <f>(Q372*'AP05'!$R373)*'AP05'!$D373</f>
        <v>10.11030374</v>
      </c>
      <c r="G373" s="51">
        <f>(Q372*'AP05'!$R373)/($I$5-A372)</f>
        <v>810.1618493</v>
      </c>
      <c r="H373" s="52">
        <f t="shared" ref="H373:L373" si="422">H372</f>
        <v>0</v>
      </c>
      <c r="I373" s="52">
        <f t="shared" si="422"/>
        <v>0</v>
      </c>
      <c r="J373" s="51">
        <f t="shared" si="422"/>
        <v>25</v>
      </c>
      <c r="K373" s="52">
        <f t="shared" si="422"/>
        <v>0</v>
      </c>
      <c r="L373" s="52">
        <f t="shared" si="422"/>
        <v>0</v>
      </c>
      <c r="M373" s="52"/>
      <c r="N373" s="85">
        <f>SUM('AP05'!$F373:$L373)</f>
        <v>845.2721531</v>
      </c>
      <c r="O373" s="51"/>
      <c r="P373" s="51">
        <f>Q372*('AP05'!$R373-1)</f>
        <v>0</v>
      </c>
      <c r="Q373" s="51">
        <f>(Q372*'AP05'!$R373)-'AP05'!$G373</f>
        <v>810.1618493</v>
      </c>
      <c r="R373" s="53">
        <f t="shared" si="149"/>
        <v>1</v>
      </c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56">
        <f t="shared" si="2"/>
        <v>360</v>
      </c>
      <c r="B374" s="50">
        <f t="shared" si="5"/>
        <v>54199</v>
      </c>
      <c r="C374" s="116">
        <f t="shared" si="126"/>
        <v>0.0775</v>
      </c>
      <c r="D374" s="116">
        <f>((1+'AP05'!$C374)^(1/12))-1</f>
        <v>0.006239681461</v>
      </c>
      <c r="E374" s="51">
        <f t="shared" si="127"/>
        <v>2137.579999</v>
      </c>
      <c r="F374" s="51">
        <f>(Q373*'AP05'!$R374)*'AP05'!$D374</f>
        <v>5.055151872</v>
      </c>
      <c r="G374" s="51">
        <f>(Q373*'AP05'!$R374)/($I$5-A373)</f>
        <v>810.1618493</v>
      </c>
      <c r="H374" s="52">
        <f t="shared" ref="H374:L374" si="423">H373</f>
        <v>0</v>
      </c>
      <c r="I374" s="52">
        <f t="shared" si="423"/>
        <v>0</v>
      </c>
      <c r="J374" s="51">
        <f t="shared" si="423"/>
        <v>25</v>
      </c>
      <c r="K374" s="52">
        <f t="shared" si="423"/>
        <v>0</v>
      </c>
      <c r="L374" s="52">
        <f t="shared" si="423"/>
        <v>0</v>
      </c>
      <c r="M374" s="52"/>
      <c r="N374" s="85">
        <f>SUM('AP05'!$F374:$L374)</f>
        <v>840.2170012</v>
      </c>
      <c r="O374" s="51"/>
      <c r="P374" s="51">
        <f>Q373*('AP05'!$R374-1)</f>
        <v>0</v>
      </c>
      <c r="Q374" s="85">
        <f>(Q373*'AP05'!$R374)-'AP05'!$G374</f>
        <v>0</v>
      </c>
      <c r="R374" s="53">
        <f t="shared" si="149"/>
        <v>1</v>
      </c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7.75" customHeight="1">
      <c r="A376" s="86" t="s">
        <v>83</v>
      </c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8"/>
      <c r="S376" s="4"/>
      <c r="T376" s="4"/>
      <c r="U376" s="4"/>
      <c r="V376" s="4"/>
      <c r="W376" s="4"/>
      <c r="X376" s="4"/>
      <c r="Y376" s="4"/>
      <c r="Z376" s="4"/>
    </row>
    <row r="377" ht="27.75" customHeight="1">
      <c r="A377" s="89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1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R1"/>
    <mergeCell ref="A376:R377"/>
  </mergeCells>
  <printOptions horizontalCentered="1"/>
  <pageMargins bottom="1.020625" footer="0.0" header="0.0" left="0.5118110236220472" right="0.5118110236220472" top="0.9448818897637796"/>
  <pageSetup paperSize="9" scale="71" orientation="landscape"/>
  <headerFooter>
    <oddHeader/>
    <oddFooter>&amp;RPágina &amp;P</oddFooter>
  </headerFoo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17.43"/>
    <col customWidth="1" min="4" max="4" width="10.71"/>
    <col customWidth="1" min="5" max="5" width="10.14"/>
    <col customWidth="1" min="6" max="8" width="10.71"/>
    <col customWidth="1" min="9" max="14" width="9.14"/>
    <col customWidth="1" min="15" max="26" width="8.71"/>
  </cols>
  <sheetData>
    <row r="1" ht="6.75" customHeight="1">
      <c r="A1" s="140"/>
      <c r="B1" s="140"/>
      <c r="C1" s="141"/>
      <c r="D1" s="140"/>
      <c r="E1" s="140"/>
      <c r="F1" s="140"/>
      <c r="G1" s="140"/>
      <c r="H1" s="142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16.5" customHeight="1">
      <c r="A2" s="143" t="s">
        <v>84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0" customHeight="1">
      <c r="A3" s="145"/>
      <c r="B3" s="145"/>
      <c r="C3" s="146"/>
      <c r="D3" s="145"/>
      <c r="E3" s="145"/>
      <c r="F3" s="145"/>
      <c r="G3" s="145"/>
      <c r="H3" s="147" t="s">
        <v>85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11.25" customHeight="1">
      <c r="A4" s="148"/>
      <c r="B4" s="148"/>
      <c r="C4" s="149"/>
      <c r="D4" s="150"/>
      <c r="E4" s="151"/>
      <c r="F4" s="151" t="s">
        <v>86</v>
      </c>
      <c r="G4" s="151"/>
      <c r="H4" s="152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11.25" customHeight="1">
      <c r="A5" s="154" t="s">
        <v>87</v>
      </c>
      <c r="B5" s="155" t="s">
        <v>88</v>
      </c>
      <c r="C5" s="156" t="s">
        <v>89</v>
      </c>
      <c r="D5" s="157" t="s">
        <v>90</v>
      </c>
      <c r="E5" s="90"/>
      <c r="F5" s="90"/>
      <c r="G5" s="90"/>
      <c r="H5" s="90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13.5" customHeight="1">
      <c r="A6" s="154"/>
      <c r="B6" s="155"/>
      <c r="C6" s="158" t="s">
        <v>91</v>
      </c>
      <c r="D6" s="159" t="s">
        <v>92</v>
      </c>
      <c r="E6" s="159">
        <v>3.0</v>
      </c>
      <c r="F6" s="159">
        <v>6.0</v>
      </c>
      <c r="G6" s="159" t="s">
        <v>92</v>
      </c>
      <c r="H6" s="160">
        <v>12.0</v>
      </c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14.25" customHeight="1">
      <c r="A7" s="161"/>
      <c r="B7" s="161"/>
      <c r="C7" s="162"/>
      <c r="D7" s="163" t="s">
        <v>88</v>
      </c>
      <c r="E7" s="164" t="s">
        <v>93</v>
      </c>
      <c r="F7" s="164" t="s">
        <v>93</v>
      </c>
      <c r="G7" s="164" t="s">
        <v>87</v>
      </c>
      <c r="H7" s="165" t="s">
        <v>93</v>
      </c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6.75" customHeight="1">
      <c r="A8" s="166"/>
      <c r="B8" s="166"/>
      <c r="C8" s="167"/>
      <c r="D8" s="168"/>
      <c r="E8" s="169"/>
      <c r="F8" s="169"/>
      <c r="G8" s="169"/>
      <c r="H8" s="17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1.25" customHeight="1">
      <c r="A9" s="168">
        <v>1994.0</v>
      </c>
      <c r="B9" s="171" t="s">
        <v>94</v>
      </c>
      <c r="C9" s="172">
        <v>141.32</v>
      </c>
      <c r="D9" s="172">
        <v>41.32</v>
      </c>
      <c r="E9" s="172">
        <v>164.71</v>
      </c>
      <c r="F9" s="172">
        <v>542.07</v>
      </c>
      <c r="G9" s="172">
        <v>41.32</v>
      </c>
      <c r="H9" s="173">
        <v>2741.45</v>
      </c>
      <c r="I9" s="140"/>
      <c r="J9" s="140" t="str">
        <f t="shared" ref="J9:J12" si="1">IF(B9=$B$13,D9,"")</f>
        <v/>
      </c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1.25" customHeight="1">
      <c r="A10" s="140"/>
      <c r="B10" s="171" t="s">
        <v>95</v>
      </c>
      <c r="C10" s="172">
        <v>198.65</v>
      </c>
      <c r="D10" s="172">
        <v>40.57</v>
      </c>
      <c r="E10" s="172">
        <v>173.6</v>
      </c>
      <c r="F10" s="172">
        <v>576.87</v>
      </c>
      <c r="G10" s="172">
        <v>98.65</v>
      </c>
      <c r="H10" s="173">
        <v>3100.7</v>
      </c>
      <c r="I10" s="140"/>
      <c r="J10" s="140" t="str">
        <f t="shared" si="1"/>
        <v/>
      </c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1.25" customHeight="1">
      <c r="A11" s="140"/>
      <c r="B11" s="171" t="s">
        <v>96</v>
      </c>
      <c r="C11" s="172">
        <v>284.23</v>
      </c>
      <c r="D11" s="172">
        <v>43.08</v>
      </c>
      <c r="E11" s="172">
        <v>184.23</v>
      </c>
      <c r="F11" s="172">
        <v>614.05</v>
      </c>
      <c r="G11" s="172">
        <v>184.23</v>
      </c>
      <c r="H11" s="173">
        <v>3489.58</v>
      </c>
      <c r="I11" s="140"/>
      <c r="J11" s="140" t="str">
        <f t="shared" si="1"/>
        <v/>
      </c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1.25" customHeight="1">
      <c r="A12" s="140"/>
      <c r="B12" s="171" t="s">
        <v>97</v>
      </c>
      <c r="C12" s="172">
        <v>406.05</v>
      </c>
      <c r="D12" s="172">
        <v>42.86</v>
      </c>
      <c r="E12" s="172">
        <v>187.33</v>
      </c>
      <c r="F12" s="172">
        <v>660.58</v>
      </c>
      <c r="G12" s="172">
        <v>306.05</v>
      </c>
      <c r="H12" s="173">
        <v>3894.75</v>
      </c>
      <c r="I12" s="140"/>
      <c r="J12" s="140" t="str">
        <f t="shared" si="1"/>
        <v/>
      </c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11.25" customHeight="1">
      <c r="A13" s="140"/>
      <c r="B13" s="171" t="s">
        <v>98</v>
      </c>
      <c r="C13" s="172">
        <v>579.56</v>
      </c>
      <c r="D13" s="172">
        <v>42.73</v>
      </c>
      <c r="E13" s="172">
        <v>191.75</v>
      </c>
      <c r="F13" s="172">
        <v>698.23</v>
      </c>
      <c r="G13" s="172">
        <v>479.56</v>
      </c>
      <c r="H13" s="173">
        <v>4397.36</v>
      </c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1.25" customHeight="1">
      <c r="A14" s="140"/>
      <c r="B14" s="171" t="s">
        <v>99</v>
      </c>
      <c r="C14" s="172">
        <v>859.14</v>
      </c>
      <c r="D14" s="172">
        <v>48.24</v>
      </c>
      <c r="E14" s="172">
        <v>202.27</v>
      </c>
      <c r="F14" s="172">
        <v>759.14</v>
      </c>
      <c r="G14" s="172">
        <v>759.14</v>
      </c>
      <c r="H14" s="173">
        <v>5013.82</v>
      </c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1.25" customHeight="1">
      <c r="A15" s="140"/>
      <c r="B15" s="171" t="s">
        <v>100</v>
      </c>
      <c r="C15" s="172">
        <v>925.72</v>
      </c>
      <c r="D15" s="172">
        <v>7.75</v>
      </c>
      <c r="E15" s="172">
        <v>127.98</v>
      </c>
      <c r="F15" s="172">
        <v>555.05</v>
      </c>
      <c r="G15" s="172">
        <v>825.72</v>
      </c>
      <c r="H15" s="173">
        <v>4105.88</v>
      </c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1.25" customHeight="1">
      <c r="A16" s="140"/>
      <c r="B16" s="171" t="s">
        <v>101</v>
      </c>
      <c r="C16" s="172">
        <v>942.85</v>
      </c>
      <c r="D16" s="172">
        <v>1.85</v>
      </c>
      <c r="E16" s="172">
        <v>62.68</v>
      </c>
      <c r="F16" s="172">
        <v>374.63</v>
      </c>
      <c r="G16" s="172">
        <v>842.85</v>
      </c>
      <c r="H16" s="173">
        <v>3112.62</v>
      </c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1.25" customHeight="1">
      <c r="A17" s="140"/>
      <c r="B17" s="171" t="s">
        <v>102</v>
      </c>
      <c r="C17" s="172">
        <v>956.05</v>
      </c>
      <c r="D17" s="172">
        <v>1.4</v>
      </c>
      <c r="E17" s="172">
        <v>11.28</v>
      </c>
      <c r="F17" s="172">
        <v>236.36</v>
      </c>
      <c r="G17" s="172">
        <v>856.05</v>
      </c>
      <c r="H17" s="173">
        <v>2301.83</v>
      </c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1.25" customHeight="1">
      <c r="A18" s="140"/>
      <c r="B18" s="171" t="s">
        <v>103</v>
      </c>
      <c r="C18" s="172">
        <v>983.01</v>
      </c>
      <c r="D18" s="172">
        <v>2.82</v>
      </c>
      <c r="E18" s="172">
        <v>6.19</v>
      </c>
      <c r="F18" s="172">
        <v>142.09</v>
      </c>
      <c r="G18" s="172">
        <v>883.01</v>
      </c>
      <c r="H18" s="173">
        <v>1741.3</v>
      </c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1.25" customHeight="1">
      <c r="A19" s="140"/>
      <c r="B19" s="171" t="s">
        <v>104</v>
      </c>
      <c r="C19" s="172">
        <v>1012.11</v>
      </c>
      <c r="D19" s="172">
        <v>2.96</v>
      </c>
      <c r="E19" s="172">
        <v>7.35</v>
      </c>
      <c r="F19" s="172">
        <v>74.63</v>
      </c>
      <c r="G19" s="172">
        <v>912.11</v>
      </c>
      <c r="H19" s="173">
        <v>1293.98</v>
      </c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1.25" customHeight="1">
      <c r="A20" s="174"/>
      <c r="B20" s="171" t="s">
        <v>105</v>
      </c>
      <c r="C20" s="172">
        <v>1029.32</v>
      </c>
      <c r="D20" s="172">
        <v>1.7</v>
      </c>
      <c r="E20" s="172">
        <v>7.66</v>
      </c>
      <c r="F20" s="172">
        <v>19.81</v>
      </c>
      <c r="G20" s="172">
        <v>929.32</v>
      </c>
      <c r="H20" s="173">
        <v>929.32</v>
      </c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6.75" customHeight="1">
      <c r="A21" s="166"/>
      <c r="B21" s="166"/>
      <c r="C21" s="175"/>
      <c r="D21" s="176"/>
      <c r="E21" s="177"/>
      <c r="F21" s="177"/>
      <c r="G21" s="177"/>
      <c r="H21" s="178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1.25" customHeight="1">
      <c r="A22" s="168">
        <v>1995.0</v>
      </c>
      <c r="B22" s="171" t="s">
        <v>94</v>
      </c>
      <c r="C22" s="172">
        <v>1044.14</v>
      </c>
      <c r="D22" s="172">
        <v>1.44</v>
      </c>
      <c r="E22" s="172">
        <v>6.22</v>
      </c>
      <c r="F22" s="172">
        <v>12.79</v>
      </c>
      <c r="G22" s="172">
        <v>1.44</v>
      </c>
      <c r="H22" s="173">
        <v>638.85</v>
      </c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1.25" customHeight="1">
      <c r="A23" s="140"/>
      <c r="B23" s="171" t="s">
        <v>95</v>
      </c>
      <c r="C23" s="172">
        <v>1054.69</v>
      </c>
      <c r="D23" s="172">
        <v>1.01</v>
      </c>
      <c r="E23" s="172">
        <v>4.21</v>
      </c>
      <c r="F23" s="172">
        <v>11.86</v>
      </c>
      <c r="G23" s="172">
        <v>2.46</v>
      </c>
      <c r="H23" s="173">
        <v>430.93</v>
      </c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1.25" customHeight="1">
      <c r="A24" s="140"/>
      <c r="B24" s="171" t="s">
        <v>96</v>
      </c>
      <c r="C24" s="172">
        <v>1071.78</v>
      </c>
      <c r="D24" s="172">
        <v>1.62</v>
      </c>
      <c r="E24" s="172">
        <v>4.13</v>
      </c>
      <c r="F24" s="172">
        <v>12.11</v>
      </c>
      <c r="G24" s="172">
        <v>4.13</v>
      </c>
      <c r="H24" s="173">
        <v>277.08</v>
      </c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1.25" customHeight="1">
      <c r="A25" s="140"/>
      <c r="B25" s="171" t="s">
        <v>97</v>
      </c>
      <c r="C25" s="172">
        <v>1098.47</v>
      </c>
      <c r="D25" s="172">
        <v>2.49</v>
      </c>
      <c r="E25" s="172">
        <v>5.2</v>
      </c>
      <c r="F25" s="172">
        <v>11.75</v>
      </c>
      <c r="G25" s="172">
        <v>6.72</v>
      </c>
      <c r="H25" s="173">
        <v>170.53</v>
      </c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1.25" customHeight="1">
      <c r="A26" s="140"/>
      <c r="B26" s="171" t="s">
        <v>98</v>
      </c>
      <c r="C26" s="172">
        <v>1121.54</v>
      </c>
      <c r="D26" s="172">
        <v>2.1</v>
      </c>
      <c r="E26" s="172">
        <v>6.34</v>
      </c>
      <c r="F26" s="172">
        <v>10.81</v>
      </c>
      <c r="G26" s="172">
        <v>8.96</v>
      </c>
      <c r="H26" s="173">
        <v>93.52</v>
      </c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1.25" customHeight="1">
      <c r="A27" s="140"/>
      <c r="B27" s="171" t="s">
        <v>99</v>
      </c>
      <c r="C27" s="172">
        <v>1145.99</v>
      </c>
      <c r="D27" s="172">
        <v>2.18</v>
      </c>
      <c r="E27" s="172">
        <v>6.92</v>
      </c>
      <c r="F27" s="172">
        <v>11.33</v>
      </c>
      <c r="G27" s="172">
        <v>11.33</v>
      </c>
      <c r="H27" s="173">
        <v>33.39</v>
      </c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1.25" customHeight="1">
      <c r="A28" s="140"/>
      <c r="B28" s="171" t="s">
        <v>100</v>
      </c>
      <c r="C28" s="172">
        <v>1174.18</v>
      </c>
      <c r="D28" s="172">
        <v>2.46</v>
      </c>
      <c r="E28" s="172">
        <v>6.89</v>
      </c>
      <c r="F28" s="172">
        <v>12.45</v>
      </c>
      <c r="G28" s="172">
        <v>14.07</v>
      </c>
      <c r="H28" s="173">
        <v>26.84</v>
      </c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1.25" customHeight="1">
      <c r="A29" s="140"/>
      <c r="B29" s="171" t="s">
        <v>101</v>
      </c>
      <c r="C29" s="172">
        <v>1186.16</v>
      </c>
      <c r="D29" s="172">
        <v>1.02</v>
      </c>
      <c r="E29" s="172">
        <v>5.76</v>
      </c>
      <c r="F29" s="172">
        <v>12.47</v>
      </c>
      <c r="G29" s="172">
        <v>15.24</v>
      </c>
      <c r="H29" s="173">
        <v>25.81</v>
      </c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1.25" customHeight="1">
      <c r="A30" s="140"/>
      <c r="B30" s="171" t="s">
        <v>102</v>
      </c>
      <c r="C30" s="172">
        <v>1200.04</v>
      </c>
      <c r="D30" s="172">
        <v>1.17</v>
      </c>
      <c r="E30" s="172">
        <v>4.72</v>
      </c>
      <c r="F30" s="172">
        <v>11.97</v>
      </c>
      <c r="G30" s="172">
        <v>16.59</v>
      </c>
      <c r="H30" s="173">
        <v>25.52</v>
      </c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1.25" customHeight="1">
      <c r="A31" s="140"/>
      <c r="B31" s="171" t="s">
        <v>103</v>
      </c>
      <c r="C31" s="172">
        <v>1216.84</v>
      </c>
      <c r="D31" s="172">
        <v>1.4</v>
      </c>
      <c r="E31" s="172">
        <v>3.63</v>
      </c>
      <c r="F31" s="172">
        <v>10.78</v>
      </c>
      <c r="G31" s="172">
        <v>18.22</v>
      </c>
      <c r="H31" s="173">
        <v>23.79</v>
      </c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1.25" customHeight="1">
      <c r="A32" s="140"/>
      <c r="B32" s="171" t="s">
        <v>104</v>
      </c>
      <c r="C32" s="172">
        <v>1235.21</v>
      </c>
      <c r="D32" s="172">
        <v>1.51</v>
      </c>
      <c r="E32" s="172">
        <v>4.14</v>
      </c>
      <c r="F32" s="172">
        <v>10.14</v>
      </c>
      <c r="G32" s="172">
        <v>20.0</v>
      </c>
      <c r="H32" s="173">
        <v>22.04</v>
      </c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1.25" customHeight="1">
      <c r="A33" s="174"/>
      <c r="B33" s="179" t="s">
        <v>105</v>
      </c>
      <c r="C33" s="180">
        <v>1255.59</v>
      </c>
      <c r="D33" s="180">
        <v>1.65</v>
      </c>
      <c r="E33" s="180">
        <v>4.63</v>
      </c>
      <c r="F33" s="180">
        <v>9.56</v>
      </c>
      <c r="G33" s="180">
        <v>21.98</v>
      </c>
      <c r="H33" s="181">
        <v>21.98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6.75" customHeight="1">
      <c r="A34" s="166"/>
      <c r="B34" s="166"/>
      <c r="C34" s="175"/>
      <c r="D34" s="182"/>
      <c r="E34" s="177"/>
      <c r="F34" s="177"/>
      <c r="G34" s="177"/>
      <c r="H34" s="178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1.25" customHeight="1">
      <c r="A35" s="168">
        <v>1996.0</v>
      </c>
      <c r="B35" s="171" t="s">
        <v>94</v>
      </c>
      <c r="C35" s="172">
        <v>1273.92</v>
      </c>
      <c r="D35" s="172">
        <v>1.46</v>
      </c>
      <c r="E35" s="172">
        <v>4.69</v>
      </c>
      <c r="F35" s="183">
        <v>8.49</v>
      </c>
      <c r="G35" s="183">
        <v>1.46</v>
      </c>
      <c r="H35" s="173">
        <v>22.01</v>
      </c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1.25" customHeight="1">
      <c r="A36" s="140"/>
      <c r="B36" s="171" t="s">
        <v>95</v>
      </c>
      <c r="C36" s="172">
        <v>1282.96</v>
      </c>
      <c r="D36" s="172">
        <v>0.71</v>
      </c>
      <c r="E36" s="172">
        <v>3.87</v>
      </c>
      <c r="F36" s="183">
        <v>8.16</v>
      </c>
      <c r="G36" s="183">
        <v>2.18</v>
      </c>
      <c r="H36" s="173">
        <v>21.64</v>
      </c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1.25" customHeight="1">
      <c r="A37" s="140"/>
      <c r="B37" s="171" t="s">
        <v>96</v>
      </c>
      <c r="C37" s="172">
        <v>1286.68</v>
      </c>
      <c r="D37" s="172">
        <v>0.29</v>
      </c>
      <c r="E37" s="172">
        <v>2.48</v>
      </c>
      <c r="F37" s="183">
        <v>7.22</v>
      </c>
      <c r="G37" s="183">
        <v>2.48</v>
      </c>
      <c r="H37" s="173">
        <v>20.05</v>
      </c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1.25" customHeight="1">
      <c r="A38" s="140"/>
      <c r="B38" s="171" t="s">
        <v>97</v>
      </c>
      <c r="C38" s="172">
        <v>1298.65</v>
      </c>
      <c r="D38" s="172">
        <v>0.93</v>
      </c>
      <c r="E38" s="172">
        <v>1.94</v>
      </c>
      <c r="F38" s="183">
        <v>6.72</v>
      </c>
      <c r="G38" s="183">
        <v>3.43</v>
      </c>
      <c r="H38" s="173">
        <v>18.22</v>
      </c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1.25" customHeight="1">
      <c r="A39" s="140"/>
      <c r="B39" s="171" t="s">
        <v>98</v>
      </c>
      <c r="C39" s="172">
        <v>1315.27</v>
      </c>
      <c r="D39" s="172">
        <v>1.28</v>
      </c>
      <c r="E39" s="172">
        <v>2.52</v>
      </c>
      <c r="F39" s="172">
        <v>6.48</v>
      </c>
      <c r="G39" s="172">
        <v>4.75</v>
      </c>
      <c r="H39" s="173">
        <v>17.27</v>
      </c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1.25" customHeight="1">
      <c r="A40" s="140"/>
      <c r="B40" s="171" t="s">
        <v>99</v>
      </c>
      <c r="C40" s="172">
        <v>1332.76</v>
      </c>
      <c r="D40" s="172">
        <v>1.33</v>
      </c>
      <c r="E40" s="172">
        <v>3.58</v>
      </c>
      <c r="F40" s="172">
        <v>6.15</v>
      </c>
      <c r="G40" s="172">
        <v>6.15</v>
      </c>
      <c r="H40" s="173">
        <v>16.3</v>
      </c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1.25" customHeight="1">
      <c r="A41" s="140"/>
      <c r="B41" s="171" t="s">
        <v>100</v>
      </c>
      <c r="C41" s="172">
        <v>1348.75</v>
      </c>
      <c r="D41" s="172">
        <v>1.2</v>
      </c>
      <c r="E41" s="172">
        <v>3.86</v>
      </c>
      <c r="F41" s="172">
        <v>5.87</v>
      </c>
      <c r="G41" s="172">
        <v>7.42</v>
      </c>
      <c r="H41" s="173">
        <v>14.87</v>
      </c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1.25" customHeight="1">
      <c r="A42" s="140"/>
      <c r="B42" s="171" t="s">
        <v>101</v>
      </c>
      <c r="C42" s="172">
        <v>1355.49</v>
      </c>
      <c r="D42" s="172">
        <v>0.5</v>
      </c>
      <c r="E42" s="172">
        <v>3.06</v>
      </c>
      <c r="F42" s="172">
        <v>5.65</v>
      </c>
      <c r="G42" s="172">
        <v>7.96</v>
      </c>
      <c r="H42" s="173">
        <v>14.28</v>
      </c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1.25" customHeight="1">
      <c r="A43" s="140"/>
      <c r="B43" s="171" t="s">
        <v>102</v>
      </c>
      <c r="C43" s="172">
        <v>1355.76</v>
      </c>
      <c r="D43" s="172">
        <v>0.02</v>
      </c>
      <c r="E43" s="172">
        <v>1.73</v>
      </c>
      <c r="F43" s="172">
        <v>5.37</v>
      </c>
      <c r="G43" s="172">
        <v>7.98</v>
      </c>
      <c r="H43" s="173">
        <v>12.98</v>
      </c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1.25" customHeight="1">
      <c r="A44" s="140"/>
      <c r="B44" s="171" t="s">
        <v>103</v>
      </c>
      <c r="C44" s="172">
        <v>1360.91</v>
      </c>
      <c r="D44" s="172">
        <v>0.38</v>
      </c>
      <c r="E44" s="172">
        <v>0.9</v>
      </c>
      <c r="F44" s="172">
        <v>4.79</v>
      </c>
      <c r="G44" s="172">
        <v>8.39</v>
      </c>
      <c r="H44" s="173">
        <v>11.84</v>
      </c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1.25" customHeight="1">
      <c r="A45" s="140"/>
      <c r="B45" s="171" t="s">
        <v>104</v>
      </c>
      <c r="C45" s="172">
        <v>1365.54</v>
      </c>
      <c r="D45" s="172">
        <v>0.34</v>
      </c>
      <c r="E45" s="172">
        <v>0.74</v>
      </c>
      <c r="F45" s="183">
        <v>3.82</v>
      </c>
      <c r="G45" s="183">
        <v>8.76</v>
      </c>
      <c r="H45" s="173">
        <v>10.55</v>
      </c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1.25" customHeight="1">
      <c r="A46" s="174"/>
      <c r="B46" s="179" t="s">
        <v>105</v>
      </c>
      <c r="C46" s="180">
        <v>1370.05</v>
      </c>
      <c r="D46" s="180">
        <v>0.33</v>
      </c>
      <c r="E46" s="180">
        <v>1.05</v>
      </c>
      <c r="F46" s="180">
        <v>2.8</v>
      </c>
      <c r="G46" s="180">
        <v>9.12</v>
      </c>
      <c r="H46" s="181">
        <v>9.12</v>
      </c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6.75" customHeight="1">
      <c r="A47" s="166"/>
      <c r="B47" s="166"/>
      <c r="C47" s="175"/>
      <c r="D47" s="182"/>
      <c r="E47" s="177"/>
      <c r="F47" s="177"/>
      <c r="G47" s="177"/>
      <c r="H47" s="178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1.25" customHeight="1">
      <c r="A48" s="168">
        <v>1997.0</v>
      </c>
      <c r="B48" s="171" t="s">
        <v>94</v>
      </c>
      <c r="C48" s="172">
        <v>1381.15</v>
      </c>
      <c r="D48" s="172">
        <v>0.81</v>
      </c>
      <c r="E48" s="172">
        <v>1.49</v>
      </c>
      <c r="F48" s="172">
        <v>2.4</v>
      </c>
      <c r="G48" s="172">
        <v>0.81</v>
      </c>
      <c r="H48" s="173">
        <v>8.42</v>
      </c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1.25" customHeight="1">
      <c r="A49" s="140"/>
      <c r="B49" s="171" t="s">
        <v>95</v>
      </c>
      <c r="C49" s="172">
        <v>1387.37</v>
      </c>
      <c r="D49" s="172">
        <v>0.45</v>
      </c>
      <c r="E49" s="172">
        <v>1.6</v>
      </c>
      <c r="F49" s="172">
        <v>2.35</v>
      </c>
      <c r="G49" s="172">
        <v>1.26</v>
      </c>
      <c r="H49" s="173">
        <v>8.14</v>
      </c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11.25" customHeight="1">
      <c r="A50" s="140"/>
      <c r="B50" s="171" t="s">
        <v>96</v>
      </c>
      <c r="C50" s="172">
        <v>1396.8</v>
      </c>
      <c r="D50" s="172">
        <v>0.68</v>
      </c>
      <c r="E50" s="172">
        <v>1.95</v>
      </c>
      <c r="F50" s="172">
        <v>3.03</v>
      </c>
      <c r="G50" s="172">
        <v>1.95</v>
      </c>
      <c r="H50" s="173">
        <v>8.56</v>
      </c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1.25" customHeight="1">
      <c r="A51" s="140"/>
      <c r="B51" s="171" t="s">
        <v>97</v>
      </c>
      <c r="C51" s="172">
        <v>1405.18</v>
      </c>
      <c r="D51" s="172">
        <v>0.6</v>
      </c>
      <c r="E51" s="172">
        <v>1.74</v>
      </c>
      <c r="F51" s="172">
        <v>3.25</v>
      </c>
      <c r="G51" s="172">
        <v>2.56</v>
      </c>
      <c r="H51" s="173">
        <v>8.2</v>
      </c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1.25" customHeight="1">
      <c r="A52" s="140"/>
      <c r="B52" s="171" t="s">
        <v>98</v>
      </c>
      <c r="C52" s="172">
        <v>1406.73</v>
      </c>
      <c r="D52" s="172">
        <v>0.11</v>
      </c>
      <c r="E52" s="172">
        <v>1.4</v>
      </c>
      <c r="F52" s="172">
        <v>3.02</v>
      </c>
      <c r="G52" s="172">
        <v>2.68</v>
      </c>
      <c r="H52" s="173">
        <v>6.95</v>
      </c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1.25" customHeight="1">
      <c r="A53" s="140"/>
      <c r="B53" s="171" t="s">
        <v>99</v>
      </c>
      <c r="C53" s="172">
        <v>1411.65</v>
      </c>
      <c r="D53" s="172">
        <v>0.35</v>
      </c>
      <c r="E53" s="172">
        <v>1.06</v>
      </c>
      <c r="F53" s="172">
        <v>3.04</v>
      </c>
      <c r="G53" s="172">
        <v>3.04</v>
      </c>
      <c r="H53" s="173">
        <v>5.92</v>
      </c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1.25" customHeight="1">
      <c r="A54" s="140"/>
      <c r="B54" s="171" t="s">
        <v>100</v>
      </c>
      <c r="C54" s="172">
        <v>1414.19</v>
      </c>
      <c r="D54" s="172">
        <v>0.18</v>
      </c>
      <c r="E54" s="172">
        <v>0.64</v>
      </c>
      <c r="F54" s="172">
        <v>2.39</v>
      </c>
      <c r="G54" s="172">
        <v>3.22</v>
      </c>
      <c r="H54" s="173">
        <v>4.85</v>
      </c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1.25" customHeight="1">
      <c r="A55" s="140"/>
      <c r="B55" s="171" t="s">
        <v>101</v>
      </c>
      <c r="C55" s="172">
        <v>1413.77</v>
      </c>
      <c r="D55" s="172">
        <v>-0.03</v>
      </c>
      <c r="E55" s="172">
        <v>0.5</v>
      </c>
      <c r="F55" s="172">
        <v>1.9</v>
      </c>
      <c r="G55" s="172">
        <v>3.19</v>
      </c>
      <c r="H55" s="173">
        <v>4.3</v>
      </c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11.25" customHeight="1">
      <c r="A56" s="140"/>
      <c r="B56" s="171" t="s">
        <v>102</v>
      </c>
      <c r="C56" s="172">
        <v>1415.18</v>
      </c>
      <c r="D56" s="172">
        <v>0.1</v>
      </c>
      <c r="E56" s="172">
        <v>0.25</v>
      </c>
      <c r="F56" s="172">
        <v>1.32</v>
      </c>
      <c r="G56" s="172">
        <v>3.29</v>
      </c>
      <c r="H56" s="173">
        <v>4.38</v>
      </c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11.25" customHeight="1">
      <c r="A57" s="140"/>
      <c r="B57" s="171" t="s">
        <v>103</v>
      </c>
      <c r="C57" s="172">
        <v>1419.28</v>
      </c>
      <c r="D57" s="172">
        <v>0.29</v>
      </c>
      <c r="E57" s="172">
        <v>0.36</v>
      </c>
      <c r="F57" s="172">
        <v>1.0</v>
      </c>
      <c r="G57" s="172">
        <v>3.59</v>
      </c>
      <c r="H57" s="173">
        <v>4.29</v>
      </c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11.25" customHeight="1">
      <c r="A58" s="140"/>
      <c r="B58" s="171" t="s">
        <v>104</v>
      </c>
      <c r="C58" s="172">
        <v>1421.41</v>
      </c>
      <c r="D58" s="172">
        <v>0.15</v>
      </c>
      <c r="E58" s="172">
        <v>0.54</v>
      </c>
      <c r="F58" s="172">
        <v>1.04</v>
      </c>
      <c r="G58" s="172">
        <v>3.75</v>
      </c>
      <c r="H58" s="173">
        <v>4.09</v>
      </c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11.25" customHeight="1">
      <c r="A59" s="174"/>
      <c r="B59" s="179" t="s">
        <v>105</v>
      </c>
      <c r="C59" s="180">
        <v>1429.51</v>
      </c>
      <c r="D59" s="180">
        <v>0.57</v>
      </c>
      <c r="E59" s="180">
        <v>1.01</v>
      </c>
      <c r="F59" s="180">
        <v>1.27</v>
      </c>
      <c r="G59" s="180">
        <v>4.34</v>
      </c>
      <c r="H59" s="181">
        <v>4.34</v>
      </c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6.75" customHeight="1">
      <c r="A60" s="166"/>
      <c r="B60" s="166"/>
      <c r="C60" s="175"/>
      <c r="D60" s="182"/>
      <c r="E60" s="177"/>
      <c r="F60" s="177"/>
      <c r="G60" s="177"/>
      <c r="H60" s="178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11.25" customHeight="1">
      <c r="A61" s="168">
        <v>1998.0</v>
      </c>
      <c r="B61" s="171" t="s">
        <v>94</v>
      </c>
      <c r="C61" s="172">
        <v>1441.66</v>
      </c>
      <c r="D61" s="172">
        <v>0.85</v>
      </c>
      <c r="E61" s="172">
        <v>1.58</v>
      </c>
      <c r="F61" s="172">
        <v>1.94</v>
      </c>
      <c r="G61" s="172">
        <v>0.85</v>
      </c>
      <c r="H61" s="173">
        <v>4.38</v>
      </c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11.25" customHeight="1">
      <c r="A62" s="140"/>
      <c r="B62" s="171" t="s">
        <v>95</v>
      </c>
      <c r="C62" s="172">
        <v>1449.44</v>
      </c>
      <c r="D62" s="172">
        <v>0.54</v>
      </c>
      <c r="E62" s="172">
        <v>1.97</v>
      </c>
      <c r="F62" s="172">
        <v>2.52</v>
      </c>
      <c r="G62" s="172">
        <v>1.39</v>
      </c>
      <c r="H62" s="173">
        <v>4.47</v>
      </c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1.25" customHeight="1">
      <c r="A63" s="140"/>
      <c r="B63" s="171" t="s">
        <v>96</v>
      </c>
      <c r="C63" s="172">
        <v>1456.54</v>
      </c>
      <c r="D63" s="172">
        <v>0.49</v>
      </c>
      <c r="E63" s="172">
        <v>1.89</v>
      </c>
      <c r="F63" s="172">
        <v>2.92</v>
      </c>
      <c r="G63" s="172">
        <v>1.89</v>
      </c>
      <c r="H63" s="173">
        <v>4.28</v>
      </c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11.25" customHeight="1">
      <c r="A64" s="140"/>
      <c r="B64" s="171" t="s">
        <v>97</v>
      </c>
      <c r="C64" s="172">
        <v>1463.09</v>
      </c>
      <c r="D64" s="172">
        <v>0.45</v>
      </c>
      <c r="E64" s="172">
        <v>1.49</v>
      </c>
      <c r="F64" s="172">
        <v>3.09</v>
      </c>
      <c r="G64" s="172">
        <v>2.35</v>
      </c>
      <c r="H64" s="173">
        <v>4.12</v>
      </c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11.25" customHeight="1">
      <c r="A65" s="140"/>
      <c r="B65" s="171" t="s">
        <v>98</v>
      </c>
      <c r="C65" s="172">
        <v>1473.62</v>
      </c>
      <c r="D65" s="172">
        <v>0.72</v>
      </c>
      <c r="E65" s="172">
        <v>1.67</v>
      </c>
      <c r="F65" s="172">
        <v>3.67</v>
      </c>
      <c r="G65" s="172">
        <v>3.09</v>
      </c>
      <c r="H65" s="173">
        <v>4.75</v>
      </c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11.25" customHeight="1">
      <c r="A66" s="140"/>
      <c r="B66" s="171" t="s">
        <v>99</v>
      </c>
      <c r="C66" s="172">
        <v>1475.83</v>
      </c>
      <c r="D66" s="172">
        <v>0.15</v>
      </c>
      <c r="E66" s="172">
        <v>1.32</v>
      </c>
      <c r="F66" s="172">
        <v>3.24</v>
      </c>
      <c r="G66" s="172">
        <v>3.24</v>
      </c>
      <c r="H66" s="173">
        <v>4.55</v>
      </c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11.25" customHeight="1">
      <c r="A67" s="140"/>
      <c r="B67" s="171" t="s">
        <v>100</v>
      </c>
      <c r="C67" s="172">
        <v>1471.7</v>
      </c>
      <c r="D67" s="172">
        <v>-0.28</v>
      </c>
      <c r="E67" s="172">
        <v>0.59</v>
      </c>
      <c r="F67" s="172">
        <v>2.08</v>
      </c>
      <c r="G67" s="172">
        <v>2.95</v>
      </c>
      <c r="H67" s="173">
        <v>4.07</v>
      </c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1.25" customHeight="1">
      <c r="A68" s="140"/>
      <c r="B68" s="171" t="s">
        <v>101</v>
      </c>
      <c r="C68" s="172">
        <v>1464.49</v>
      </c>
      <c r="D68" s="172">
        <v>-0.49</v>
      </c>
      <c r="E68" s="172">
        <v>-0.62</v>
      </c>
      <c r="F68" s="172">
        <v>1.04</v>
      </c>
      <c r="G68" s="172">
        <v>2.45</v>
      </c>
      <c r="H68" s="173">
        <v>3.59</v>
      </c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11.25" customHeight="1">
      <c r="A69" s="174"/>
      <c r="B69" s="179" t="s">
        <v>102</v>
      </c>
      <c r="C69" s="180">
        <v>1459.95</v>
      </c>
      <c r="D69" s="180">
        <v>-0.31</v>
      </c>
      <c r="E69" s="180">
        <v>-1.08</v>
      </c>
      <c r="F69" s="180">
        <v>0.23</v>
      </c>
      <c r="G69" s="172">
        <v>2.13</v>
      </c>
      <c r="H69" s="173">
        <v>3.16</v>
      </c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11.25" customHeight="1">
      <c r="A70" s="174"/>
      <c r="B70" s="179" t="s">
        <v>103</v>
      </c>
      <c r="C70" s="180">
        <v>1461.56</v>
      </c>
      <c r="D70" s="180">
        <v>0.11</v>
      </c>
      <c r="E70" s="180">
        <v>-0.69</v>
      </c>
      <c r="F70" s="180">
        <v>-0.1</v>
      </c>
      <c r="G70" s="172">
        <v>2.24</v>
      </c>
      <c r="H70" s="173">
        <v>2.98</v>
      </c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11.25" customHeight="1">
      <c r="A71" s="140"/>
      <c r="B71" s="171" t="s">
        <v>104</v>
      </c>
      <c r="C71" s="172">
        <v>1458.93</v>
      </c>
      <c r="D71" s="184">
        <v>-0.18</v>
      </c>
      <c r="E71" s="180">
        <v>-0.38</v>
      </c>
      <c r="F71" s="180">
        <v>-1.0</v>
      </c>
      <c r="G71" s="172">
        <v>2.06</v>
      </c>
      <c r="H71" s="173">
        <v>2.64</v>
      </c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11.25" customHeight="1">
      <c r="A72" s="185"/>
      <c r="B72" s="186" t="s">
        <v>105</v>
      </c>
      <c r="C72" s="187">
        <v>1465.06</v>
      </c>
      <c r="D72" s="187">
        <v>0.42</v>
      </c>
      <c r="E72" s="187">
        <v>0.35</v>
      </c>
      <c r="F72" s="187">
        <v>-0.73</v>
      </c>
      <c r="G72" s="187">
        <v>2.49</v>
      </c>
      <c r="H72" s="188">
        <v>2.49</v>
      </c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6.75" customHeight="1">
      <c r="A73" s="140"/>
      <c r="B73" s="189"/>
      <c r="C73" s="190"/>
      <c r="D73" s="190"/>
      <c r="E73" s="190"/>
      <c r="F73" s="190"/>
      <c r="G73" s="190"/>
      <c r="H73" s="181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6.75" customHeight="1">
      <c r="A74" s="191" t="s">
        <v>106</v>
      </c>
      <c r="I74" s="144"/>
      <c r="J74" s="140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6.5" customHeight="1">
      <c r="A75" s="143" t="s">
        <v>84</v>
      </c>
      <c r="I75" s="144"/>
      <c r="J75" s="140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1.25" customHeight="1">
      <c r="A76" s="145"/>
      <c r="B76" s="145"/>
      <c r="C76" s="146"/>
      <c r="D76" s="145"/>
      <c r="E76" s="145"/>
      <c r="F76" s="145"/>
      <c r="G76" s="145"/>
      <c r="H76" s="147" t="s">
        <v>107</v>
      </c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11.25" customHeight="1">
      <c r="A77" s="148"/>
      <c r="B77" s="148"/>
      <c r="C77" s="149"/>
      <c r="D77" s="150"/>
      <c r="E77" s="151"/>
      <c r="F77" s="151" t="s">
        <v>86</v>
      </c>
      <c r="G77" s="151"/>
      <c r="H77" s="152"/>
      <c r="I77" s="153"/>
      <c r="J77" s="140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11.25" customHeight="1">
      <c r="A78" s="154" t="s">
        <v>87</v>
      </c>
      <c r="B78" s="155" t="s">
        <v>88</v>
      </c>
      <c r="C78" s="156" t="s">
        <v>89</v>
      </c>
      <c r="D78" s="157" t="s">
        <v>90</v>
      </c>
      <c r="E78" s="90"/>
      <c r="F78" s="90"/>
      <c r="G78" s="90"/>
      <c r="H78" s="90"/>
      <c r="I78" s="153"/>
      <c r="J78" s="140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13.5" customHeight="1">
      <c r="A79" s="154"/>
      <c r="B79" s="155"/>
      <c r="C79" s="158" t="s">
        <v>91</v>
      </c>
      <c r="D79" s="159" t="s">
        <v>92</v>
      </c>
      <c r="E79" s="159">
        <v>3.0</v>
      </c>
      <c r="F79" s="159">
        <v>6.0</v>
      </c>
      <c r="G79" s="159" t="s">
        <v>92</v>
      </c>
      <c r="H79" s="160">
        <v>12.0</v>
      </c>
      <c r="I79" s="153"/>
      <c r="J79" s="140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14.25" customHeight="1">
      <c r="A80" s="161"/>
      <c r="B80" s="161"/>
      <c r="C80" s="162"/>
      <c r="D80" s="163" t="s">
        <v>88</v>
      </c>
      <c r="E80" s="164" t="s">
        <v>93</v>
      </c>
      <c r="F80" s="164" t="s">
        <v>93</v>
      </c>
      <c r="G80" s="164" t="s">
        <v>87</v>
      </c>
      <c r="H80" s="165" t="s">
        <v>93</v>
      </c>
      <c r="I80" s="153"/>
      <c r="J80" s="140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6.75" customHeight="1">
      <c r="A81" s="166"/>
      <c r="B81" s="166"/>
      <c r="C81" s="167"/>
      <c r="D81" s="168"/>
      <c r="E81" s="169"/>
      <c r="F81" s="169"/>
      <c r="G81" s="169"/>
      <c r="H81" s="17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1.25" customHeight="1">
      <c r="A82" s="168">
        <v>1999.0</v>
      </c>
      <c r="B82" s="171" t="s">
        <v>94</v>
      </c>
      <c r="C82" s="172">
        <v>1474.58</v>
      </c>
      <c r="D82" s="184">
        <v>0.65</v>
      </c>
      <c r="E82" s="180">
        <v>0.89</v>
      </c>
      <c r="F82" s="180">
        <v>0.2</v>
      </c>
      <c r="G82" s="180">
        <v>0.65</v>
      </c>
      <c r="H82" s="181">
        <v>2.28</v>
      </c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11.25" customHeight="1">
      <c r="A83" s="140"/>
      <c r="B83" s="171" t="s">
        <v>95</v>
      </c>
      <c r="C83" s="172">
        <v>1493.6</v>
      </c>
      <c r="D83" s="172">
        <v>1.29</v>
      </c>
      <c r="E83" s="172">
        <v>2.38</v>
      </c>
      <c r="F83" s="172">
        <v>1.99</v>
      </c>
      <c r="G83" s="172">
        <v>1.95</v>
      </c>
      <c r="H83" s="173">
        <v>3.05</v>
      </c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11.25" customHeight="1">
      <c r="A84" s="140"/>
      <c r="B84" s="171" t="s">
        <v>96</v>
      </c>
      <c r="C84" s="172">
        <v>1512.72</v>
      </c>
      <c r="D84" s="172">
        <v>1.28</v>
      </c>
      <c r="E84" s="172">
        <v>3.25</v>
      </c>
      <c r="F84" s="172">
        <v>3.61</v>
      </c>
      <c r="G84" s="172">
        <v>3.25</v>
      </c>
      <c r="H84" s="173">
        <v>3.86</v>
      </c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11.25" customHeight="1">
      <c r="A85" s="140"/>
      <c r="B85" s="171" t="s">
        <v>97</v>
      </c>
      <c r="C85" s="172">
        <v>1519.83</v>
      </c>
      <c r="D85" s="172">
        <v>0.47</v>
      </c>
      <c r="E85" s="172">
        <v>3.07</v>
      </c>
      <c r="F85" s="172">
        <v>3.99</v>
      </c>
      <c r="G85" s="172">
        <v>3.74</v>
      </c>
      <c r="H85" s="173">
        <v>3.88</v>
      </c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11.25" customHeight="1">
      <c r="A86" s="140"/>
      <c r="B86" s="171" t="s">
        <v>98</v>
      </c>
      <c r="C86" s="172">
        <v>1520.59</v>
      </c>
      <c r="D86" s="172">
        <v>0.05</v>
      </c>
      <c r="E86" s="172">
        <v>1.81</v>
      </c>
      <c r="F86" s="172">
        <v>4.23</v>
      </c>
      <c r="G86" s="172">
        <v>3.79</v>
      </c>
      <c r="H86" s="173">
        <v>3.19</v>
      </c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11.25" customHeight="1">
      <c r="A87" s="140"/>
      <c r="B87" s="171" t="s">
        <v>99</v>
      </c>
      <c r="C87" s="172">
        <v>1521.65</v>
      </c>
      <c r="D87" s="172">
        <v>0.07</v>
      </c>
      <c r="E87" s="172">
        <v>0.59</v>
      </c>
      <c r="F87" s="172">
        <v>3.86</v>
      </c>
      <c r="G87" s="172">
        <v>3.86</v>
      </c>
      <c r="H87" s="173">
        <v>3.1</v>
      </c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11.25" customHeight="1">
      <c r="A88" s="140"/>
      <c r="B88" s="171" t="s">
        <v>100</v>
      </c>
      <c r="C88" s="172">
        <v>1532.91</v>
      </c>
      <c r="D88" s="184">
        <v>0.74</v>
      </c>
      <c r="E88" s="180">
        <v>0.86</v>
      </c>
      <c r="F88" s="180">
        <v>3.96</v>
      </c>
      <c r="G88" s="180">
        <v>4.63</v>
      </c>
      <c r="H88" s="181">
        <v>4.16</v>
      </c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11.25" customHeight="1">
      <c r="A89" s="140"/>
      <c r="B89" s="171" t="s">
        <v>101</v>
      </c>
      <c r="C89" s="172">
        <v>1541.34</v>
      </c>
      <c r="D89" s="172">
        <v>0.55</v>
      </c>
      <c r="E89" s="172">
        <v>1.36</v>
      </c>
      <c r="F89" s="172">
        <v>3.2</v>
      </c>
      <c r="G89" s="172">
        <v>5.21</v>
      </c>
      <c r="H89" s="173">
        <v>5.25</v>
      </c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11.25" customHeight="1">
      <c r="A90" s="140"/>
      <c r="B90" s="192" t="s">
        <v>102</v>
      </c>
      <c r="C90" s="180">
        <v>1547.35</v>
      </c>
      <c r="D90" s="180">
        <v>0.39</v>
      </c>
      <c r="E90" s="180">
        <v>1.69</v>
      </c>
      <c r="F90" s="180">
        <v>2.29</v>
      </c>
      <c r="G90" s="180">
        <v>5.62</v>
      </c>
      <c r="H90" s="181">
        <v>5.99</v>
      </c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11.25" customHeight="1">
      <c r="A91" s="140"/>
      <c r="B91" s="171" t="s">
        <v>103</v>
      </c>
      <c r="C91" s="172">
        <v>1562.2</v>
      </c>
      <c r="D91" s="172">
        <v>0.96</v>
      </c>
      <c r="E91" s="172">
        <v>1.91</v>
      </c>
      <c r="F91" s="172">
        <v>2.79</v>
      </c>
      <c r="G91" s="172">
        <v>6.63</v>
      </c>
      <c r="H91" s="173">
        <v>6.89</v>
      </c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11.25" customHeight="1">
      <c r="A92" s="140"/>
      <c r="B92" s="171" t="s">
        <v>104</v>
      </c>
      <c r="C92" s="172">
        <v>1576.88</v>
      </c>
      <c r="D92" s="172">
        <v>0.94</v>
      </c>
      <c r="E92" s="172">
        <v>2.31</v>
      </c>
      <c r="F92" s="172">
        <v>3.7</v>
      </c>
      <c r="G92" s="172">
        <v>7.63</v>
      </c>
      <c r="H92" s="173">
        <v>8.08</v>
      </c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11.25" customHeight="1">
      <c r="A93" s="174"/>
      <c r="B93" s="179" t="s">
        <v>105</v>
      </c>
      <c r="C93" s="180">
        <v>1588.55</v>
      </c>
      <c r="D93" s="180">
        <v>0.74</v>
      </c>
      <c r="E93" s="180">
        <v>2.66</v>
      </c>
      <c r="F93" s="180">
        <v>4.4</v>
      </c>
      <c r="G93" s="180">
        <v>8.43</v>
      </c>
      <c r="H93" s="181">
        <v>8.43</v>
      </c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6.75" customHeight="1">
      <c r="A94" s="166"/>
      <c r="B94" s="166"/>
      <c r="C94" s="175"/>
      <c r="D94" s="176"/>
      <c r="E94" s="177"/>
      <c r="F94" s="177"/>
      <c r="G94" s="177"/>
      <c r="H94" s="178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11.25" customHeight="1">
      <c r="A95" s="168">
        <v>2000.0</v>
      </c>
      <c r="B95" s="171" t="s">
        <v>94</v>
      </c>
      <c r="C95" s="172">
        <v>1598.24</v>
      </c>
      <c r="D95" s="184">
        <v>0.61</v>
      </c>
      <c r="E95" s="180">
        <v>2.31</v>
      </c>
      <c r="F95" s="180">
        <v>4.26</v>
      </c>
      <c r="G95" s="180">
        <v>0.61</v>
      </c>
      <c r="H95" s="181">
        <v>8.39</v>
      </c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11.25" customHeight="1">
      <c r="A96" s="140"/>
      <c r="B96" s="171" t="s">
        <v>95</v>
      </c>
      <c r="C96" s="184">
        <v>1599.04</v>
      </c>
      <c r="D96" s="184">
        <v>0.05</v>
      </c>
      <c r="E96" s="180">
        <v>1.41</v>
      </c>
      <c r="F96" s="193">
        <v>3.74</v>
      </c>
      <c r="G96" s="180">
        <v>0.66</v>
      </c>
      <c r="H96" s="181">
        <v>7.06</v>
      </c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11.25" customHeight="1">
      <c r="A97" s="140"/>
      <c r="B97" s="171" t="s">
        <v>96</v>
      </c>
      <c r="C97" s="172">
        <v>1601.12</v>
      </c>
      <c r="D97" s="184">
        <v>0.13</v>
      </c>
      <c r="E97" s="184">
        <v>0.79</v>
      </c>
      <c r="F97" s="194">
        <v>3.47</v>
      </c>
      <c r="G97" s="184">
        <v>0.79</v>
      </c>
      <c r="H97" s="181">
        <v>5.84</v>
      </c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11.25" customHeight="1">
      <c r="A98" s="140"/>
      <c r="B98" s="171" t="s">
        <v>97</v>
      </c>
      <c r="C98" s="172">
        <v>1602.56</v>
      </c>
      <c r="D98" s="172">
        <v>0.09</v>
      </c>
      <c r="E98" s="172">
        <v>0.27</v>
      </c>
      <c r="F98" s="183">
        <v>2.58</v>
      </c>
      <c r="G98" s="172">
        <v>0.88</v>
      </c>
      <c r="H98" s="173">
        <v>5.44</v>
      </c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11.25" customHeight="1">
      <c r="A99" s="140"/>
      <c r="B99" s="171" t="s">
        <v>98</v>
      </c>
      <c r="C99" s="172">
        <v>1601.76</v>
      </c>
      <c r="D99" s="172">
        <v>-0.05</v>
      </c>
      <c r="E99" s="172">
        <v>0.17</v>
      </c>
      <c r="F99" s="183">
        <v>1.58</v>
      </c>
      <c r="G99" s="172">
        <v>0.83</v>
      </c>
      <c r="H99" s="173">
        <v>5.34</v>
      </c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11.25" customHeight="1">
      <c r="A100" s="140"/>
      <c r="B100" s="171" t="s">
        <v>99</v>
      </c>
      <c r="C100" s="172">
        <v>1606.57</v>
      </c>
      <c r="D100" s="172">
        <v>0.3</v>
      </c>
      <c r="E100" s="172">
        <v>0.34</v>
      </c>
      <c r="F100" s="183">
        <v>1.13</v>
      </c>
      <c r="G100" s="172">
        <v>1.13</v>
      </c>
      <c r="H100" s="173">
        <v>5.58</v>
      </c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11.25" customHeight="1">
      <c r="A101" s="140"/>
      <c r="B101" s="171" t="s">
        <v>100</v>
      </c>
      <c r="C101" s="172">
        <v>1628.9</v>
      </c>
      <c r="D101" s="184">
        <v>1.39</v>
      </c>
      <c r="E101" s="180">
        <v>1.64</v>
      </c>
      <c r="F101" s="180">
        <v>1.92</v>
      </c>
      <c r="G101" s="180">
        <v>2.54</v>
      </c>
      <c r="H101" s="181">
        <v>6.26</v>
      </c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11.25" customHeight="1">
      <c r="A102" s="140"/>
      <c r="B102" s="171" t="s">
        <v>101</v>
      </c>
      <c r="C102" s="172">
        <v>1648.61</v>
      </c>
      <c r="D102" s="172">
        <v>1.21</v>
      </c>
      <c r="E102" s="172">
        <v>2.92</v>
      </c>
      <c r="F102" s="172">
        <v>3.1</v>
      </c>
      <c r="G102" s="172">
        <v>3.78</v>
      </c>
      <c r="H102" s="173">
        <v>6.96</v>
      </c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11.25" customHeight="1">
      <c r="A103" s="174"/>
      <c r="B103" s="179" t="s">
        <v>102</v>
      </c>
      <c r="C103" s="180">
        <v>1655.7</v>
      </c>
      <c r="D103" s="180">
        <v>0.43</v>
      </c>
      <c r="E103" s="180">
        <v>3.06</v>
      </c>
      <c r="F103" s="180">
        <v>3.41</v>
      </c>
      <c r="G103" s="180">
        <v>4.23</v>
      </c>
      <c r="H103" s="181">
        <v>7.0</v>
      </c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11.25" customHeight="1">
      <c r="A104" s="174"/>
      <c r="B104" s="179" t="s">
        <v>103</v>
      </c>
      <c r="C104" s="180">
        <v>1658.35</v>
      </c>
      <c r="D104" s="180">
        <v>0.16</v>
      </c>
      <c r="E104" s="180">
        <v>1.81</v>
      </c>
      <c r="F104" s="180">
        <v>3.48</v>
      </c>
      <c r="G104" s="180">
        <v>4.39</v>
      </c>
      <c r="H104" s="181">
        <v>6.15</v>
      </c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11.25" customHeight="1">
      <c r="A105" s="174"/>
      <c r="B105" s="179" t="s">
        <v>104</v>
      </c>
      <c r="C105" s="180">
        <v>1663.16</v>
      </c>
      <c r="D105" s="180">
        <v>0.29</v>
      </c>
      <c r="E105" s="180">
        <v>0.88</v>
      </c>
      <c r="F105" s="180">
        <v>3.83</v>
      </c>
      <c r="G105" s="180">
        <v>4.7</v>
      </c>
      <c r="H105" s="181">
        <v>5.47</v>
      </c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11.25" customHeight="1">
      <c r="A106" s="174"/>
      <c r="B106" s="179" t="s">
        <v>105</v>
      </c>
      <c r="C106" s="180">
        <v>1672.31</v>
      </c>
      <c r="D106" s="180">
        <v>0.55</v>
      </c>
      <c r="E106" s="180">
        <v>1.0</v>
      </c>
      <c r="F106" s="180">
        <v>4.09</v>
      </c>
      <c r="G106" s="180">
        <v>5.27</v>
      </c>
      <c r="H106" s="181">
        <v>5.27</v>
      </c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6.75" customHeight="1">
      <c r="A107" s="166"/>
      <c r="B107" s="166"/>
      <c r="C107" s="175"/>
      <c r="D107" s="176"/>
      <c r="E107" s="177"/>
      <c r="F107" s="177"/>
      <c r="G107" s="177"/>
      <c r="H107" s="178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11.25" customHeight="1">
      <c r="A108" s="168">
        <v>2001.0</v>
      </c>
      <c r="B108" s="171" t="s">
        <v>94</v>
      </c>
      <c r="C108" s="172">
        <v>1685.19</v>
      </c>
      <c r="D108" s="184">
        <v>0.77</v>
      </c>
      <c r="E108" s="180">
        <v>1.62</v>
      </c>
      <c r="F108" s="180">
        <v>3.46</v>
      </c>
      <c r="G108" s="180">
        <v>0.77</v>
      </c>
      <c r="H108" s="190">
        <v>5.44</v>
      </c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11.25" customHeight="1">
      <c r="A109" s="140"/>
      <c r="B109" s="171" t="s">
        <v>95</v>
      </c>
      <c r="C109" s="184">
        <v>1693.45</v>
      </c>
      <c r="D109" s="184">
        <v>0.49</v>
      </c>
      <c r="E109" s="180">
        <v>1.82</v>
      </c>
      <c r="F109" s="180">
        <v>2.72</v>
      </c>
      <c r="G109" s="180">
        <v>1.26</v>
      </c>
      <c r="H109" s="195">
        <v>5.9</v>
      </c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11.25" customHeight="1">
      <c r="A110" s="140"/>
      <c r="B110" s="171" t="s">
        <v>96</v>
      </c>
      <c r="C110" s="172">
        <v>1701.58</v>
      </c>
      <c r="D110" s="184">
        <v>0.48</v>
      </c>
      <c r="E110" s="180">
        <v>1.75</v>
      </c>
      <c r="F110" s="180">
        <v>2.77</v>
      </c>
      <c r="G110" s="180">
        <v>1.75</v>
      </c>
      <c r="H110" s="195">
        <v>6.27</v>
      </c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11.25" customHeight="1">
      <c r="A111" s="140"/>
      <c r="B111" s="171" t="s">
        <v>97</v>
      </c>
      <c r="C111" s="172">
        <v>1715.87</v>
      </c>
      <c r="D111" s="184">
        <v>0.84</v>
      </c>
      <c r="E111" s="180">
        <v>1.82</v>
      </c>
      <c r="F111" s="180">
        <v>3.47</v>
      </c>
      <c r="G111" s="180">
        <v>2.6</v>
      </c>
      <c r="H111" s="195">
        <v>7.07</v>
      </c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11.25" customHeight="1">
      <c r="A112" s="140"/>
      <c r="B112" s="171" t="s">
        <v>98</v>
      </c>
      <c r="C112" s="172">
        <v>1725.65</v>
      </c>
      <c r="D112" s="184">
        <v>0.57</v>
      </c>
      <c r="E112" s="180">
        <v>1.9</v>
      </c>
      <c r="F112" s="180">
        <v>3.76</v>
      </c>
      <c r="G112" s="180">
        <v>3.19</v>
      </c>
      <c r="H112" s="195">
        <v>7.73</v>
      </c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11.25" customHeight="1">
      <c r="A113" s="140"/>
      <c r="B113" s="171" t="s">
        <v>99</v>
      </c>
      <c r="C113" s="172">
        <v>1736.0</v>
      </c>
      <c r="D113" s="184">
        <v>0.6</v>
      </c>
      <c r="E113" s="180">
        <v>2.02</v>
      </c>
      <c r="F113" s="180">
        <v>3.81</v>
      </c>
      <c r="G113" s="180">
        <v>3.81</v>
      </c>
      <c r="H113" s="195">
        <v>8.06</v>
      </c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11.25" customHeight="1">
      <c r="A114" s="140"/>
      <c r="B114" s="171" t="s">
        <v>100</v>
      </c>
      <c r="C114" s="172">
        <v>1755.27</v>
      </c>
      <c r="D114" s="184">
        <v>1.11</v>
      </c>
      <c r="E114" s="180">
        <v>2.3</v>
      </c>
      <c r="F114" s="180">
        <v>4.16</v>
      </c>
      <c r="G114" s="180">
        <v>4.96</v>
      </c>
      <c r="H114" s="195">
        <v>7.76</v>
      </c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11.25" customHeight="1">
      <c r="A115" s="140"/>
      <c r="B115" s="171" t="s">
        <v>101</v>
      </c>
      <c r="C115" s="172">
        <v>1769.14</v>
      </c>
      <c r="D115" s="184">
        <v>0.79</v>
      </c>
      <c r="E115" s="180">
        <v>2.52</v>
      </c>
      <c r="F115" s="180">
        <v>4.47</v>
      </c>
      <c r="G115" s="180">
        <v>5.79</v>
      </c>
      <c r="H115" s="190">
        <v>7.31</v>
      </c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11.25" customHeight="1">
      <c r="A116" s="174"/>
      <c r="B116" s="179" t="s">
        <v>102</v>
      </c>
      <c r="C116" s="180">
        <v>1776.92</v>
      </c>
      <c r="D116" s="180">
        <v>0.44</v>
      </c>
      <c r="E116" s="180">
        <v>2.36</v>
      </c>
      <c r="F116" s="180">
        <v>4.43</v>
      </c>
      <c r="G116" s="180">
        <v>6.26</v>
      </c>
      <c r="H116" s="195">
        <v>7.32</v>
      </c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11.25" customHeight="1">
      <c r="A117" s="174"/>
      <c r="B117" s="179" t="s">
        <v>103</v>
      </c>
      <c r="C117" s="180">
        <v>1793.62</v>
      </c>
      <c r="D117" s="180">
        <v>0.94</v>
      </c>
      <c r="E117" s="180">
        <v>2.18</v>
      </c>
      <c r="F117" s="180">
        <v>4.53</v>
      </c>
      <c r="G117" s="180">
        <v>7.25</v>
      </c>
      <c r="H117" s="195">
        <v>8.16</v>
      </c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11.25" customHeight="1">
      <c r="A118" s="174"/>
      <c r="B118" s="179" t="s">
        <v>104</v>
      </c>
      <c r="C118" s="180">
        <v>1816.76</v>
      </c>
      <c r="D118" s="180">
        <v>1.29</v>
      </c>
      <c r="E118" s="180">
        <v>2.69</v>
      </c>
      <c r="F118" s="180">
        <v>5.28</v>
      </c>
      <c r="G118" s="180">
        <v>8.64</v>
      </c>
      <c r="H118" s="195">
        <v>9.24</v>
      </c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11.25" customHeight="1">
      <c r="A119" s="174"/>
      <c r="B119" s="179" t="s">
        <v>105</v>
      </c>
      <c r="C119" s="180">
        <v>1830.2</v>
      </c>
      <c r="D119" s="180">
        <v>0.74</v>
      </c>
      <c r="E119" s="184">
        <v>3.0</v>
      </c>
      <c r="F119" s="180">
        <v>5.43</v>
      </c>
      <c r="G119" s="180">
        <v>9.44</v>
      </c>
      <c r="H119" s="195">
        <v>9.44</v>
      </c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6.75" customHeight="1">
      <c r="A120" s="166"/>
      <c r="B120" s="166"/>
      <c r="C120" s="175"/>
      <c r="D120" s="176"/>
      <c r="E120" s="177"/>
      <c r="F120" s="177"/>
      <c r="G120" s="177"/>
      <c r="H120" s="178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1.25" customHeight="1">
      <c r="A121" s="168">
        <v>2002.0</v>
      </c>
      <c r="B121" s="171" t="s">
        <v>94</v>
      </c>
      <c r="C121" s="172">
        <v>1849.78</v>
      </c>
      <c r="D121" s="184">
        <v>1.07</v>
      </c>
      <c r="E121" s="180">
        <v>3.13</v>
      </c>
      <c r="F121" s="180">
        <v>5.38</v>
      </c>
      <c r="G121" s="180">
        <v>1.07</v>
      </c>
      <c r="H121" s="181">
        <v>9.77</v>
      </c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11.25" customHeight="1">
      <c r="A122" s="140"/>
      <c r="B122" s="171" t="s">
        <v>95</v>
      </c>
      <c r="C122" s="172">
        <v>1855.51</v>
      </c>
      <c r="D122" s="172">
        <v>0.31</v>
      </c>
      <c r="E122" s="184">
        <v>2.13</v>
      </c>
      <c r="F122" s="180">
        <v>4.88</v>
      </c>
      <c r="G122" s="180">
        <v>1.38</v>
      </c>
      <c r="H122" s="181">
        <v>9.57</v>
      </c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11.25" customHeight="1">
      <c r="A123" s="140"/>
      <c r="B123" s="171" t="s">
        <v>96</v>
      </c>
      <c r="C123" s="172">
        <v>1867.01</v>
      </c>
      <c r="D123" s="172">
        <v>0.62</v>
      </c>
      <c r="E123" s="184">
        <v>2.01</v>
      </c>
      <c r="F123" s="180">
        <v>5.07</v>
      </c>
      <c r="G123" s="180">
        <v>2.01</v>
      </c>
      <c r="H123" s="181">
        <v>9.72</v>
      </c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11.25" customHeight="1">
      <c r="A124" s="140"/>
      <c r="B124" s="171" t="s">
        <v>97</v>
      </c>
      <c r="C124" s="172">
        <v>1879.71</v>
      </c>
      <c r="D124" s="172">
        <v>0.68</v>
      </c>
      <c r="E124" s="184">
        <v>1.62</v>
      </c>
      <c r="F124" s="180">
        <v>4.8</v>
      </c>
      <c r="G124" s="180">
        <v>2.71</v>
      </c>
      <c r="H124" s="181">
        <v>9.55</v>
      </c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11.25" customHeight="1">
      <c r="A125" s="140"/>
      <c r="B125" s="171" t="s">
        <v>98</v>
      </c>
      <c r="C125" s="172">
        <v>1881.4</v>
      </c>
      <c r="D125" s="172">
        <v>0.09</v>
      </c>
      <c r="E125" s="184">
        <v>1.4</v>
      </c>
      <c r="F125" s="180">
        <v>3.56</v>
      </c>
      <c r="G125" s="180">
        <v>2.8</v>
      </c>
      <c r="H125" s="181">
        <v>9.03</v>
      </c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11.25" customHeight="1">
      <c r="A126" s="140"/>
      <c r="B126" s="171" t="s">
        <v>99</v>
      </c>
      <c r="C126" s="172">
        <v>1892.88</v>
      </c>
      <c r="D126" s="172">
        <v>0.61</v>
      </c>
      <c r="E126" s="184">
        <v>1.39</v>
      </c>
      <c r="F126" s="180">
        <v>3.42</v>
      </c>
      <c r="G126" s="180">
        <v>3.42</v>
      </c>
      <c r="H126" s="181">
        <v>9.04</v>
      </c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11.25" customHeight="1">
      <c r="A127" s="140"/>
      <c r="B127" s="171" t="s">
        <v>100</v>
      </c>
      <c r="C127" s="172">
        <v>1914.65</v>
      </c>
      <c r="D127" s="172">
        <v>1.15</v>
      </c>
      <c r="E127" s="184">
        <v>1.86</v>
      </c>
      <c r="F127" s="180">
        <v>3.51</v>
      </c>
      <c r="G127" s="172">
        <v>4.61</v>
      </c>
      <c r="H127" s="173">
        <v>9.08</v>
      </c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11.25" customHeight="1">
      <c r="A128" s="140"/>
      <c r="B128" s="171" t="s">
        <v>101</v>
      </c>
      <c r="C128" s="172">
        <v>1931.12</v>
      </c>
      <c r="D128" s="172">
        <v>0.86</v>
      </c>
      <c r="E128" s="184">
        <v>2.64</v>
      </c>
      <c r="F128" s="180">
        <v>4.07</v>
      </c>
      <c r="G128" s="172">
        <v>5.51</v>
      </c>
      <c r="H128" s="173">
        <v>9.16</v>
      </c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11.25" customHeight="1">
      <c r="A129" s="174"/>
      <c r="B129" s="179" t="s">
        <v>102</v>
      </c>
      <c r="C129" s="180">
        <v>1947.15</v>
      </c>
      <c r="D129" s="180">
        <v>0.83</v>
      </c>
      <c r="E129" s="184">
        <v>2.87</v>
      </c>
      <c r="F129" s="180">
        <v>4.29</v>
      </c>
      <c r="G129" s="172">
        <v>6.39</v>
      </c>
      <c r="H129" s="173">
        <v>9.58</v>
      </c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11.25" customHeight="1">
      <c r="A130" s="174"/>
      <c r="B130" s="179" t="s">
        <v>103</v>
      </c>
      <c r="C130" s="180">
        <v>1977.72</v>
      </c>
      <c r="D130" s="180">
        <v>1.57</v>
      </c>
      <c r="E130" s="184">
        <v>3.29</v>
      </c>
      <c r="F130" s="180">
        <v>5.21</v>
      </c>
      <c r="G130" s="172">
        <v>8.06</v>
      </c>
      <c r="H130" s="173">
        <v>10.26</v>
      </c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11.25" customHeight="1">
      <c r="A131" s="140"/>
      <c r="B131" s="171" t="s">
        <v>104</v>
      </c>
      <c r="C131" s="172">
        <v>2044.76</v>
      </c>
      <c r="D131" s="184">
        <v>3.39</v>
      </c>
      <c r="E131" s="184">
        <v>5.88</v>
      </c>
      <c r="F131" s="180">
        <v>8.68</v>
      </c>
      <c r="G131" s="172">
        <v>11.72</v>
      </c>
      <c r="H131" s="173">
        <v>12.55</v>
      </c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11.25" customHeight="1">
      <c r="A132" s="174"/>
      <c r="B132" s="179" t="s">
        <v>105</v>
      </c>
      <c r="C132" s="180">
        <v>2099.97</v>
      </c>
      <c r="D132" s="180">
        <v>2.7</v>
      </c>
      <c r="E132" s="184">
        <v>7.85</v>
      </c>
      <c r="F132" s="180">
        <v>10.94</v>
      </c>
      <c r="G132" s="172">
        <v>14.74</v>
      </c>
      <c r="H132" s="173">
        <v>14.74</v>
      </c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6.75" customHeight="1">
      <c r="A133" s="166"/>
      <c r="B133" s="166"/>
      <c r="C133" s="175"/>
      <c r="D133" s="176"/>
      <c r="E133" s="177"/>
      <c r="F133" s="177"/>
      <c r="G133" s="177"/>
      <c r="H133" s="178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11.25" customHeight="1">
      <c r="A134" s="168">
        <v>2003.0</v>
      </c>
      <c r="B134" s="171" t="s">
        <v>94</v>
      </c>
      <c r="C134" s="172">
        <v>2151.84</v>
      </c>
      <c r="D134" s="184">
        <v>2.47</v>
      </c>
      <c r="E134" s="184">
        <v>8.8</v>
      </c>
      <c r="F134" s="180">
        <v>12.39</v>
      </c>
      <c r="G134" s="180">
        <v>2.47</v>
      </c>
      <c r="H134" s="173">
        <v>16.33</v>
      </c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11.25" customHeight="1">
      <c r="A135" s="140"/>
      <c r="B135" s="171" t="s">
        <v>95</v>
      </c>
      <c r="C135" s="172">
        <v>2183.26</v>
      </c>
      <c r="D135" s="172">
        <v>1.46</v>
      </c>
      <c r="E135" s="184">
        <v>6.77</v>
      </c>
      <c r="F135" s="180">
        <v>13.06</v>
      </c>
      <c r="G135" s="180">
        <v>3.97</v>
      </c>
      <c r="H135" s="173">
        <v>17.66</v>
      </c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11.25" customHeight="1">
      <c r="A136" s="140"/>
      <c r="B136" s="171" t="s">
        <v>96</v>
      </c>
      <c r="C136" s="172">
        <v>2213.17</v>
      </c>
      <c r="D136" s="172">
        <v>1.37</v>
      </c>
      <c r="E136" s="184">
        <v>5.39</v>
      </c>
      <c r="F136" s="180">
        <v>13.66</v>
      </c>
      <c r="G136" s="180">
        <v>5.39</v>
      </c>
      <c r="H136" s="173">
        <v>18.54</v>
      </c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11.25" customHeight="1">
      <c r="A137" s="140"/>
      <c r="B137" s="171" t="s">
        <v>97</v>
      </c>
      <c r="C137" s="172">
        <v>2243.71</v>
      </c>
      <c r="D137" s="172">
        <v>1.38</v>
      </c>
      <c r="E137" s="184">
        <v>4.27</v>
      </c>
      <c r="F137" s="180">
        <v>13.45</v>
      </c>
      <c r="G137" s="180">
        <v>6.84</v>
      </c>
      <c r="H137" s="173">
        <v>19.36</v>
      </c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11.25" customHeight="1">
      <c r="A138" s="140"/>
      <c r="B138" s="171" t="s">
        <v>98</v>
      </c>
      <c r="C138" s="172">
        <v>2265.92</v>
      </c>
      <c r="D138" s="172">
        <v>0.99</v>
      </c>
      <c r="E138" s="184">
        <v>3.79</v>
      </c>
      <c r="F138" s="180">
        <v>10.82</v>
      </c>
      <c r="G138" s="180">
        <v>7.9</v>
      </c>
      <c r="H138" s="173">
        <v>20.44</v>
      </c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11.25" customHeight="1">
      <c r="A139" s="140"/>
      <c r="B139" s="171" t="s">
        <v>99</v>
      </c>
      <c r="C139" s="172">
        <v>2264.56</v>
      </c>
      <c r="D139" s="172">
        <v>-0.06</v>
      </c>
      <c r="E139" s="184">
        <v>2.32</v>
      </c>
      <c r="F139" s="180">
        <v>7.84</v>
      </c>
      <c r="G139" s="180">
        <v>7.84</v>
      </c>
      <c r="H139" s="173">
        <v>19.64</v>
      </c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11.25" customHeight="1">
      <c r="A140" s="140"/>
      <c r="B140" s="171" t="s">
        <v>100</v>
      </c>
      <c r="C140" s="172">
        <v>2265.47</v>
      </c>
      <c r="D140" s="172">
        <v>0.04</v>
      </c>
      <c r="E140" s="184">
        <v>0.97</v>
      </c>
      <c r="F140" s="180">
        <v>5.28</v>
      </c>
      <c r="G140" s="180">
        <v>7.88</v>
      </c>
      <c r="H140" s="173">
        <v>18.32</v>
      </c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11.25" customHeight="1">
      <c r="A141" s="140"/>
      <c r="B141" s="171" t="s">
        <v>101</v>
      </c>
      <c r="C141" s="172">
        <v>2269.55</v>
      </c>
      <c r="D141" s="172">
        <v>0.18</v>
      </c>
      <c r="E141" s="184">
        <v>0.16</v>
      </c>
      <c r="F141" s="180">
        <v>3.95</v>
      </c>
      <c r="G141" s="180">
        <v>8.08</v>
      </c>
      <c r="H141" s="173">
        <v>17.53</v>
      </c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11.25" customHeight="1">
      <c r="A142" s="174"/>
      <c r="B142" s="179" t="s">
        <v>102</v>
      </c>
      <c r="C142" s="180">
        <v>2288.16</v>
      </c>
      <c r="D142" s="180">
        <v>0.82</v>
      </c>
      <c r="E142" s="184">
        <v>1.04</v>
      </c>
      <c r="F142" s="180">
        <v>3.39</v>
      </c>
      <c r="G142" s="180">
        <v>8.96</v>
      </c>
      <c r="H142" s="173">
        <v>17.51</v>
      </c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11.25" customHeight="1">
      <c r="A143" s="174"/>
      <c r="B143" s="179" t="s">
        <v>103</v>
      </c>
      <c r="C143" s="180">
        <v>2297.08</v>
      </c>
      <c r="D143" s="180">
        <v>0.39</v>
      </c>
      <c r="E143" s="184">
        <v>1.4</v>
      </c>
      <c r="F143" s="180">
        <v>2.38</v>
      </c>
      <c r="G143" s="180">
        <v>9.39</v>
      </c>
      <c r="H143" s="173">
        <v>16.15</v>
      </c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11.25" customHeight="1">
      <c r="A144" s="140"/>
      <c r="B144" s="171" t="s">
        <v>104</v>
      </c>
      <c r="C144" s="172">
        <v>2305.58</v>
      </c>
      <c r="D144" s="184">
        <v>0.37</v>
      </c>
      <c r="E144" s="184">
        <v>1.59</v>
      </c>
      <c r="F144" s="180">
        <v>1.75</v>
      </c>
      <c r="G144" s="180">
        <v>9.79</v>
      </c>
      <c r="H144" s="173">
        <v>12.76</v>
      </c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11.25" customHeight="1">
      <c r="A145" s="145"/>
      <c r="B145" s="196" t="s">
        <v>105</v>
      </c>
      <c r="C145" s="197">
        <v>2318.03</v>
      </c>
      <c r="D145" s="197">
        <v>0.54</v>
      </c>
      <c r="E145" s="197">
        <v>1.31</v>
      </c>
      <c r="F145" s="187">
        <v>2.36</v>
      </c>
      <c r="G145" s="187">
        <v>10.38</v>
      </c>
      <c r="H145" s="188">
        <v>10.38</v>
      </c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6.75" customHeight="1">
      <c r="A146" s="140"/>
      <c r="B146" s="189"/>
      <c r="C146" s="190"/>
      <c r="D146" s="190"/>
      <c r="E146" s="190"/>
      <c r="F146" s="190"/>
      <c r="G146" s="190"/>
      <c r="H146" s="181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6.75" customHeight="1">
      <c r="A147" s="191" t="s">
        <v>106</v>
      </c>
      <c r="I147" s="144"/>
      <c r="J147" s="140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6.5" customHeight="1">
      <c r="A148" s="143" t="s">
        <v>84</v>
      </c>
      <c r="I148" s="144"/>
      <c r="J148" s="140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0" customHeight="1">
      <c r="A149" s="145"/>
      <c r="B149" s="145"/>
      <c r="C149" s="146"/>
      <c r="D149" s="145"/>
      <c r="E149" s="145"/>
      <c r="F149" s="145"/>
      <c r="G149" s="145"/>
      <c r="H149" s="147" t="s">
        <v>107</v>
      </c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14.25" customHeight="1">
      <c r="A150" s="148"/>
      <c r="B150" s="148"/>
      <c r="C150" s="149"/>
      <c r="D150" s="150"/>
      <c r="E150" s="151"/>
      <c r="F150" s="151" t="s">
        <v>86</v>
      </c>
      <c r="G150" s="151"/>
      <c r="H150" s="152"/>
      <c r="I150" s="153"/>
      <c r="J150" s="140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13.5" customHeight="1">
      <c r="A151" s="154" t="s">
        <v>87</v>
      </c>
      <c r="B151" s="155" t="s">
        <v>88</v>
      </c>
      <c r="C151" s="156" t="s">
        <v>89</v>
      </c>
      <c r="D151" s="157" t="s">
        <v>90</v>
      </c>
      <c r="E151" s="90"/>
      <c r="F151" s="90"/>
      <c r="G151" s="90"/>
      <c r="H151" s="90"/>
      <c r="I151" s="153"/>
      <c r="J151" s="140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13.5" customHeight="1">
      <c r="A152" s="154"/>
      <c r="B152" s="155"/>
      <c r="C152" s="158" t="s">
        <v>91</v>
      </c>
      <c r="D152" s="159" t="s">
        <v>92</v>
      </c>
      <c r="E152" s="159">
        <v>3.0</v>
      </c>
      <c r="F152" s="159">
        <v>6.0</v>
      </c>
      <c r="G152" s="159" t="s">
        <v>92</v>
      </c>
      <c r="H152" s="160">
        <v>12.0</v>
      </c>
      <c r="I152" s="153"/>
      <c r="J152" s="140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14.25" customHeight="1">
      <c r="A153" s="161"/>
      <c r="B153" s="161"/>
      <c r="C153" s="162"/>
      <c r="D153" s="163" t="s">
        <v>88</v>
      </c>
      <c r="E153" s="164" t="s">
        <v>93</v>
      </c>
      <c r="F153" s="164" t="s">
        <v>93</v>
      </c>
      <c r="G153" s="164" t="s">
        <v>87</v>
      </c>
      <c r="H153" s="165" t="s">
        <v>93</v>
      </c>
      <c r="I153" s="153"/>
      <c r="J153" s="140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6.75" customHeight="1">
      <c r="A154" s="166"/>
      <c r="B154" s="166"/>
      <c r="C154" s="167"/>
      <c r="D154" s="168"/>
      <c r="E154" s="169"/>
      <c r="F154" s="169"/>
      <c r="G154" s="169"/>
      <c r="H154" s="17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11.25" customHeight="1">
      <c r="A155" s="168">
        <v>2004.0</v>
      </c>
      <c r="B155" s="192" t="s">
        <v>94</v>
      </c>
      <c r="C155" s="180">
        <v>2337.27</v>
      </c>
      <c r="D155" s="180">
        <v>0.83</v>
      </c>
      <c r="E155" s="184">
        <v>1.75</v>
      </c>
      <c r="F155" s="180">
        <v>3.17</v>
      </c>
      <c r="G155" s="180">
        <v>0.83</v>
      </c>
      <c r="H155" s="173">
        <v>8.62</v>
      </c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11.25" customHeight="1">
      <c r="A156" s="198"/>
      <c r="B156" s="192" t="s">
        <v>95</v>
      </c>
      <c r="C156" s="180">
        <v>2346.39</v>
      </c>
      <c r="D156" s="180">
        <v>0.39</v>
      </c>
      <c r="E156" s="184">
        <v>1.77</v>
      </c>
      <c r="F156" s="180">
        <v>3.39</v>
      </c>
      <c r="G156" s="180">
        <v>1.22</v>
      </c>
      <c r="H156" s="173">
        <v>7.47</v>
      </c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11.25" customHeight="1">
      <c r="A157" s="199"/>
      <c r="B157" s="192" t="s">
        <v>96</v>
      </c>
      <c r="C157" s="180">
        <v>2359.76</v>
      </c>
      <c r="D157" s="180">
        <v>0.57</v>
      </c>
      <c r="E157" s="184">
        <v>1.8</v>
      </c>
      <c r="F157" s="180">
        <v>3.13</v>
      </c>
      <c r="G157" s="180">
        <v>1.8</v>
      </c>
      <c r="H157" s="173">
        <v>6.62</v>
      </c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11.25" customHeight="1">
      <c r="A158" s="200"/>
      <c r="B158" s="192" t="s">
        <v>97</v>
      </c>
      <c r="C158" s="180">
        <v>2369.43</v>
      </c>
      <c r="D158" s="180">
        <v>0.41</v>
      </c>
      <c r="E158" s="184">
        <v>1.38</v>
      </c>
      <c r="F158" s="180">
        <v>3.15</v>
      </c>
      <c r="G158" s="180">
        <v>2.22</v>
      </c>
      <c r="H158" s="181">
        <v>5.6</v>
      </c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1.25" customHeight="1">
      <c r="A159" s="200"/>
      <c r="B159" s="179" t="s">
        <v>98</v>
      </c>
      <c r="C159" s="180">
        <v>2378.91</v>
      </c>
      <c r="D159" s="180">
        <v>0.4</v>
      </c>
      <c r="E159" s="184">
        <v>1.39</v>
      </c>
      <c r="F159" s="180">
        <v>3.18</v>
      </c>
      <c r="G159" s="180">
        <v>2.63</v>
      </c>
      <c r="H159" s="181">
        <v>4.99</v>
      </c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1.25" customHeight="1">
      <c r="A160" s="200"/>
      <c r="B160" s="179" t="s">
        <v>99</v>
      </c>
      <c r="C160" s="180">
        <v>2390.8</v>
      </c>
      <c r="D160" s="180">
        <v>0.5</v>
      </c>
      <c r="E160" s="184">
        <v>1.32</v>
      </c>
      <c r="F160" s="180">
        <v>3.14</v>
      </c>
      <c r="G160" s="180">
        <v>3.14</v>
      </c>
      <c r="H160" s="181">
        <v>5.57</v>
      </c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11.25" customHeight="1">
      <c r="A161" s="200"/>
      <c r="B161" s="179" t="s">
        <v>100</v>
      </c>
      <c r="C161" s="180">
        <v>2408.25</v>
      </c>
      <c r="D161" s="180">
        <v>0.73</v>
      </c>
      <c r="E161" s="184">
        <v>1.64</v>
      </c>
      <c r="F161" s="180">
        <v>3.04</v>
      </c>
      <c r="G161" s="180">
        <v>3.89</v>
      </c>
      <c r="H161" s="181">
        <v>6.3</v>
      </c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11.25" customHeight="1">
      <c r="A162" s="200"/>
      <c r="B162" s="179" t="s">
        <v>101</v>
      </c>
      <c r="C162" s="180">
        <v>2420.29</v>
      </c>
      <c r="D162" s="180">
        <v>0.5</v>
      </c>
      <c r="E162" s="184">
        <v>1.74</v>
      </c>
      <c r="F162" s="180">
        <v>3.15</v>
      </c>
      <c r="G162" s="180">
        <v>4.41</v>
      </c>
      <c r="H162" s="181">
        <v>6.64</v>
      </c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11.25" customHeight="1">
      <c r="A163" s="200"/>
      <c r="B163" s="179" t="s">
        <v>102</v>
      </c>
      <c r="C163" s="180">
        <v>2424.4</v>
      </c>
      <c r="D163" s="180">
        <v>0.17</v>
      </c>
      <c r="E163" s="184">
        <v>1.41</v>
      </c>
      <c r="F163" s="180">
        <v>2.74</v>
      </c>
      <c r="G163" s="180">
        <v>4.59</v>
      </c>
      <c r="H163" s="181">
        <v>5.95</v>
      </c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11.25" customHeight="1">
      <c r="A164" s="200"/>
      <c r="B164" s="179" t="s">
        <v>103</v>
      </c>
      <c r="C164" s="180">
        <v>2428.52</v>
      </c>
      <c r="D164" s="180">
        <v>0.17</v>
      </c>
      <c r="E164" s="184">
        <v>0.84</v>
      </c>
      <c r="F164" s="180">
        <v>2.49</v>
      </c>
      <c r="G164" s="180">
        <v>4.77</v>
      </c>
      <c r="H164" s="181">
        <v>5.72</v>
      </c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11.25" customHeight="1">
      <c r="A165" s="200"/>
      <c r="B165" s="179" t="s">
        <v>104</v>
      </c>
      <c r="C165" s="180">
        <v>2439.21</v>
      </c>
      <c r="D165" s="180">
        <v>0.44</v>
      </c>
      <c r="E165" s="184">
        <v>0.78</v>
      </c>
      <c r="F165" s="180">
        <v>2.53</v>
      </c>
      <c r="G165" s="180">
        <v>5.23</v>
      </c>
      <c r="H165" s="181">
        <v>5.8</v>
      </c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11.25" customHeight="1">
      <c r="A166" s="200"/>
      <c r="B166" s="179" t="s">
        <v>105</v>
      </c>
      <c r="C166" s="180">
        <v>2460.19</v>
      </c>
      <c r="D166" s="180">
        <v>0.86</v>
      </c>
      <c r="E166" s="184">
        <v>1.48</v>
      </c>
      <c r="F166" s="180">
        <v>2.9</v>
      </c>
      <c r="G166" s="180">
        <v>6.13</v>
      </c>
      <c r="H166" s="181">
        <v>6.13</v>
      </c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6.75" customHeight="1">
      <c r="A167" s="166"/>
      <c r="B167" s="166"/>
      <c r="C167" s="175"/>
      <c r="D167" s="176"/>
      <c r="E167" s="177"/>
      <c r="F167" s="177"/>
      <c r="G167" s="177"/>
      <c r="H167" s="178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11.25" customHeight="1">
      <c r="A168" s="168">
        <v>2005.0</v>
      </c>
      <c r="B168" s="192" t="s">
        <v>94</v>
      </c>
      <c r="C168" s="180">
        <v>2474.21</v>
      </c>
      <c r="D168" s="180">
        <v>0.57</v>
      </c>
      <c r="E168" s="184">
        <v>1.88</v>
      </c>
      <c r="F168" s="180">
        <v>2.74</v>
      </c>
      <c r="G168" s="180">
        <v>0.57</v>
      </c>
      <c r="H168" s="173">
        <v>5.86</v>
      </c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11.25" customHeight="1">
      <c r="A169" s="198"/>
      <c r="B169" s="192" t="s">
        <v>95</v>
      </c>
      <c r="C169" s="180">
        <v>2485.1</v>
      </c>
      <c r="D169" s="180">
        <v>0.44</v>
      </c>
      <c r="E169" s="184">
        <v>1.88</v>
      </c>
      <c r="F169" s="180">
        <v>2.68</v>
      </c>
      <c r="G169" s="180">
        <v>1.01</v>
      </c>
      <c r="H169" s="173">
        <v>5.91</v>
      </c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11.25" customHeight="1">
      <c r="A170" s="198"/>
      <c r="B170" s="192" t="s">
        <v>96</v>
      </c>
      <c r="C170" s="180">
        <v>2503.24</v>
      </c>
      <c r="D170" s="180">
        <v>0.73</v>
      </c>
      <c r="E170" s="184">
        <v>1.75</v>
      </c>
      <c r="F170" s="180">
        <v>3.25</v>
      </c>
      <c r="G170" s="180">
        <v>1.75</v>
      </c>
      <c r="H170" s="173">
        <v>6.08</v>
      </c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11.25" customHeight="1">
      <c r="A171" s="200"/>
      <c r="B171" s="192" t="s">
        <v>97</v>
      </c>
      <c r="C171" s="180">
        <v>2526.02</v>
      </c>
      <c r="D171" s="180">
        <v>0.91</v>
      </c>
      <c r="E171" s="184">
        <v>2.09</v>
      </c>
      <c r="F171" s="180">
        <v>4.01</v>
      </c>
      <c r="G171" s="180">
        <v>2.68</v>
      </c>
      <c r="H171" s="181">
        <v>6.61</v>
      </c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11.25" customHeight="1">
      <c r="A172" s="200"/>
      <c r="B172" s="192" t="s">
        <v>98</v>
      </c>
      <c r="C172" s="180">
        <v>2543.7</v>
      </c>
      <c r="D172" s="180">
        <v>0.7</v>
      </c>
      <c r="E172" s="184">
        <v>2.36</v>
      </c>
      <c r="F172" s="180">
        <v>4.28</v>
      </c>
      <c r="G172" s="180">
        <v>3.39</v>
      </c>
      <c r="H172" s="181">
        <v>6.93</v>
      </c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11.25" customHeight="1">
      <c r="A173" s="200"/>
      <c r="B173" s="192" t="s">
        <v>99</v>
      </c>
      <c r="C173" s="180">
        <v>2540.9</v>
      </c>
      <c r="D173" s="180">
        <v>-0.11</v>
      </c>
      <c r="E173" s="184">
        <v>1.5</v>
      </c>
      <c r="F173" s="180">
        <v>3.28</v>
      </c>
      <c r="G173" s="180">
        <v>3.28</v>
      </c>
      <c r="H173" s="181">
        <v>6.28</v>
      </c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11.25" customHeight="1">
      <c r="A174" s="200"/>
      <c r="B174" s="192" t="s">
        <v>100</v>
      </c>
      <c r="C174" s="180">
        <v>2541.66</v>
      </c>
      <c r="D174" s="180">
        <v>0.03</v>
      </c>
      <c r="E174" s="184">
        <v>0.62</v>
      </c>
      <c r="F174" s="180">
        <v>2.73</v>
      </c>
      <c r="G174" s="180">
        <v>3.31</v>
      </c>
      <c r="H174" s="181">
        <v>5.54</v>
      </c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11.25" customHeight="1">
      <c r="A175" s="200"/>
      <c r="B175" s="192" t="s">
        <v>101</v>
      </c>
      <c r="C175" s="180">
        <v>2541.66</v>
      </c>
      <c r="D175" s="180">
        <v>0.0</v>
      </c>
      <c r="E175" s="184">
        <v>-0.08</v>
      </c>
      <c r="F175" s="180">
        <v>2.28</v>
      </c>
      <c r="G175" s="180">
        <v>3.31</v>
      </c>
      <c r="H175" s="181">
        <v>5.01</v>
      </c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11.25" customHeight="1">
      <c r="A176" s="200"/>
      <c r="B176" s="192" t="s">
        <v>102</v>
      </c>
      <c r="C176" s="180">
        <v>2545.47</v>
      </c>
      <c r="D176" s="180">
        <v>0.15</v>
      </c>
      <c r="E176" s="184">
        <v>0.18</v>
      </c>
      <c r="F176" s="180">
        <v>1.69</v>
      </c>
      <c r="G176" s="180">
        <v>3.47</v>
      </c>
      <c r="H176" s="181">
        <v>4.99</v>
      </c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11.25" customHeight="1">
      <c r="A177" s="200"/>
      <c r="B177" s="192" t="s">
        <v>103</v>
      </c>
      <c r="C177" s="180">
        <v>2560.23</v>
      </c>
      <c r="D177" s="180">
        <v>0.58</v>
      </c>
      <c r="E177" s="184">
        <v>0.73</v>
      </c>
      <c r="F177" s="180">
        <v>1.35</v>
      </c>
      <c r="G177" s="180">
        <v>4.07</v>
      </c>
      <c r="H177" s="181">
        <v>5.42</v>
      </c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11.25" customHeight="1">
      <c r="A178" s="200"/>
      <c r="B178" s="192" t="s">
        <v>104</v>
      </c>
      <c r="C178" s="180">
        <v>2574.05</v>
      </c>
      <c r="D178" s="180">
        <v>0.54</v>
      </c>
      <c r="E178" s="184">
        <v>1.27</v>
      </c>
      <c r="F178" s="180">
        <v>1.19</v>
      </c>
      <c r="G178" s="180">
        <v>4.63</v>
      </c>
      <c r="H178" s="181">
        <v>5.53</v>
      </c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11.25" customHeight="1">
      <c r="A179" s="200"/>
      <c r="B179" s="192" t="s">
        <v>105</v>
      </c>
      <c r="C179" s="180">
        <v>2584.35</v>
      </c>
      <c r="D179" s="180">
        <v>0.4</v>
      </c>
      <c r="E179" s="184">
        <v>1.53</v>
      </c>
      <c r="F179" s="180">
        <v>1.71</v>
      </c>
      <c r="G179" s="180">
        <v>5.05</v>
      </c>
      <c r="H179" s="181">
        <v>5.05</v>
      </c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6.75" customHeight="1">
      <c r="A180" s="166"/>
      <c r="B180" s="166"/>
      <c r="C180" s="175"/>
      <c r="D180" s="176"/>
      <c r="E180" s="177"/>
      <c r="F180" s="177"/>
      <c r="G180" s="177"/>
      <c r="H180" s="178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11.25" customHeight="1">
      <c r="A181" s="168">
        <v>2006.0</v>
      </c>
      <c r="B181" s="192" t="s">
        <v>94</v>
      </c>
      <c r="C181" s="180">
        <v>2594.17</v>
      </c>
      <c r="D181" s="180">
        <v>0.38</v>
      </c>
      <c r="E181" s="184">
        <v>1.33</v>
      </c>
      <c r="F181" s="180">
        <v>2.07</v>
      </c>
      <c r="G181" s="180">
        <v>0.38</v>
      </c>
      <c r="H181" s="173">
        <v>4.85</v>
      </c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11.25" customHeight="1">
      <c r="A182" s="198"/>
      <c r="B182" s="192" t="s">
        <v>95</v>
      </c>
      <c r="C182" s="180">
        <v>2600.14</v>
      </c>
      <c r="D182" s="180">
        <v>0.23</v>
      </c>
      <c r="E182" s="184">
        <v>1.01</v>
      </c>
      <c r="F182" s="180">
        <v>2.3</v>
      </c>
      <c r="G182" s="180">
        <v>0.61</v>
      </c>
      <c r="H182" s="173">
        <v>4.63</v>
      </c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11.25" customHeight="1">
      <c r="A183" s="198"/>
      <c r="B183" s="192" t="s">
        <v>96</v>
      </c>
      <c r="C183" s="180">
        <v>2607.16</v>
      </c>
      <c r="D183" s="180">
        <v>0.27</v>
      </c>
      <c r="E183" s="184">
        <v>0.88</v>
      </c>
      <c r="F183" s="180">
        <v>2.42</v>
      </c>
      <c r="G183" s="180">
        <v>0.88</v>
      </c>
      <c r="H183" s="173">
        <v>4.15</v>
      </c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11.25" customHeight="1">
      <c r="A184" s="200"/>
      <c r="B184" s="192" t="s">
        <v>97</v>
      </c>
      <c r="C184" s="180">
        <v>2610.29</v>
      </c>
      <c r="D184" s="180">
        <v>0.12</v>
      </c>
      <c r="E184" s="184">
        <v>0.62</v>
      </c>
      <c r="F184" s="180">
        <v>1.96</v>
      </c>
      <c r="G184" s="180">
        <v>1.0</v>
      </c>
      <c r="H184" s="173">
        <v>3.34</v>
      </c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11.25" customHeight="1">
      <c r="A185" s="200"/>
      <c r="B185" s="192" t="s">
        <v>98</v>
      </c>
      <c r="C185" s="180">
        <v>2613.68</v>
      </c>
      <c r="D185" s="180">
        <v>0.13</v>
      </c>
      <c r="E185" s="184">
        <v>0.52</v>
      </c>
      <c r="F185" s="180">
        <v>1.54</v>
      </c>
      <c r="G185" s="180">
        <v>1.13</v>
      </c>
      <c r="H185" s="181">
        <v>2.75</v>
      </c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11.25" customHeight="1">
      <c r="A186" s="200"/>
      <c r="B186" s="192" t="s">
        <v>99</v>
      </c>
      <c r="C186" s="180">
        <v>2611.85</v>
      </c>
      <c r="D186" s="180">
        <v>-0.07</v>
      </c>
      <c r="E186" s="184">
        <v>0.18</v>
      </c>
      <c r="F186" s="180">
        <v>1.06</v>
      </c>
      <c r="G186" s="180">
        <v>1.06</v>
      </c>
      <c r="H186" s="181">
        <v>2.79</v>
      </c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11.25" customHeight="1">
      <c r="A187" s="200"/>
      <c r="B187" s="192" t="s">
        <v>100</v>
      </c>
      <c r="C187" s="180">
        <v>2614.72</v>
      </c>
      <c r="D187" s="180">
        <v>0.11</v>
      </c>
      <c r="E187" s="184">
        <v>0.17</v>
      </c>
      <c r="F187" s="180">
        <v>0.79</v>
      </c>
      <c r="G187" s="180">
        <v>1.18</v>
      </c>
      <c r="H187" s="181">
        <v>2.87</v>
      </c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11.25" customHeight="1">
      <c r="A188" s="200"/>
      <c r="B188" s="192" t="s">
        <v>101</v>
      </c>
      <c r="C188" s="180">
        <v>2614.2</v>
      </c>
      <c r="D188" s="180">
        <v>-0.02</v>
      </c>
      <c r="E188" s="184">
        <v>0.02</v>
      </c>
      <c r="F188" s="180">
        <v>0.54</v>
      </c>
      <c r="G188" s="180">
        <v>1.16</v>
      </c>
      <c r="H188" s="181">
        <v>2.85</v>
      </c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11.25" customHeight="1">
      <c r="A189" s="200"/>
      <c r="B189" s="192" t="s">
        <v>102</v>
      </c>
      <c r="C189" s="180">
        <v>2618.38</v>
      </c>
      <c r="D189" s="180">
        <v>0.16</v>
      </c>
      <c r="E189" s="184">
        <v>0.25</v>
      </c>
      <c r="F189" s="180">
        <v>0.43</v>
      </c>
      <c r="G189" s="180">
        <v>1.32</v>
      </c>
      <c r="H189" s="181">
        <v>2.86</v>
      </c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11.25" customHeight="1">
      <c r="A190" s="200"/>
      <c r="B190" s="192" t="s">
        <v>103</v>
      </c>
      <c r="C190" s="180">
        <v>2629.64</v>
      </c>
      <c r="D190" s="180">
        <v>0.43</v>
      </c>
      <c r="E190" s="184">
        <v>0.57</v>
      </c>
      <c r="F190" s="180">
        <v>0.74</v>
      </c>
      <c r="G190" s="180">
        <v>1.75</v>
      </c>
      <c r="H190" s="181">
        <v>2.71</v>
      </c>
      <c r="I190" s="140"/>
      <c r="J190" s="140"/>
      <c r="K190" s="141"/>
      <c r="L190" s="141"/>
      <c r="M190" s="141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11.25" customHeight="1">
      <c r="A191" s="200"/>
      <c r="B191" s="192" t="s">
        <v>104</v>
      </c>
      <c r="C191" s="180">
        <v>2640.68</v>
      </c>
      <c r="D191" s="180">
        <v>0.42</v>
      </c>
      <c r="E191" s="184">
        <v>1.01</v>
      </c>
      <c r="F191" s="180">
        <v>1.03</v>
      </c>
      <c r="G191" s="180">
        <v>2.18</v>
      </c>
      <c r="H191" s="181">
        <v>2.59</v>
      </c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11.25" customHeight="1">
      <c r="A192" s="200"/>
      <c r="B192" s="192" t="s">
        <v>105</v>
      </c>
      <c r="C192" s="180">
        <v>2657.05</v>
      </c>
      <c r="D192" s="180">
        <v>0.62</v>
      </c>
      <c r="E192" s="184">
        <v>1.48</v>
      </c>
      <c r="F192" s="180">
        <v>1.73</v>
      </c>
      <c r="G192" s="180">
        <v>2.81</v>
      </c>
      <c r="H192" s="181">
        <v>2.81</v>
      </c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6.75" customHeight="1">
      <c r="A193" s="166"/>
      <c r="B193" s="166"/>
      <c r="C193" s="175"/>
      <c r="D193" s="176"/>
      <c r="E193" s="177"/>
      <c r="F193" s="177"/>
      <c r="G193" s="177"/>
      <c r="H193" s="178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11.25" customHeight="1">
      <c r="A194" s="168">
        <v>2007.0</v>
      </c>
      <c r="B194" s="192" t="s">
        <v>94</v>
      </c>
      <c r="C194" s="180">
        <v>2670.07</v>
      </c>
      <c r="D194" s="180">
        <v>0.49</v>
      </c>
      <c r="E194" s="184">
        <v>1.54</v>
      </c>
      <c r="F194" s="180">
        <v>2.12</v>
      </c>
      <c r="G194" s="180">
        <v>0.49</v>
      </c>
      <c r="H194" s="181">
        <v>2.93</v>
      </c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11.25" customHeight="1">
      <c r="A195" s="198"/>
      <c r="B195" s="192" t="s">
        <v>95</v>
      </c>
      <c r="C195" s="180">
        <v>2681.28</v>
      </c>
      <c r="D195" s="180">
        <v>0.42</v>
      </c>
      <c r="E195" s="184">
        <v>1.54</v>
      </c>
      <c r="F195" s="180">
        <v>2.57</v>
      </c>
      <c r="G195" s="180">
        <v>0.91</v>
      </c>
      <c r="H195" s="181">
        <v>3.12</v>
      </c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11.25" customHeight="1">
      <c r="A196" s="198"/>
      <c r="B196" s="192" t="s">
        <v>96</v>
      </c>
      <c r="C196" s="180">
        <v>2693.08</v>
      </c>
      <c r="D196" s="180">
        <v>0.44</v>
      </c>
      <c r="E196" s="184">
        <v>1.36</v>
      </c>
      <c r="F196" s="180">
        <v>2.85</v>
      </c>
      <c r="G196" s="180">
        <v>1.36</v>
      </c>
      <c r="H196" s="181">
        <v>3.3</v>
      </c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11.25" customHeight="1">
      <c r="A197" s="200"/>
      <c r="B197" s="192" t="s">
        <v>97</v>
      </c>
      <c r="C197" s="180">
        <v>2700.08</v>
      </c>
      <c r="D197" s="180">
        <v>0.26</v>
      </c>
      <c r="E197" s="184">
        <v>1.12</v>
      </c>
      <c r="F197" s="180">
        <v>2.68</v>
      </c>
      <c r="G197" s="180">
        <v>1.62</v>
      </c>
      <c r="H197" s="181">
        <v>3.44</v>
      </c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11.25" customHeight="1">
      <c r="A198" s="200"/>
      <c r="B198" s="192" t="s">
        <v>98</v>
      </c>
      <c r="C198" s="180">
        <v>2707.1</v>
      </c>
      <c r="D198" s="180">
        <v>0.26</v>
      </c>
      <c r="E198" s="184">
        <v>0.96</v>
      </c>
      <c r="F198" s="180">
        <v>2.51</v>
      </c>
      <c r="G198" s="180">
        <v>1.88</v>
      </c>
      <c r="H198" s="181">
        <v>3.57</v>
      </c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11.25" customHeight="1">
      <c r="A199" s="200"/>
      <c r="B199" s="192" t="s">
        <v>99</v>
      </c>
      <c r="C199" s="180">
        <v>2715.49</v>
      </c>
      <c r="D199" s="180">
        <v>0.31</v>
      </c>
      <c r="E199" s="184">
        <v>0.83</v>
      </c>
      <c r="F199" s="180">
        <v>2.2</v>
      </c>
      <c r="G199" s="180">
        <v>2.2</v>
      </c>
      <c r="H199" s="181">
        <v>3.97</v>
      </c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11.25" customHeight="1">
      <c r="A200" s="200"/>
      <c r="B200" s="192" t="s">
        <v>100</v>
      </c>
      <c r="C200" s="180">
        <v>2724.18</v>
      </c>
      <c r="D200" s="180">
        <v>0.32</v>
      </c>
      <c r="E200" s="184">
        <v>0.89</v>
      </c>
      <c r="F200" s="180">
        <v>2.03</v>
      </c>
      <c r="G200" s="180">
        <v>2.53</v>
      </c>
      <c r="H200" s="181">
        <v>4.19</v>
      </c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11.25" customHeight="1">
      <c r="A201" s="200"/>
      <c r="B201" s="192" t="s">
        <v>101</v>
      </c>
      <c r="C201" s="180">
        <v>2740.25</v>
      </c>
      <c r="D201" s="180">
        <v>0.59</v>
      </c>
      <c r="E201" s="184">
        <v>1.22</v>
      </c>
      <c r="F201" s="180">
        <v>2.2</v>
      </c>
      <c r="G201" s="180">
        <v>3.13</v>
      </c>
      <c r="H201" s="181">
        <v>4.82</v>
      </c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11.25" customHeight="1">
      <c r="A202" s="200"/>
      <c r="B202" s="192" t="s">
        <v>102</v>
      </c>
      <c r="C202" s="180">
        <v>2747.1</v>
      </c>
      <c r="D202" s="180">
        <v>0.25</v>
      </c>
      <c r="E202" s="184">
        <v>1.16</v>
      </c>
      <c r="F202" s="180">
        <v>2.01</v>
      </c>
      <c r="G202" s="180">
        <v>3.39</v>
      </c>
      <c r="H202" s="181">
        <v>4.92</v>
      </c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11.25" customHeight="1">
      <c r="A203" s="200"/>
      <c r="B203" s="192" t="s">
        <v>103</v>
      </c>
      <c r="C203" s="180">
        <v>2755.34</v>
      </c>
      <c r="D203" s="180">
        <v>0.3</v>
      </c>
      <c r="E203" s="184">
        <v>1.14</v>
      </c>
      <c r="F203" s="180">
        <v>2.05</v>
      </c>
      <c r="G203" s="180">
        <v>3.7</v>
      </c>
      <c r="H203" s="181">
        <v>4.78</v>
      </c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11.25" customHeight="1">
      <c r="A204" s="200"/>
      <c r="B204" s="192" t="s">
        <v>104</v>
      </c>
      <c r="C204" s="180">
        <v>2767.19</v>
      </c>
      <c r="D204" s="180">
        <v>0.43</v>
      </c>
      <c r="E204" s="184">
        <v>0.98</v>
      </c>
      <c r="F204" s="180">
        <v>2.22</v>
      </c>
      <c r="G204" s="180">
        <v>4.15</v>
      </c>
      <c r="H204" s="181">
        <v>4.79</v>
      </c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11.25" customHeight="1">
      <c r="A205" s="200"/>
      <c r="B205" s="192" t="s">
        <v>105</v>
      </c>
      <c r="C205" s="180">
        <v>2794.03</v>
      </c>
      <c r="D205" s="180">
        <v>0.97</v>
      </c>
      <c r="E205" s="184">
        <v>1.71</v>
      </c>
      <c r="F205" s="180">
        <v>2.89</v>
      </c>
      <c r="G205" s="180">
        <v>5.16</v>
      </c>
      <c r="H205" s="181">
        <v>5.16</v>
      </c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6.75" customHeight="1">
      <c r="A206" s="166"/>
      <c r="B206" s="166"/>
      <c r="C206" s="175"/>
      <c r="D206" s="176"/>
      <c r="E206" s="177"/>
      <c r="F206" s="177"/>
      <c r="G206" s="177"/>
      <c r="H206" s="178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11.25" customHeight="1">
      <c r="A207" s="168">
        <v>2008.0</v>
      </c>
      <c r="B207" s="192" t="s">
        <v>94</v>
      </c>
      <c r="C207" s="180">
        <v>2813.31</v>
      </c>
      <c r="D207" s="180">
        <v>0.69</v>
      </c>
      <c r="E207" s="184">
        <v>2.1</v>
      </c>
      <c r="F207" s="180">
        <v>3.27</v>
      </c>
      <c r="G207" s="180">
        <v>0.69</v>
      </c>
      <c r="H207" s="181">
        <v>5.36</v>
      </c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11.25" customHeight="1">
      <c r="A208" s="198"/>
      <c r="B208" s="192" t="s">
        <v>95</v>
      </c>
      <c r="C208" s="180">
        <v>2826.81</v>
      </c>
      <c r="D208" s="180">
        <v>0.48</v>
      </c>
      <c r="E208" s="184">
        <v>2.15</v>
      </c>
      <c r="F208" s="180">
        <v>3.16</v>
      </c>
      <c r="G208" s="180">
        <v>1.17</v>
      </c>
      <c r="H208" s="181">
        <v>5.43</v>
      </c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11.25" customHeight="1">
      <c r="A209" s="198"/>
      <c r="B209" s="192" t="s">
        <v>96</v>
      </c>
      <c r="C209" s="180">
        <v>2841.23</v>
      </c>
      <c r="D209" s="180">
        <v>0.51</v>
      </c>
      <c r="E209" s="184">
        <v>1.69</v>
      </c>
      <c r="F209" s="180">
        <v>3.43</v>
      </c>
      <c r="G209" s="180">
        <v>1.69</v>
      </c>
      <c r="H209" s="181">
        <v>5.5</v>
      </c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11.25" customHeight="1">
      <c r="A210" s="198"/>
      <c r="B210" s="192" t="s">
        <v>97</v>
      </c>
      <c r="C210" s="180">
        <v>2859.41</v>
      </c>
      <c r="D210" s="180">
        <v>0.64</v>
      </c>
      <c r="E210" s="184">
        <v>1.64</v>
      </c>
      <c r="F210" s="180">
        <v>3.78</v>
      </c>
      <c r="G210" s="180">
        <v>2.34</v>
      </c>
      <c r="H210" s="181">
        <v>5.9</v>
      </c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11.25" customHeight="1">
      <c r="A211" s="198"/>
      <c r="B211" s="192" t="s">
        <v>98</v>
      </c>
      <c r="C211" s="180">
        <v>2886.86</v>
      </c>
      <c r="D211" s="180">
        <v>0.96</v>
      </c>
      <c r="E211" s="184">
        <v>2.12</v>
      </c>
      <c r="F211" s="180">
        <v>4.32</v>
      </c>
      <c r="G211" s="180">
        <v>3.32</v>
      </c>
      <c r="H211" s="181">
        <v>6.64</v>
      </c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1.25" customHeight="1">
      <c r="A212" s="198"/>
      <c r="B212" s="192" t="s">
        <v>99</v>
      </c>
      <c r="C212" s="180">
        <v>2913.13</v>
      </c>
      <c r="D212" s="180">
        <v>0.91</v>
      </c>
      <c r="E212" s="184">
        <v>2.53</v>
      </c>
      <c r="F212" s="180">
        <v>4.26</v>
      </c>
      <c r="G212" s="180">
        <v>4.26</v>
      </c>
      <c r="H212" s="181">
        <v>7.28</v>
      </c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1.25" customHeight="1">
      <c r="A213" s="198"/>
      <c r="B213" s="192" t="s">
        <v>100</v>
      </c>
      <c r="C213" s="180">
        <v>2930.03</v>
      </c>
      <c r="D213" s="180">
        <v>0.58</v>
      </c>
      <c r="E213" s="184">
        <v>2.47</v>
      </c>
      <c r="F213" s="180">
        <v>4.15</v>
      </c>
      <c r="G213" s="180">
        <v>4.87</v>
      </c>
      <c r="H213" s="181">
        <v>7.56</v>
      </c>
      <c r="I213" s="141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11.25" customHeight="1">
      <c r="A214" s="198"/>
      <c r="B214" s="192" t="s">
        <v>101</v>
      </c>
      <c r="C214" s="180">
        <v>2936.18</v>
      </c>
      <c r="D214" s="180">
        <v>0.21</v>
      </c>
      <c r="E214" s="184">
        <v>1.71</v>
      </c>
      <c r="F214" s="180">
        <v>3.87</v>
      </c>
      <c r="G214" s="180">
        <v>5.09</v>
      </c>
      <c r="H214" s="181">
        <v>7.15</v>
      </c>
      <c r="I214" s="141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11.25" customHeight="1">
      <c r="A215" s="198"/>
      <c r="B215" s="192" t="s">
        <v>102</v>
      </c>
      <c r="C215" s="180">
        <v>2940.58</v>
      </c>
      <c r="D215" s="180">
        <v>0.15</v>
      </c>
      <c r="E215" s="184">
        <v>0.94</v>
      </c>
      <c r="F215" s="180">
        <v>3.5</v>
      </c>
      <c r="G215" s="180">
        <v>5.25</v>
      </c>
      <c r="H215" s="181">
        <v>7.04</v>
      </c>
      <c r="I215" s="141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11.25" customHeight="1">
      <c r="A216" s="198"/>
      <c r="B216" s="192" t="s">
        <v>103</v>
      </c>
      <c r="C216" s="180">
        <v>2955.28</v>
      </c>
      <c r="D216" s="180">
        <v>0.5</v>
      </c>
      <c r="E216" s="184">
        <v>0.86</v>
      </c>
      <c r="F216" s="180">
        <v>3.35</v>
      </c>
      <c r="G216" s="180">
        <v>5.77</v>
      </c>
      <c r="H216" s="181">
        <v>7.26</v>
      </c>
      <c r="I216" s="141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11.25" customHeight="1">
      <c r="A217" s="198"/>
      <c r="B217" s="192" t="s">
        <v>104</v>
      </c>
      <c r="C217" s="180">
        <v>2966.51</v>
      </c>
      <c r="D217" s="180">
        <v>0.38</v>
      </c>
      <c r="E217" s="184">
        <v>1.03</v>
      </c>
      <c r="F217" s="180">
        <v>2.76</v>
      </c>
      <c r="G217" s="180">
        <v>6.17</v>
      </c>
      <c r="H217" s="181">
        <v>7.2</v>
      </c>
      <c r="I217" s="141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11.25" customHeight="1">
      <c r="A218" s="201"/>
      <c r="B218" s="202" t="s">
        <v>105</v>
      </c>
      <c r="C218" s="187">
        <v>2975.11</v>
      </c>
      <c r="D218" s="187">
        <v>0.29</v>
      </c>
      <c r="E218" s="197">
        <v>1.17</v>
      </c>
      <c r="F218" s="187">
        <v>2.13</v>
      </c>
      <c r="G218" s="187">
        <v>6.48</v>
      </c>
      <c r="H218" s="147">
        <v>6.48</v>
      </c>
      <c r="I218" s="141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6.75" customHeight="1">
      <c r="A219" s="198"/>
      <c r="B219" s="189"/>
      <c r="C219" s="190"/>
      <c r="D219" s="190"/>
      <c r="E219" s="190"/>
      <c r="F219" s="190"/>
      <c r="G219" s="190"/>
      <c r="H219" s="181"/>
      <c r="I219" s="141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6.75" customHeight="1">
      <c r="A220" s="191" t="s">
        <v>106</v>
      </c>
      <c r="I220" s="144"/>
      <c r="J220" s="140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6.5" customHeight="1">
      <c r="A221" s="143" t="s">
        <v>84</v>
      </c>
      <c r="I221" s="144"/>
      <c r="J221" s="140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2.0" customHeight="1">
      <c r="A222" s="145"/>
      <c r="B222" s="145"/>
      <c r="C222" s="146"/>
      <c r="D222" s="145"/>
      <c r="E222" s="145"/>
      <c r="F222" s="145"/>
      <c r="G222" s="145"/>
      <c r="H222" s="147" t="s">
        <v>107</v>
      </c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11.25" customHeight="1">
      <c r="A223" s="148"/>
      <c r="B223" s="148"/>
      <c r="C223" s="149"/>
      <c r="D223" s="150"/>
      <c r="E223" s="151"/>
      <c r="F223" s="151" t="s">
        <v>86</v>
      </c>
      <c r="G223" s="151"/>
      <c r="H223" s="152"/>
      <c r="I223" s="153"/>
      <c r="J223" s="140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ht="11.25" customHeight="1">
      <c r="A224" s="154" t="s">
        <v>87</v>
      </c>
      <c r="B224" s="155" t="s">
        <v>88</v>
      </c>
      <c r="C224" s="156" t="s">
        <v>89</v>
      </c>
      <c r="D224" s="157" t="s">
        <v>90</v>
      </c>
      <c r="E224" s="90"/>
      <c r="F224" s="90"/>
      <c r="G224" s="90"/>
      <c r="H224" s="90"/>
      <c r="I224" s="153"/>
      <c r="J224" s="140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ht="13.5" customHeight="1">
      <c r="A225" s="154"/>
      <c r="B225" s="155"/>
      <c r="C225" s="158" t="s">
        <v>91</v>
      </c>
      <c r="D225" s="159" t="s">
        <v>92</v>
      </c>
      <c r="E225" s="159">
        <v>3.0</v>
      </c>
      <c r="F225" s="159">
        <v>6.0</v>
      </c>
      <c r="G225" s="159" t="s">
        <v>92</v>
      </c>
      <c r="H225" s="160">
        <v>12.0</v>
      </c>
      <c r="I225" s="153"/>
      <c r="J225" s="140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ht="14.25" customHeight="1">
      <c r="A226" s="161"/>
      <c r="B226" s="161"/>
      <c r="C226" s="162"/>
      <c r="D226" s="163" t="s">
        <v>88</v>
      </c>
      <c r="E226" s="164" t="s">
        <v>93</v>
      </c>
      <c r="F226" s="164" t="s">
        <v>93</v>
      </c>
      <c r="G226" s="164" t="s">
        <v>87</v>
      </c>
      <c r="H226" s="165" t="s">
        <v>93</v>
      </c>
      <c r="I226" s="153"/>
      <c r="J226" s="140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ht="6.75" customHeight="1">
      <c r="A227" s="166"/>
      <c r="B227" s="166"/>
      <c r="C227" s="167"/>
      <c r="D227" s="168"/>
      <c r="E227" s="169"/>
      <c r="F227" s="169"/>
      <c r="G227" s="169"/>
      <c r="H227" s="17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ht="11.25" customHeight="1">
      <c r="A228" s="168">
        <v>2009.0</v>
      </c>
      <c r="B228" s="192" t="s">
        <v>94</v>
      </c>
      <c r="C228" s="180">
        <v>2994.15</v>
      </c>
      <c r="D228" s="180">
        <v>0.64</v>
      </c>
      <c r="E228" s="184">
        <v>1.32</v>
      </c>
      <c r="F228" s="180">
        <v>2.19</v>
      </c>
      <c r="G228" s="180">
        <v>0.64</v>
      </c>
      <c r="H228" s="181">
        <v>6.43</v>
      </c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ht="11.25" customHeight="1">
      <c r="A229" s="198"/>
      <c r="B229" s="192" t="s">
        <v>95</v>
      </c>
      <c r="C229" s="180">
        <v>3003.43</v>
      </c>
      <c r="D229" s="180">
        <v>0.31</v>
      </c>
      <c r="E229" s="184">
        <v>1.24</v>
      </c>
      <c r="F229" s="180">
        <v>2.29</v>
      </c>
      <c r="G229" s="180">
        <v>0.95</v>
      </c>
      <c r="H229" s="181">
        <v>6.25</v>
      </c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ht="11.25" customHeight="1">
      <c r="A230" s="198"/>
      <c r="B230" s="192" t="s">
        <v>96</v>
      </c>
      <c r="C230" s="180">
        <v>3009.44</v>
      </c>
      <c r="D230" s="180">
        <v>0.2</v>
      </c>
      <c r="E230" s="184">
        <v>1.15</v>
      </c>
      <c r="F230" s="180">
        <v>2.34</v>
      </c>
      <c r="G230" s="180">
        <v>1.15</v>
      </c>
      <c r="H230" s="181">
        <v>5.92</v>
      </c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ht="11.25" customHeight="1">
      <c r="A231" s="198"/>
      <c r="B231" s="192" t="s">
        <v>97</v>
      </c>
      <c r="C231" s="180">
        <v>3025.99</v>
      </c>
      <c r="D231" s="180">
        <v>0.55</v>
      </c>
      <c r="E231" s="184">
        <v>1.06</v>
      </c>
      <c r="F231" s="180">
        <v>2.39</v>
      </c>
      <c r="G231" s="180">
        <v>1.71</v>
      </c>
      <c r="H231" s="181">
        <v>5.83</v>
      </c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ht="11.25" customHeight="1">
      <c r="A232" s="198"/>
      <c r="B232" s="192" t="s">
        <v>98</v>
      </c>
      <c r="C232" s="180">
        <v>3044.15</v>
      </c>
      <c r="D232" s="180">
        <v>0.6</v>
      </c>
      <c r="E232" s="184">
        <v>1.36</v>
      </c>
      <c r="F232" s="180">
        <v>2.62</v>
      </c>
      <c r="G232" s="180">
        <v>2.32</v>
      </c>
      <c r="H232" s="181">
        <v>5.45</v>
      </c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ht="11.25" customHeight="1">
      <c r="A233" s="198"/>
      <c r="B233" s="192" t="s">
        <v>99</v>
      </c>
      <c r="C233" s="180">
        <v>3056.93</v>
      </c>
      <c r="D233" s="180">
        <v>0.42</v>
      </c>
      <c r="E233" s="184">
        <v>1.58</v>
      </c>
      <c r="F233" s="180">
        <v>2.75</v>
      </c>
      <c r="G233" s="180">
        <v>2.75</v>
      </c>
      <c r="H233" s="181">
        <v>4.94</v>
      </c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ht="11.25" customHeight="1">
      <c r="A234" s="198"/>
      <c r="B234" s="192" t="s">
        <v>100</v>
      </c>
      <c r="C234" s="180">
        <v>3063.96</v>
      </c>
      <c r="D234" s="180">
        <v>0.23</v>
      </c>
      <c r="E234" s="184">
        <v>1.25</v>
      </c>
      <c r="F234" s="180">
        <v>2.33</v>
      </c>
      <c r="G234" s="180">
        <v>2.99</v>
      </c>
      <c r="H234" s="181">
        <v>4.57</v>
      </c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ht="11.25" customHeight="1">
      <c r="A235" s="198"/>
      <c r="B235" s="192" t="s">
        <v>101</v>
      </c>
      <c r="C235" s="180">
        <v>3066.41</v>
      </c>
      <c r="D235" s="180">
        <v>0.08</v>
      </c>
      <c r="E235" s="184">
        <v>0.73</v>
      </c>
      <c r="F235" s="180">
        <v>2.1</v>
      </c>
      <c r="G235" s="180">
        <v>3.07</v>
      </c>
      <c r="H235" s="181">
        <v>4.44</v>
      </c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ht="11.25" customHeight="1">
      <c r="A236" s="198"/>
      <c r="B236" s="192" t="s">
        <v>102</v>
      </c>
      <c r="C236" s="180">
        <v>3071.32</v>
      </c>
      <c r="D236" s="180">
        <v>0.16</v>
      </c>
      <c r="E236" s="184">
        <v>0.47</v>
      </c>
      <c r="F236" s="180">
        <v>2.06</v>
      </c>
      <c r="G236" s="180">
        <v>3.23</v>
      </c>
      <c r="H236" s="181">
        <v>4.45</v>
      </c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ht="11.25" customHeight="1">
      <c r="A237" s="198"/>
      <c r="B237" s="192" t="s">
        <v>103</v>
      </c>
      <c r="C237" s="180">
        <v>3078.69</v>
      </c>
      <c r="D237" s="180">
        <v>0.24</v>
      </c>
      <c r="E237" s="184">
        <v>0.48</v>
      </c>
      <c r="F237" s="180">
        <v>1.74</v>
      </c>
      <c r="G237" s="180">
        <v>3.48</v>
      </c>
      <c r="H237" s="181">
        <v>4.18</v>
      </c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ht="11.25" customHeight="1">
      <c r="A238" s="198"/>
      <c r="B238" s="192" t="s">
        <v>104</v>
      </c>
      <c r="C238" s="180">
        <v>3090.08</v>
      </c>
      <c r="D238" s="180">
        <v>0.37</v>
      </c>
      <c r="E238" s="184">
        <v>0.77</v>
      </c>
      <c r="F238" s="180">
        <v>1.51</v>
      </c>
      <c r="G238" s="180">
        <v>3.86</v>
      </c>
      <c r="H238" s="181">
        <v>4.17</v>
      </c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ht="11.25" customHeight="1">
      <c r="A239" s="198"/>
      <c r="B239" s="192" t="s">
        <v>105</v>
      </c>
      <c r="C239" s="180">
        <v>3097.5</v>
      </c>
      <c r="D239" s="180">
        <v>0.24</v>
      </c>
      <c r="E239" s="184">
        <v>0.85</v>
      </c>
      <c r="F239" s="180">
        <v>1.33</v>
      </c>
      <c r="G239" s="180">
        <v>4.11</v>
      </c>
      <c r="H239" s="181">
        <v>4.11</v>
      </c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ht="6.75" customHeight="1">
      <c r="A240" s="166"/>
      <c r="B240" s="166"/>
      <c r="C240" s="175"/>
      <c r="D240" s="176"/>
      <c r="E240" s="177"/>
      <c r="F240" s="177"/>
      <c r="G240" s="177"/>
      <c r="H240" s="178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ht="11.25" customHeight="1">
      <c r="A241" s="168">
        <v>2010.0</v>
      </c>
      <c r="B241" s="192" t="s">
        <v>94</v>
      </c>
      <c r="C241" s="180">
        <v>3124.76</v>
      </c>
      <c r="D241" s="180">
        <v>0.88</v>
      </c>
      <c r="E241" s="184">
        <v>1.5</v>
      </c>
      <c r="F241" s="180">
        <v>1.98</v>
      </c>
      <c r="G241" s="180">
        <v>0.88</v>
      </c>
      <c r="H241" s="181">
        <v>4.36</v>
      </c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ht="11.25" customHeight="1">
      <c r="A242" s="198"/>
      <c r="B242" s="192" t="s">
        <v>95</v>
      </c>
      <c r="C242" s="180">
        <v>3146.63</v>
      </c>
      <c r="D242" s="180">
        <v>0.7</v>
      </c>
      <c r="E242" s="184">
        <v>1.83</v>
      </c>
      <c r="F242" s="180">
        <v>2.62</v>
      </c>
      <c r="G242" s="180">
        <v>1.59</v>
      </c>
      <c r="H242" s="181">
        <v>4.77</v>
      </c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ht="11.25" customHeight="1">
      <c r="A243" s="198"/>
      <c r="B243" s="192" t="s">
        <v>96</v>
      </c>
      <c r="C243" s="180">
        <v>3168.97</v>
      </c>
      <c r="D243" s="180">
        <v>0.71</v>
      </c>
      <c r="E243" s="184">
        <v>2.31</v>
      </c>
      <c r="F243" s="180">
        <v>3.18</v>
      </c>
      <c r="G243" s="180">
        <v>2.31</v>
      </c>
      <c r="H243" s="181">
        <v>5.3</v>
      </c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ht="11.25" customHeight="1">
      <c r="A244" s="198"/>
      <c r="B244" s="192" t="s">
        <v>97</v>
      </c>
      <c r="C244" s="180">
        <v>3192.1</v>
      </c>
      <c r="D244" s="180">
        <v>0.73</v>
      </c>
      <c r="E244" s="184">
        <v>2.16</v>
      </c>
      <c r="F244" s="180">
        <v>3.68</v>
      </c>
      <c r="G244" s="180">
        <v>3.05</v>
      </c>
      <c r="H244" s="181">
        <v>5.49</v>
      </c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ht="11.25" customHeight="1">
      <c r="A245" s="198"/>
      <c r="B245" s="192" t="s">
        <v>98</v>
      </c>
      <c r="C245" s="180">
        <v>3205.83</v>
      </c>
      <c r="D245" s="180">
        <v>0.43</v>
      </c>
      <c r="E245" s="184">
        <v>1.88</v>
      </c>
      <c r="F245" s="180">
        <v>3.75</v>
      </c>
      <c r="G245" s="180">
        <v>3.5</v>
      </c>
      <c r="H245" s="181">
        <v>5.31</v>
      </c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ht="11.25" customHeight="1">
      <c r="A246" s="198"/>
      <c r="B246" s="192" t="s">
        <v>99</v>
      </c>
      <c r="C246" s="180">
        <v>3202.3</v>
      </c>
      <c r="D246" s="180">
        <v>-0.11</v>
      </c>
      <c r="E246" s="184">
        <v>1.05</v>
      </c>
      <c r="F246" s="180">
        <v>3.38</v>
      </c>
      <c r="G246" s="180">
        <v>3.38</v>
      </c>
      <c r="H246" s="181">
        <v>4.76</v>
      </c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ht="11.25" customHeight="1">
      <c r="A247" s="198"/>
      <c r="B247" s="192" t="s">
        <v>100</v>
      </c>
      <c r="C247" s="180">
        <v>3200.06</v>
      </c>
      <c r="D247" s="180">
        <v>-0.07</v>
      </c>
      <c r="E247" s="184">
        <v>0.25</v>
      </c>
      <c r="F247" s="180">
        <v>2.41</v>
      </c>
      <c r="G247" s="180">
        <v>3.31</v>
      </c>
      <c r="H247" s="181">
        <v>4.44</v>
      </c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ht="11.25" customHeight="1">
      <c r="A248" s="198"/>
      <c r="B248" s="192" t="s">
        <v>101</v>
      </c>
      <c r="C248" s="180">
        <v>3197.82</v>
      </c>
      <c r="D248" s="180">
        <v>-0.07</v>
      </c>
      <c r="E248" s="184">
        <v>-0.25</v>
      </c>
      <c r="F248" s="180">
        <v>1.63</v>
      </c>
      <c r="G248" s="180">
        <v>3.24</v>
      </c>
      <c r="H248" s="181">
        <v>4.29</v>
      </c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ht="11.25" customHeight="1">
      <c r="A249" s="198"/>
      <c r="B249" s="192" t="s">
        <v>102</v>
      </c>
      <c r="C249" s="180">
        <v>3215.09</v>
      </c>
      <c r="D249" s="180">
        <v>0.54</v>
      </c>
      <c r="E249" s="184">
        <v>0.4</v>
      </c>
      <c r="F249" s="180">
        <v>1.46</v>
      </c>
      <c r="G249" s="180">
        <v>3.8</v>
      </c>
      <c r="H249" s="181">
        <v>4.68</v>
      </c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ht="11.25" customHeight="1">
      <c r="A250" s="198"/>
      <c r="B250" s="192" t="s">
        <v>103</v>
      </c>
      <c r="C250" s="180">
        <v>3244.67</v>
      </c>
      <c r="D250" s="180">
        <v>0.92</v>
      </c>
      <c r="E250" s="184">
        <v>1.39</v>
      </c>
      <c r="F250" s="180">
        <v>1.65</v>
      </c>
      <c r="G250" s="180">
        <v>4.75</v>
      </c>
      <c r="H250" s="181">
        <v>5.39</v>
      </c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ht="11.25" customHeight="1">
      <c r="A251" s="198"/>
      <c r="B251" s="192" t="s">
        <v>104</v>
      </c>
      <c r="C251" s="180">
        <v>3278.09</v>
      </c>
      <c r="D251" s="180">
        <v>1.03</v>
      </c>
      <c r="E251" s="184">
        <v>2.51</v>
      </c>
      <c r="F251" s="180">
        <v>2.25</v>
      </c>
      <c r="G251" s="180">
        <v>5.83</v>
      </c>
      <c r="H251" s="181">
        <v>6.08</v>
      </c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11.25" customHeight="1">
      <c r="A252" s="198"/>
      <c r="B252" s="192" t="s">
        <v>105</v>
      </c>
      <c r="C252" s="180">
        <v>3297.76</v>
      </c>
      <c r="D252" s="180">
        <v>0.6</v>
      </c>
      <c r="E252" s="184">
        <v>2.57</v>
      </c>
      <c r="F252" s="180">
        <v>2.98</v>
      </c>
      <c r="G252" s="180">
        <v>6.47</v>
      </c>
      <c r="H252" s="181">
        <v>6.47</v>
      </c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6.75" customHeight="1">
      <c r="A253" s="166"/>
      <c r="B253" s="166"/>
      <c r="C253" s="175"/>
      <c r="D253" s="176"/>
      <c r="E253" s="177"/>
      <c r="F253" s="177"/>
      <c r="G253" s="177"/>
      <c r="H253" s="178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ht="11.25" customHeight="1">
      <c r="A254" s="168">
        <v>2011.0</v>
      </c>
      <c r="B254" s="192" t="s">
        <v>94</v>
      </c>
      <c r="C254" s="180">
        <v>3328.76</v>
      </c>
      <c r="D254" s="180">
        <v>0.94</v>
      </c>
      <c r="E254" s="184">
        <v>2.59</v>
      </c>
      <c r="F254" s="180">
        <v>4.02</v>
      </c>
      <c r="G254" s="180">
        <v>0.94</v>
      </c>
      <c r="H254" s="181">
        <v>6.53</v>
      </c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ht="11.25" customHeight="1">
      <c r="A255" s="198"/>
      <c r="B255" s="192" t="s">
        <v>95</v>
      </c>
      <c r="C255" s="180">
        <v>3346.74</v>
      </c>
      <c r="D255" s="180">
        <v>0.54</v>
      </c>
      <c r="E255" s="184">
        <v>2.09</v>
      </c>
      <c r="F255" s="180">
        <v>4.66</v>
      </c>
      <c r="G255" s="180">
        <v>1.49</v>
      </c>
      <c r="H255" s="181">
        <v>6.36</v>
      </c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ht="11.25" customHeight="1">
      <c r="A256" s="198"/>
      <c r="B256" s="192" t="s">
        <v>96</v>
      </c>
      <c r="C256" s="180">
        <v>3368.83</v>
      </c>
      <c r="D256" s="180">
        <v>0.66</v>
      </c>
      <c r="E256" s="184">
        <v>2.16</v>
      </c>
      <c r="F256" s="180">
        <v>4.78</v>
      </c>
      <c r="G256" s="180">
        <v>2.16</v>
      </c>
      <c r="H256" s="181">
        <v>6.31</v>
      </c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ht="11.25" customHeight="1">
      <c r="A257" s="198"/>
      <c r="B257" s="192" t="s">
        <v>97</v>
      </c>
      <c r="C257" s="180">
        <v>3393.09</v>
      </c>
      <c r="D257" s="180">
        <v>0.72</v>
      </c>
      <c r="E257" s="184">
        <v>1.93</v>
      </c>
      <c r="F257" s="180">
        <v>4.57</v>
      </c>
      <c r="G257" s="180">
        <v>2.89</v>
      </c>
      <c r="H257" s="181">
        <v>6.3</v>
      </c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ht="11.25" customHeight="1">
      <c r="A258" s="198"/>
      <c r="B258" s="192" t="s">
        <v>98</v>
      </c>
      <c r="C258" s="180">
        <v>3412.43</v>
      </c>
      <c r="D258" s="180">
        <v>0.57</v>
      </c>
      <c r="E258" s="184">
        <v>1.96</v>
      </c>
      <c r="F258" s="180">
        <v>4.1</v>
      </c>
      <c r="G258" s="180">
        <v>3.48</v>
      </c>
      <c r="H258" s="181">
        <v>6.44</v>
      </c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ht="11.25" customHeight="1">
      <c r="A259" s="198"/>
      <c r="B259" s="192" t="s">
        <v>99</v>
      </c>
      <c r="C259" s="180">
        <v>3419.94</v>
      </c>
      <c r="D259" s="180">
        <v>0.22</v>
      </c>
      <c r="E259" s="184">
        <v>1.52</v>
      </c>
      <c r="F259" s="180">
        <v>3.7</v>
      </c>
      <c r="G259" s="180">
        <v>3.7</v>
      </c>
      <c r="H259" s="181">
        <v>6.8</v>
      </c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ht="11.25" customHeight="1">
      <c r="A260" s="198"/>
      <c r="B260" s="192" t="s">
        <v>100</v>
      </c>
      <c r="C260" s="180">
        <v>3419.94</v>
      </c>
      <c r="D260" s="180">
        <v>0.0</v>
      </c>
      <c r="E260" s="184">
        <v>0.79</v>
      </c>
      <c r="F260" s="180">
        <v>2.74</v>
      </c>
      <c r="G260" s="180">
        <v>3.7</v>
      </c>
      <c r="H260" s="181">
        <v>6.87</v>
      </c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ht="11.25" customHeight="1">
      <c r="A261" s="198"/>
      <c r="B261" s="192" t="s">
        <v>101</v>
      </c>
      <c r="C261" s="180">
        <v>3434.3</v>
      </c>
      <c r="D261" s="180">
        <v>0.42</v>
      </c>
      <c r="E261" s="184">
        <v>0.64</v>
      </c>
      <c r="F261" s="180">
        <v>2.62</v>
      </c>
      <c r="G261" s="180">
        <v>4.14</v>
      </c>
      <c r="H261" s="181">
        <v>7.4</v>
      </c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ht="11.25" customHeight="1">
      <c r="A262" s="198"/>
      <c r="B262" s="192" t="s">
        <v>102</v>
      </c>
      <c r="C262" s="180">
        <v>3449.76</v>
      </c>
      <c r="D262" s="180">
        <v>0.45</v>
      </c>
      <c r="E262" s="184">
        <v>0.87</v>
      </c>
      <c r="F262" s="180">
        <v>2.4</v>
      </c>
      <c r="G262" s="180">
        <v>4.61</v>
      </c>
      <c r="H262" s="181">
        <v>7.3</v>
      </c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ht="11.25" customHeight="1">
      <c r="A263" s="198"/>
      <c r="B263" s="192" t="s">
        <v>103</v>
      </c>
      <c r="C263" s="180">
        <v>3460.8</v>
      </c>
      <c r="D263" s="180">
        <v>0.32</v>
      </c>
      <c r="E263" s="184">
        <v>1.19</v>
      </c>
      <c r="F263" s="180">
        <v>2.0</v>
      </c>
      <c r="G263" s="180">
        <v>4.94</v>
      </c>
      <c r="H263" s="181">
        <v>6.66</v>
      </c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ht="11.25" customHeight="1">
      <c r="A264" s="198"/>
      <c r="B264" s="192" t="s">
        <v>104</v>
      </c>
      <c r="C264" s="180">
        <v>3480.52</v>
      </c>
      <c r="D264" s="180">
        <v>0.57</v>
      </c>
      <c r="E264" s="184">
        <v>1.35</v>
      </c>
      <c r="F264" s="180">
        <v>2.0</v>
      </c>
      <c r="G264" s="180">
        <v>5.54</v>
      </c>
      <c r="H264" s="181">
        <v>6.18</v>
      </c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ht="11.25" customHeight="1">
      <c r="A265" s="198"/>
      <c r="B265" s="192" t="s">
        <v>105</v>
      </c>
      <c r="C265" s="180">
        <v>3498.27</v>
      </c>
      <c r="D265" s="180">
        <v>0.51</v>
      </c>
      <c r="E265" s="184">
        <v>1.41</v>
      </c>
      <c r="F265" s="180">
        <v>2.29</v>
      </c>
      <c r="G265" s="180">
        <v>6.08</v>
      </c>
      <c r="H265" s="181">
        <v>6.08</v>
      </c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ht="6.75" customHeight="1">
      <c r="A266" s="198"/>
      <c r="B266" s="192"/>
      <c r="C266" s="180"/>
      <c r="D266" s="180"/>
      <c r="E266" s="184"/>
      <c r="F266" s="180"/>
      <c r="G266" s="180"/>
      <c r="H266" s="181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ht="11.25" customHeight="1">
      <c r="A267" s="168">
        <v>2012.0</v>
      </c>
      <c r="B267" s="192" t="s">
        <v>94</v>
      </c>
      <c r="C267" s="180">
        <v>3516.11</v>
      </c>
      <c r="D267" s="180">
        <v>0.51</v>
      </c>
      <c r="E267" s="184">
        <v>1.6</v>
      </c>
      <c r="F267" s="180">
        <v>2.81</v>
      </c>
      <c r="G267" s="180">
        <v>0.51</v>
      </c>
      <c r="H267" s="181">
        <v>5.63</v>
      </c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ht="11.25" customHeight="1">
      <c r="A268" s="198"/>
      <c r="B268" s="192" t="s">
        <v>95</v>
      </c>
      <c r="C268" s="180">
        <v>3529.82</v>
      </c>
      <c r="D268" s="180">
        <v>0.39</v>
      </c>
      <c r="E268" s="184">
        <v>1.42</v>
      </c>
      <c r="F268" s="180">
        <v>2.78</v>
      </c>
      <c r="G268" s="180">
        <v>0.9</v>
      </c>
      <c r="H268" s="181">
        <v>5.47</v>
      </c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ht="11.25" customHeight="1">
      <c r="A269" s="198"/>
      <c r="B269" s="192" t="s">
        <v>96</v>
      </c>
      <c r="C269" s="180">
        <v>3536.17</v>
      </c>
      <c r="D269" s="180">
        <v>0.18</v>
      </c>
      <c r="E269" s="184">
        <v>1.08</v>
      </c>
      <c r="F269" s="180">
        <v>2.5</v>
      </c>
      <c r="G269" s="180">
        <v>1.08</v>
      </c>
      <c r="H269" s="181">
        <v>4.97</v>
      </c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ht="11.25" customHeight="1">
      <c r="A270" s="198"/>
      <c r="B270" s="192" t="s">
        <v>97</v>
      </c>
      <c r="C270" s="180">
        <v>3558.8</v>
      </c>
      <c r="D270" s="180">
        <v>0.64</v>
      </c>
      <c r="E270" s="184">
        <v>1.21</v>
      </c>
      <c r="F270" s="180">
        <v>2.83</v>
      </c>
      <c r="G270" s="180">
        <v>1.73</v>
      </c>
      <c r="H270" s="181">
        <v>4.88</v>
      </c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ht="11.25" customHeight="1">
      <c r="A271" s="198"/>
      <c r="B271" s="192" t="s">
        <v>98</v>
      </c>
      <c r="C271" s="180">
        <v>3578.37</v>
      </c>
      <c r="D271" s="180">
        <v>0.55</v>
      </c>
      <c r="E271" s="184">
        <v>1.38</v>
      </c>
      <c r="F271" s="180">
        <v>2.81</v>
      </c>
      <c r="G271" s="180">
        <v>2.29</v>
      </c>
      <c r="H271" s="181">
        <v>4.86</v>
      </c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ht="11.25" customHeight="1">
      <c r="A272" s="198"/>
      <c r="B272" s="192" t="s">
        <v>99</v>
      </c>
      <c r="C272" s="180">
        <v>3587.67</v>
      </c>
      <c r="D272" s="180">
        <v>0.26</v>
      </c>
      <c r="E272" s="184">
        <v>1.46</v>
      </c>
      <c r="F272" s="180">
        <v>2.56</v>
      </c>
      <c r="G272" s="180">
        <v>2.56</v>
      </c>
      <c r="H272" s="181">
        <v>4.9</v>
      </c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ht="11.25" customHeight="1">
      <c r="A273" s="198"/>
      <c r="B273" s="192" t="s">
        <v>100</v>
      </c>
      <c r="C273" s="180">
        <v>3603.1</v>
      </c>
      <c r="D273" s="180">
        <v>0.43</v>
      </c>
      <c r="E273" s="184">
        <v>1.24</v>
      </c>
      <c r="F273" s="180">
        <v>2.47</v>
      </c>
      <c r="G273" s="180">
        <v>3.0</v>
      </c>
      <c r="H273" s="181">
        <v>5.36</v>
      </c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ht="11.25" customHeight="1">
      <c r="A274" s="198"/>
      <c r="B274" s="171" t="s">
        <v>101</v>
      </c>
      <c r="C274" s="172">
        <v>3619.31</v>
      </c>
      <c r="D274" s="172">
        <v>0.45</v>
      </c>
      <c r="E274" s="172">
        <v>1.14</v>
      </c>
      <c r="F274" s="172">
        <v>2.54</v>
      </c>
      <c r="G274" s="172">
        <v>3.46</v>
      </c>
      <c r="H274" s="173">
        <v>5.39</v>
      </c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ht="11.25" customHeight="1">
      <c r="A275" s="198"/>
      <c r="B275" s="171" t="s">
        <v>102</v>
      </c>
      <c r="C275" s="172">
        <v>3642.12</v>
      </c>
      <c r="D275" s="172">
        <v>0.63</v>
      </c>
      <c r="E275" s="172">
        <v>1.52</v>
      </c>
      <c r="F275" s="172">
        <v>3.0</v>
      </c>
      <c r="G275" s="172">
        <v>4.11</v>
      </c>
      <c r="H275" s="173">
        <v>5.58</v>
      </c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ht="11.25" customHeight="1">
      <c r="A276" s="203"/>
      <c r="B276" s="171" t="s">
        <v>103</v>
      </c>
      <c r="C276" s="172">
        <v>3667.97</v>
      </c>
      <c r="D276" s="172">
        <v>0.71</v>
      </c>
      <c r="E276" s="172">
        <v>1.8</v>
      </c>
      <c r="F276" s="172">
        <v>3.07</v>
      </c>
      <c r="G276" s="172">
        <v>4.85</v>
      </c>
      <c r="H276" s="173">
        <v>5.99</v>
      </c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ht="11.25" customHeight="1">
      <c r="A277" s="203"/>
      <c r="B277" s="171" t="s">
        <v>104</v>
      </c>
      <c r="C277" s="172">
        <v>3687.78</v>
      </c>
      <c r="D277" s="172">
        <v>0.54</v>
      </c>
      <c r="E277" s="172">
        <v>1.89</v>
      </c>
      <c r="F277" s="172">
        <v>3.06</v>
      </c>
      <c r="G277" s="172">
        <v>5.42</v>
      </c>
      <c r="H277" s="173">
        <v>5.95</v>
      </c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ht="11.25" customHeight="1">
      <c r="A278" s="203"/>
      <c r="B278" s="171" t="s">
        <v>105</v>
      </c>
      <c r="C278" s="172">
        <v>3715.07</v>
      </c>
      <c r="D278" s="172">
        <v>0.74</v>
      </c>
      <c r="E278" s="172">
        <v>2.0</v>
      </c>
      <c r="F278" s="172">
        <v>3.55</v>
      </c>
      <c r="G278" s="172">
        <v>6.2</v>
      </c>
      <c r="H278" s="173">
        <v>6.2</v>
      </c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ht="6.75" customHeight="1">
      <c r="A279" s="203"/>
      <c r="B279" s="171"/>
      <c r="C279" s="172"/>
      <c r="D279" s="172"/>
      <c r="E279" s="172"/>
      <c r="F279" s="172"/>
      <c r="G279" s="172"/>
      <c r="H279" s="173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ht="11.25" customHeight="1">
      <c r="A280" s="168">
        <v>2013.0</v>
      </c>
      <c r="B280" s="192" t="s">
        <v>94</v>
      </c>
      <c r="C280" s="172">
        <v>3749.25</v>
      </c>
      <c r="D280" s="172">
        <v>0.92</v>
      </c>
      <c r="E280" s="172">
        <v>2.22</v>
      </c>
      <c r="F280" s="172">
        <v>4.06</v>
      </c>
      <c r="G280" s="172">
        <v>0.92</v>
      </c>
      <c r="H280" s="173">
        <v>6.63</v>
      </c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ht="11.25" customHeight="1">
      <c r="A281" s="168"/>
      <c r="B281" s="192" t="s">
        <v>95</v>
      </c>
      <c r="C281" s="172">
        <v>3768.75</v>
      </c>
      <c r="D281" s="172">
        <v>0.52</v>
      </c>
      <c r="E281" s="172">
        <v>2.2</v>
      </c>
      <c r="F281" s="172">
        <v>4.13</v>
      </c>
      <c r="G281" s="172">
        <v>1.44</v>
      </c>
      <c r="H281" s="173">
        <v>6.77</v>
      </c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ht="11.25" customHeight="1">
      <c r="A282" s="168"/>
      <c r="B282" s="192" t="s">
        <v>96</v>
      </c>
      <c r="C282" s="172">
        <v>3791.36</v>
      </c>
      <c r="D282" s="172">
        <v>0.6</v>
      </c>
      <c r="E282" s="172">
        <v>2.05</v>
      </c>
      <c r="F282" s="172">
        <v>4.1</v>
      </c>
      <c r="G282" s="172">
        <v>2.05</v>
      </c>
      <c r="H282" s="173">
        <v>7.22</v>
      </c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ht="11.25" customHeight="1">
      <c r="A283" s="166"/>
      <c r="B283" s="189" t="s">
        <v>97</v>
      </c>
      <c r="C283" s="172">
        <v>3813.73</v>
      </c>
      <c r="D283" s="172">
        <v>0.59</v>
      </c>
      <c r="E283" s="172">
        <v>1.72</v>
      </c>
      <c r="F283" s="172">
        <v>3.97</v>
      </c>
      <c r="G283" s="172">
        <v>2.66</v>
      </c>
      <c r="H283" s="173">
        <v>7.16</v>
      </c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ht="11.25" customHeight="1">
      <c r="A284" s="168"/>
      <c r="B284" s="192" t="s">
        <v>98</v>
      </c>
      <c r="C284" s="172">
        <v>3827.08</v>
      </c>
      <c r="D284" s="172">
        <v>0.35</v>
      </c>
      <c r="E284" s="172">
        <v>1.55</v>
      </c>
      <c r="F284" s="172">
        <v>3.78</v>
      </c>
      <c r="G284" s="172">
        <v>3.02</v>
      </c>
      <c r="H284" s="173">
        <v>6.95</v>
      </c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ht="11.25" customHeight="1">
      <c r="A285" s="168"/>
      <c r="B285" s="192" t="s">
        <v>99</v>
      </c>
      <c r="C285" s="172">
        <v>3837.8</v>
      </c>
      <c r="D285" s="172">
        <v>0.28</v>
      </c>
      <c r="E285" s="172">
        <v>1.22</v>
      </c>
      <c r="F285" s="172">
        <v>3.3</v>
      </c>
      <c r="G285" s="172">
        <v>3.3</v>
      </c>
      <c r="H285" s="173">
        <v>6.97</v>
      </c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ht="11.25" customHeight="1">
      <c r="A286" s="166"/>
      <c r="B286" s="189" t="s">
        <v>100</v>
      </c>
      <c r="C286" s="172">
        <v>3832.81</v>
      </c>
      <c r="D286" s="172">
        <v>-0.13</v>
      </c>
      <c r="E286" s="172">
        <v>0.5</v>
      </c>
      <c r="F286" s="172">
        <v>2.23</v>
      </c>
      <c r="G286" s="172">
        <v>3.17</v>
      </c>
      <c r="H286" s="173">
        <v>6.38</v>
      </c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ht="11.25" customHeight="1">
      <c r="A287" s="166"/>
      <c r="B287" s="189" t="s">
        <v>101</v>
      </c>
      <c r="C287" s="172">
        <v>3838.94</v>
      </c>
      <c r="D287" s="172">
        <v>0.16</v>
      </c>
      <c r="E287" s="172">
        <v>0.31</v>
      </c>
      <c r="F287" s="172">
        <v>1.86</v>
      </c>
      <c r="G287" s="172">
        <v>3.33</v>
      </c>
      <c r="H287" s="173">
        <v>6.07</v>
      </c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ht="11.25" customHeight="1">
      <c r="A288" s="166"/>
      <c r="B288" s="189" t="s">
        <v>102</v>
      </c>
      <c r="C288" s="172">
        <v>3849.31</v>
      </c>
      <c r="D288" s="172">
        <v>0.27</v>
      </c>
      <c r="E288" s="172">
        <v>0.3</v>
      </c>
      <c r="F288" s="172">
        <v>1.53</v>
      </c>
      <c r="G288" s="172">
        <v>3.61</v>
      </c>
      <c r="H288" s="173">
        <v>5.69</v>
      </c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ht="11.25" customHeight="1">
      <c r="A289" s="166"/>
      <c r="B289" s="189" t="s">
        <v>103</v>
      </c>
      <c r="C289" s="172">
        <v>3872.79</v>
      </c>
      <c r="D289" s="172">
        <v>0.61</v>
      </c>
      <c r="E289" s="172">
        <v>1.04</v>
      </c>
      <c r="F289" s="172">
        <v>1.55</v>
      </c>
      <c r="G289" s="172">
        <v>4.25</v>
      </c>
      <c r="H289" s="173">
        <v>5.58</v>
      </c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ht="11.25" customHeight="1">
      <c r="A290" s="166"/>
      <c r="B290" s="189" t="s">
        <v>104</v>
      </c>
      <c r="C290" s="172">
        <v>3893.7</v>
      </c>
      <c r="D290" s="172">
        <v>0.54</v>
      </c>
      <c r="E290" s="172">
        <v>1.43</v>
      </c>
      <c r="F290" s="172">
        <v>1.74</v>
      </c>
      <c r="G290" s="172">
        <v>4.81</v>
      </c>
      <c r="H290" s="173">
        <v>5.58</v>
      </c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ht="11.25" customHeight="1">
      <c r="A291" s="204"/>
      <c r="B291" s="205" t="s">
        <v>105</v>
      </c>
      <c r="C291" s="206">
        <v>3921.73</v>
      </c>
      <c r="D291" s="206">
        <v>0.72</v>
      </c>
      <c r="E291" s="206">
        <v>1.88</v>
      </c>
      <c r="F291" s="206">
        <v>2.19</v>
      </c>
      <c r="G291" s="206">
        <v>5.56</v>
      </c>
      <c r="H291" s="188">
        <v>5.56</v>
      </c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6.75" customHeight="1">
      <c r="A292" s="168"/>
      <c r="B292" s="189"/>
      <c r="C292" s="190"/>
      <c r="D292" s="190"/>
      <c r="E292" s="190"/>
      <c r="F292" s="190"/>
      <c r="G292" s="190"/>
      <c r="H292" s="181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6.75" customHeight="1">
      <c r="A293" s="168"/>
      <c r="B293" s="189"/>
      <c r="C293" s="190"/>
      <c r="D293" s="190"/>
      <c r="E293" s="190"/>
      <c r="F293" s="190"/>
      <c r="G293" s="190"/>
      <c r="H293" s="181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ht="11.25" customHeight="1">
      <c r="A294" s="143" t="s">
        <v>84</v>
      </c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ht="11.25" customHeight="1">
      <c r="A295" s="145"/>
      <c r="B295" s="145"/>
      <c r="C295" s="146"/>
      <c r="D295" s="145"/>
      <c r="E295" s="145"/>
      <c r="F295" s="145"/>
      <c r="G295" s="145"/>
      <c r="H295" s="147" t="s">
        <v>107</v>
      </c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ht="11.25" customHeight="1">
      <c r="A296" s="148"/>
      <c r="B296" s="148"/>
      <c r="C296" s="149"/>
      <c r="D296" s="150"/>
      <c r="E296" s="151"/>
      <c r="F296" s="151" t="s">
        <v>86</v>
      </c>
      <c r="G296" s="151"/>
      <c r="H296" s="152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ht="11.25" customHeight="1">
      <c r="A297" s="154" t="s">
        <v>87</v>
      </c>
      <c r="B297" s="155" t="s">
        <v>88</v>
      </c>
      <c r="C297" s="156" t="s">
        <v>89</v>
      </c>
      <c r="D297" s="157" t="s">
        <v>90</v>
      </c>
      <c r="E297" s="90"/>
      <c r="F297" s="90"/>
      <c r="G297" s="90"/>
      <c r="H297" s="9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ht="11.25" customHeight="1">
      <c r="A298" s="154"/>
      <c r="B298" s="155"/>
      <c r="C298" s="158" t="s">
        <v>91</v>
      </c>
      <c r="D298" s="159" t="s">
        <v>92</v>
      </c>
      <c r="E298" s="159">
        <v>3.0</v>
      </c>
      <c r="F298" s="159">
        <v>6.0</v>
      </c>
      <c r="G298" s="159" t="s">
        <v>92</v>
      </c>
      <c r="H298" s="160">
        <v>12.0</v>
      </c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ht="14.25" customHeight="1">
      <c r="A299" s="161"/>
      <c r="B299" s="161"/>
      <c r="C299" s="162"/>
      <c r="D299" s="163" t="s">
        <v>88</v>
      </c>
      <c r="E299" s="164" t="s">
        <v>93</v>
      </c>
      <c r="F299" s="164" t="s">
        <v>93</v>
      </c>
      <c r="G299" s="164" t="s">
        <v>87</v>
      </c>
      <c r="H299" s="165" t="s">
        <v>93</v>
      </c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ht="6.75" customHeight="1">
      <c r="A300" s="168"/>
      <c r="B300" s="192"/>
      <c r="C300" s="172"/>
      <c r="D300" s="172"/>
      <c r="E300" s="172"/>
      <c r="F300" s="172"/>
      <c r="G300" s="172"/>
      <c r="H300" s="173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ht="11.25" customHeight="1">
      <c r="A301" s="168">
        <v>2014.0</v>
      </c>
      <c r="B301" s="192" t="s">
        <v>94</v>
      </c>
      <c r="C301" s="180">
        <v>3946.44</v>
      </c>
      <c r="D301" s="180">
        <v>0.63</v>
      </c>
      <c r="E301" s="184">
        <v>1.9</v>
      </c>
      <c r="F301" s="180">
        <v>2.96</v>
      </c>
      <c r="G301" s="180">
        <v>0.63</v>
      </c>
      <c r="H301" s="181">
        <v>5.26</v>
      </c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ht="11.25" customHeight="1">
      <c r="A302" s="198"/>
      <c r="B302" s="192" t="s">
        <v>95</v>
      </c>
      <c r="C302" s="180">
        <v>3971.7</v>
      </c>
      <c r="D302" s="180">
        <v>0.64</v>
      </c>
      <c r="E302" s="184">
        <v>2.0</v>
      </c>
      <c r="F302" s="180">
        <v>3.46</v>
      </c>
      <c r="G302" s="180">
        <v>1.27</v>
      </c>
      <c r="H302" s="181">
        <v>5.39</v>
      </c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ht="11.25" customHeight="1">
      <c r="A303" s="198"/>
      <c r="B303" s="192" t="s">
        <v>96</v>
      </c>
      <c r="C303" s="180">
        <v>4004.27</v>
      </c>
      <c r="D303" s="180">
        <v>0.82</v>
      </c>
      <c r="E303" s="184">
        <v>2.1</v>
      </c>
      <c r="F303" s="180">
        <v>4.03</v>
      </c>
      <c r="G303" s="180">
        <v>2.1</v>
      </c>
      <c r="H303" s="181">
        <v>5.62</v>
      </c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ht="11.25" customHeight="1">
      <c r="A304" s="198"/>
      <c r="B304" s="192" t="s">
        <v>97</v>
      </c>
      <c r="C304" s="180">
        <v>4035.5</v>
      </c>
      <c r="D304" s="180">
        <v>0.78</v>
      </c>
      <c r="E304" s="184">
        <v>2.26</v>
      </c>
      <c r="F304" s="180">
        <v>4.2</v>
      </c>
      <c r="G304" s="180">
        <v>2.9</v>
      </c>
      <c r="H304" s="181">
        <v>5.82</v>
      </c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ht="11.25" customHeight="1">
      <c r="A305" s="198"/>
      <c r="B305" s="192" t="s">
        <v>98</v>
      </c>
      <c r="C305" s="180">
        <v>4059.71</v>
      </c>
      <c r="D305" s="180">
        <v>0.6</v>
      </c>
      <c r="E305" s="184">
        <v>2.22</v>
      </c>
      <c r="F305" s="180">
        <v>4.26</v>
      </c>
      <c r="G305" s="180">
        <v>3.52</v>
      </c>
      <c r="H305" s="181">
        <v>6.08</v>
      </c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ht="11.25" customHeight="1">
      <c r="A306" s="198"/>
      <c r="B306" s="192" t="s">
        <v>99</v>
      </c>
      <c r="C306" s="180">
        <v>4070.27</v>
      </c>
      <c r="D306" s="180">
        <v>0.26</v>
      </c>
      <c r="E306" s="184">
        <v>1.65</v>
      </c>
      <c r="F306" s="180">
        <v>3.79</v>
      </c>
      <c r="G306" s="180">
        <v>3.79</v>
      </c>
      <c r="H306" s="181">
        <v>6.06</v>
      </c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ht="11.25" customHeight="1">
      <c r="A307" s="198"/>
      <c r="B307" s="192" t="s">
        <v>100</v>
      </c>
      <c r="C307" s="180">
        <v>4075.56</v>
      </c>
      <c r="D307" s="180">
        <v>0.13</v>
      </c>
      <c r="E307" s="184">
        <v>0.99</v>
      </c>
      <c r="F307" s="180">
        <v>3.27</v>
      </c>
      <c r="G307" s="180">
        <v>3.92</v>
      </c>
      <c r="H307" s="181">
        <v>6.33</v>
      </c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ht="11.25" customHeight="1">
      <c r="A308" s="198"/>
      <c r="B308" s="192" t="s">
        <v>101</v>
      </c>
      <c r="C308" s="180">
        <v>4082.9</v>
      </c>
      <c r="D308" s="180">
        <v>0.18</v>
      </c>
      <c r="E308" s="184">
        <v>0.57</v>
      </c>
      <c r="F308" s="180">
        <v>2.8</v>
      </c>
      <c r="G308" s="180">
        <v>4.11</v>
      </c>
      <c r="H308" s="181">
        <v>6.35</v>
      </c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ht="11.25" customHeight="1">
      <c r="A309" s="198"/>
      <c r="B309" s="192" t="s">
        <v>102</v>
      </c>
      <c r="C309" s="180">
        <v>4102.9</v>
      </c>
      <c r="D309" s="180">
        <v>0.49</v>
      </c>
      <c r="E309" s="184">
        <v>0.8</v>
      </c>
      <c r="F309" s="180">
        <v>2.46</v>
      </c>
      <c r="G309" s="180">
        <v>4.62</v>
      </c>
      <c r="H309" s="181">
        <v>6.59</v>
      </c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ht="11.25" customHeight="1">
      <c r="A310" s="198"/>
      <c r="B310" s="192" t="s">
        <v>103</v>
      </c>
      <c r="C310" s="180">
        <v>4118.49</v>
      </c>
      <c r="D310" s="180">
        <v>0.38</v>
      </c>
      <c r="E310" s="184">
        <v>1.05</v>
      </c>
      <c r="F310" s="180">
        <v>2.06</v>
      </c>
      <c r="G310" s="180">
        <v>5.02</v>
      </c>
      <c r="H310" s="181">
        <v>6.34</v>
      </c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ht="11.25" customHeight="1">
      <c r="A311" s="198"/>
      <c r="B311" s="192" t="s">
        <v>104</v>
      </c>
      <c r="C311" s="180">
        <v>4140.32</v>
      </c>
      <c r="D311" s="180">
        <v>0.53</v>
      </c>
      <c r="E311" s="184">
        <v>1.41</v>
      </c>
      <c r="F311" s="180">
        <v>1.99</v>
      </c>
      <c r="G311" s="180">
        <v>5.57</v>
      </c>
      <c r="H311" s="181">
        <v>6.33</v>
      </c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ht="11.25" customHeight="1">
      <c r="A312" s="198"/>
      <c r="B312" s="192" t="s">
        <v>105</v>
      </c>
      <c r="C312" s="180">
        <v>4165.99</v>
      </c>
      <c r="D312" s="180">
        <v>0.62</v>
      </c>
      <c r="E312" s="184">
        <v>1.54</v>
      </c>
      <c r="F312" s="180">
        <v>2.35</v>
      </c>
      <c r="G312" s="180">
        <v>6.23</v>
      </c>
      <c r="H312" s="181">
        <v>6.23</v>
      </c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ht="11.25" customHeight="1">
      <c r="A313" s="168">
        <v>2015.0</v>
      </c>
      <c r="B313" s="192" t="s">
        <v>94</v>
      </c>
      <c r="C313" s="180">
        <v>4227.64</v>
      </c>
      <c r="D313" s="180">
        <v>1.48</v>
      </c>
      <c r="E313" s="184">
        <v>2.65</v>
      </c>
      <c r="F313" s="180">
        <v>3.73</v>
      </c>
      <c r="G313" s="180">
        <v>1.48</v>
      </c>
      <c r="H313" s="181">
        <v>7.13</v>
      </c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ht="11.25" customHeight="1">
      <c r="A314" s="198"/>
      <c r="B314" s="192" t="s">
        <v>95</v>
      </c>
      <c r="C314" s="180">
        <v>4276.69</v>
      </c>
      <c r="D314" s="180">
        <v>1.16</v>
      </c>
      <c r="E314" s="184">
        <v>3.29</v>
      </c>
      <c r="F314" s="180">
        <v>4.75</v>
      </c>
      <c r="G314" s="180">
        <v>2.66</v>
      </c>
      <c r="H314" s="181">
        <v>7.68</v>
      </c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ht="11.25" customHeight="1">
      <c r="A315" s="198"/>
      <c r="B315" s="192" t="s">
        <v>96</v>
      </c>
      <c r="C315" s="180">
        <v>4341.26</v>
      </c>
      <c r="D315" s="180">
        <v>1.51</v>
      </c>
      <c r="E315" s="184">
        <v>4.21</v>
      </c>
      <c r="F315" s="180">
        <v>5.81</v>
      </c>
      <c r="G315" s="180">
        <v>4.21</v>
      </c>
      <c r="H315" s="181">
        <v>8.42</v>
      </c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ht="11.25" customHeight="1">
      <c r="A316" s="198"/>
      <c r="B316" s="192" t="s">
        <v>97</v>
      </c>
      <c r="C316" s="180">
        <v>4372.08</v>
      </c>
      <c r="D316" s="180">
        <v>0.71</v>
      </c>
      <c r="E316" s="184">
        <v>3.42</v>
      </c>
      <c r="F316" s="180">
        <v>6.16</v>
      </c>
      <c r="G316" s="180">
        <v>4.95</v>
      </c>
      <c r="H316" s="181">
        <v>8.34</v>
      </c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ht="11.25" customHeight="1">
      <c r="A317" s="198"/>
      <c r="B317" s="192" t="s">
        <v>98</v>
      </c>
      <c r="C317" s="180">
        <v>4415.37</v>
      </c>
      <c r="D317" s="180">
        <v>0.99</v>
      </c>
      <c r="E317" s="184">
        <v>3.24</v>
      </c>
      <c r="F317" s="180">
        <v>6.64</v>
      </c>
      <c r="G317" s="180">
        <v>5.99</v>
      </c>
      <c r="H317" s="181">
        <v>8.76</v>
      </c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ht="11.25" customHeight="1">
      <c r="A318" s="198"/>
      <c r="B318" s="192" t="s">
        <v>99</v>
      </c>
      <c r="C318" s="180">
        <v>4449.36</v>
      </c>
      <c r="D318" s="180">
        <v>0.77</v>
      </c>
      <c r="E318" s="184">
        <v>2.49</v>
      </c>
      <c r="F318" s="180">
        <v>6.8</v>
      </c>
      <c r="G318" s="180">
        <v>6.8</v>
      </c>
      <c r="H318" s="181">
        <v>9.31</v>
      </c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ht="11.25" customHeight="1">
      <c r="A319" s="198"/>
      <c r="B319" s="192" t="s">
        <v>100</v>
      </c>
      <c r="C319" s="180">
        <v>4475.17</v>
      </c>
      <c r="D319" s="180">
        <v>0.58</v>
      </c>
      <c r="E319" s="184">
        <v>2.36</v>
      </c>
      <c r="F319" s="180">
        <v>5.85</v>
      </c>
      <c r="G319" s="180">
        <v>7.42</v>
      </c>
      <c r="H319" s="181">
        <v>9.81</v>
      </c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ht="11.25" customHeight="1">
      <c r="A320" s="198"/>
      <c r="B320" s="192" t="s">
        <v>101</v>
      </c>
      <c r="C320" s="180">
        <v>4486.36</v>
      </c>
      <c r="D320" s="180">
        <v>0.25</v>
      </c>
      <c r="E320" s="184">
        <v>1.61</v>
      </c>
      <c r="F320" s="180">
        <v>4.9</v>
      </c>
      <c r="G320" s="180">
        <v>7.69</v>
      </c>
      <c r="H320" s="181">
        <v>9.88</v>
      </c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ht="11.25" customHeight="1">
      <c r="A321" s="198"/>
      <c r="B321" s="192" t="s">
        <v>102</v>
      </c>
      <c r="C321" s="180">
        <v>4509.24</v>
      </c>
      <c r="D321" s="180">
        <v>0.51</v>
      </c>
      <c r="E321" s="184">
        <v>1.35</v>
      </c>
      <c r="F321" s="180">
        <v>3.87</v>
      </c>
      <c r="G321" s="180">
        <v>8.24</v>
      </c>
      <c r="H321" s="181">
        <v>9.9</v>
      </c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ht="11.25" customHeight="1">
      <c r="A322" s="198"/>
      <c r="B322" s="192" t="s">
        <v>103</v>
      </c>
      <c r="C322" s="180">
        <v>4543.96</v>
      </c>
      <c r="D322" s="180">
        <v>0.77</v>
      </c>
      <c r="E322" s="184">
        <v>1.54</v>
      </c>
      <c r="F322" s="180">
        <v>3.93</v>
      </c>
      <c r="G322" s="180">
        <v>9.07</v>
      </c>
      <c r="H322" s="181">
        <v>10.33</v>
      </c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ht="11.25" customHeight="1">
      <c r="A323" s="207"/>
      <c r="B323" s="208" t="s">
        <v>104</v>
      </c>
      <c r="C323" s="209">
        <v>4594.4</v>
      </c>
      <c r="D323" s="209">
        <v>1.11</v>
      </c>
      <c r="E323" s="210">
        <v>2.41</v>
      </c>
      <c r="F323" s="209">
        <v>4.05</v>
      </c>
      <c r="G323" s="209">
        <v>10.28</v>
      </c>
      <c r="H323" s="211">
        <v>10.97</v>
      </c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ht="11.25" customHeight="1">
      <c r="A324" s="198"/>
      <c r="B324" s="192" t="s">
        <v>105</v>
      </c>
      <c r="C324" s="180">
        <v>4635.75</v>
      </c>
      <c r="D324" s="180">
        <v>0.9</v>
      </c>
      <c r="E324" s="184">
        <v>2.81</v>
      </c>
      <c r="F324" s="180">
        <v>4.19</v>
      </c>
      <c r="G324" s="180">
        <v>11.28</v>
      </c>
      <c r="H324" s="181">
        <v>11.28</v>
      </c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ht="11.25" customHeight="1">
      <c r="A325" s="168">
        <v>2016.0</v>
      </c>
      <c r="B325" s="192" t="s">
        <v>94</v>
      </c>
      <c r="C325" s="180">
        <v>4705.75</v>
      </c>
      <c r="D325" s="180">
        <v>1.51</v>
      </c>
      <c r="E325" s="184">
        <v>3.56</v>
      </c>
      <c r="F325" s="180">
        <v>5.15</v>
      </c>
      <c r="G325" s="180">
        <v>1.51</v>
      </c>
      <c r="H325" s="181">
        <v>11.31</v>
      </c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ht="11.25" customHeight="1">
      <c r="A326" s="198"/>
      <c r="B326" s="192" t="s">
        <v>95</v>
      </c>
      <c r="C326" s="180">
        <v>4750.45</v>
      </c>
      <c r="D326" s="180">
        <v>0.95</v>
      </c>
      <c r="E326" s="184">
        <v>3.4</v>
      </c>
      <c r="F326" s="180">
        <v>5.89</v>
      </c>
      <c r="G326" s="180">
        <v>2.47</v>
      </c>
      <c r="H326" s="181">
        <v>11.08</v>
      </c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ht="11.25" customHeight="1">
      <c r="A327" s="198"/>
      <c r="B327" s="192" t="s">
        <v>96</v>
      </c>
      <c r="C327" s="180">
        <v>4771.36</v>
      </c>
      <c r="D327" s="180">
        <v>0.44</v>
      </c>
      <c r="E327" s="184">
        <v>2.93</v>
      </c>
      <c r="F327" s="180">
        <v>5.81</v>
      </c>
      <c r="G327" s="180">
        <v>2.93</v>
      </c>
      <c r="H327" s="181">
        <v>9.91</v>
      </c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ht="11.25" customHeight="1">
      <c r="A328" s="198"/>
      <c r="B328" s="192" t="s">
        <v>97</v>
      </c>
      <c r="C328" s="180">
        <v>4801.89</v>
      </c>
      <c r="D328" s="180">
        <v>0.64</v>
      </c>
      <c r="E328" s="184">
        <v>2.04</v>
      </c>
      <c r="F328" s="180">
        <v>5.68</v>
      </c>
      <c r="G328" s="180">
        <v>3.58</v>
      </c>
      <c r="H328" s="181">
        <v>9.83</v>
      </c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ht="11.25" customHeight="1">
      <c r="A329" s="198"/>
      <c r="B329" s="192" t="s">
        <v>98</v>
      </c>
      <c r="C329" s="180">
        <v>4848.95</v>
      </c>
      <c r="D329" s="180">
        <v>0.98</v>
      </c>
      <c r="E329" s="184">
        <v>2.07</v>
      </c>
      <c r="F329" s="180">
        <v>5.54</v>
      </c>
      <c r="G329" s="180">
        <v>4.6</v>
      </c>
      <c r="H329" s="181">
        <v>9.82</v>
      </c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ht="11.25" customHeight="1">
      <c r="A330" s="198"/>
      <c r="B330" s="192" t="s">
        <v>99</v>
      </c>
      <c r="C330" s="180">
        <v>4871.74</v>
      </c>
      <c r="D330" s="180">
        <v>0.47</v>
      </c>
      <c r="E330" s="184">
        <v>2.1</v>
      </c>
      <c r="F330" s="180">
        <v>5.09</v>
      </c>
      <c r="G330" s="180">
        <v>5.09</v>
      </c>
      <c r="H330" s="181">
        <v>9.49</v>
      </c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ht="11.25" customHeight="1">
      <c r="A331" s="198"/>
      <c r="B331" s="192" t="s">
        <v>100</v>
      </c>
      <c r="C331" s="180">
        <v>4902.92</v>
      </c>
      <c r="D331" s="180">
        <v>0.64</v>
      </c>
      <c r="E331" s="184">
        <v>2.1</v>
      </c>
      <c r="F331" s="180">
        <v>4.19</v>
      </c>
      <c r="G331" s="180">
        <v>5.76</v>
      </c>
      <c r="H331" s="181">
        <v>9.56</v>
      </c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1.25" customHeight="1">
      <c r="A332" s="198"/>
      <c r="B332" s="192" t="s">
        <v>101</v>
      </c>
      <c r="C332" s="180">
        <v>4918.12</v>
      </c>
      <c r="D332" s="180">
        <v>0.31</v>
      </c>
      <c r="E332" s="184">
        <v>1.43</v>
      </c>
      <c r="F332" s="180">
        <v>3.53</v>
      </c>
      <c r="G332" s="180">
        <v>6.09</v>
      </c>
      <c r="H332" s="181">
        <v>9.62</v>
      </c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1.25" customHeight="1">
      <c r="A333" s="198"/>
      <c r="B333" s="192" t="s">
        <v>102</v>
      </c>
      <c r="C333" s="180">
        <v>4922.05</v>
      </c>
      <c r="D333" s="180">
        <v>0.08</v>
      </c>
      <c r="E333" s="184">
        <v>1.03</v>
      </c>
      <c r="F333" s="180">
        <v>3.16</v>
      </c>
      <c r="G333" s="180">
        <v>6.18</v>
      </c>
      <c r="H333" s="181">
        <v>9.15</v>
      </c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ht="11.25" customHeight="1">
      <c r="A334" s="198"/>
      <c r="B334" s="192" t="s">
        <v>103</v>
      </c>
      <c r="C334" s="180">
        <v>4930.42</v>
      </c>
      <c r="D334" s="180">
        <v>0.17</v>
      </c>
      <c r="E334" s="184">
        <v>0.56</v>
      </c>
      <c r="F334" s="180">
        <v>2.68</v>
      </c>
      <c r="G334" s="180">
        <v>6.36</v>
      </c>
      <c r="H334" s="181">
        <v>8.5</v>
      </c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ht="11.25" customHeight="1">
      <c r="A335" s="198"/>
      <c r="B335" s="192" t="s">
        <v>104</v>
      </c>
      <c r="C335" s="180">
        <v>4933.87</v>
      </c>
      <c r="D335" s="180">
        <v>0.07</v>
      </c>
      <c r="E335" s="184">
        <v>0.32</v>
      </c>
      <c r="F335" s="180">
        <v>1.75</v>
      </c>
      <c r="G335" s="180">
        <v>6.43</v>
      </c>
      <c r="H335" s="181">
        <v>7.39</v>
      </c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ht="11.25" customHeight="1">
      <c r="A336" s="198"/>
      <c r="B336" s="192" t="s">
        <v>105</v>
      </c>
      <c r="C336" s="180">
        <v>4940.78</v>
      </c>
      <c r="D336" s="180">
        <v>0.14</v>
      </c>
      <c r="E336" s="184">
        <v>0.38</v>
      </c>
      <c r="F336" s="180">
        <v>1.42</v>
      </c>
      <c r="G336" s="180">
        <v>6.58</v>
      </c>
      <c r="H336" s="181">
        <v>6.58</v>
      </c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ht="11.25" customHeight="1">
      <c r="A337" s="168">
        <v>2017.0</v>
      </c>
      <c r="B337" s="192" t="s">
        <v>94</v>
      </c>
      <c r="C337" s="180">
        <v>4961.53</v>
      </c>
      <c r="D337" s="180">
        <v>0.42</v>
      </c>
      <c r="E337" s="184">
        <v>0.63</v>
      </c>
      <c r="F337" s="180">
        <v>1.2</v>
      </c>
      <c r="G337" s="180">
        <v>0.42</v>
      </c>
      <c r="H337" s="181">
        <v>5.44</v>
      </c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ht="11.25" customHeight="1">
      <c r="A338" s="198"/>
      <c r="B338" s="192" t="s">
        <v>95</v>
      </c>
      <c r="C338" s="180">
        <v>4973.44</v>
      </c>
      <c r="D338" s="180">
        <v>0.24</v>
      </c>
      <c r="E338" s="184">
        <v>0.8</v>
      </c>
      <c r="F338" s="180">
        <v>1.12</v>
      </c>
      <c r="G338" s="180">
        <v>0.66</v>
      </c>
      <c r="H338" s="181">
        <v>4.69</v>
      </c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ht="11.25" customHeight="1">
      <c r="A339" s="198"/>
      <c r="B339" s="192" t="s">
        <v>96</v>
      </c>
      <c r="C339" s="180">
        <v>4989.36</v>
      </c>
      <c r="D339" s="180">
        <v>0.32</v>
      </c>
      <c r="E339" s="184">
        <v>0.98</v>
      </c>
      <c r="F339" s="180">
        <v>1.37</v>
      </c>
      <c r="G339" s="180">
        <v>0.98</v>
      </c>
      <c r="H339" s="181">
        <v>4.57</v>
      </c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ht="11.25" customHeight="1">
      <c r="A340" s="198"/>
      <c r="B340" s="192" t="s">
        <v>97</v>
      </c>
      <c r="C340" s="180">
        <v>4993.35</v>
      </c>
      <c r="D340" s="180">
        <v>0.08</v>
      </c>
      <c r="E340" s="184">
        <v>0.64</v>
      </c>
      <c r="F340" s="180">
        <v>1.28</v>
      </c>
      <c r="G340" s="180">
        <v>1.06</v>
      </c>
      <c r="H340" s="181">
        <v>3.99</v>
      </c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ht="11.25" customHeight="1">
      <c r="A341" s="198"/>
      <c r="B341" s="192" t="s">
        <v>98</v>
      </c>
      <c r="C341" s="180">
        <v>5011.33</v>
      </c>
      <c r="D341" s="180">
        <v>0.36</v>
      </c>
      <c r="E341" s="184">
        <v>0.76</v>
      </c>
      <c r="F341" s="180">
        <v>1.57</v>
      </c>
      <c r="G341" s="180">
        <v>1.43</v>
      </c>
      <c r="H341" s="181">
        <v>3.35</v>
      </c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ht="11.25" customHeight="1">
      <c r="A342" s="198"/>
      <c r="B342" s="192" t="s">
        <v>99</v>
      </c>
      <c r="C342" s="180">
        <v>4996.3</v>
      </c>
      <c r="D342" s="180">
        <v>-0.3</v>
      </c>
      <c r="E342" s="184">
        <v>0.14</v>
      </c>
      <c r="F342" s="180">
        <v>1.12</v>
      </c>
      <c r="G342" s="180">
        <v>1.12</v>
      </c>
      <c r="H342" s="181">
        <v>2.56</v>
      </c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ht="11.25" customHeight="1">
      <c r="A343" s="198"/>
      <c r="B343" s="192" t="s">
        <v>100</v>
      </c>
      <c r="C343" s="180">
        <v>5004.79</v>
      </c>
      <c r="D343" s="180">
        <v>0.17</v>
      </c>
      <c r="E343" s="184">
        <v>0.23</v>
      </c>
      <c r="F343" s="180">
        <v>0.87</v>
      </c>
      <c r="G343" s="180">
        <v>1.3</v>
      </c>
      <c r="H343" s="181">
        <v>2.08</v>
      </c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ht="11.25" customHeight="1">
      <c r="A344" s="198"/>
      <c r="B344" s="171" t="s">
        <v>101</v>
      </c>
      <c r="C344" s="172">
        <v>5003.29</v>
      </c>
      <c r="D344" s="172">
        <v>-0.03</v>
      </c>
      <c r="E344" s="172">
        <v>-0.16</v>
      </c>
      <c r="F344" s="172">
        <v>0.6</v>
      </c>
      <c r="G344" s="172">
        <v>1.27</v>
      </c>
      <c r="H344" s="173">
        <v>1.73</v>
      </c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ht="11.25" customHeight="1">
      <c r="A345" s="198"/>
      <c r="B345" s="171" t="s">
        <v>102</v>
      </c>
      <c r="C345" s="172">
        <v>5002.29</v>
      </c>
      <c r="D345" s="172">
        <v>-0.02</v>
      </c>
      <c r="E345" s="172">
        <v>0.12</v>
      </c>
      <c r="F345" s="172">
        <v>0.26</v>
      </c>
      <c r="G345" s="172">
        <v>1.24</v>
      </c>
      <c r="H345" s="173">
        <v>1.63</v>
      </c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ht="11.25" customHeight="1">
      <c r="A346" s="203"/>
      <c r="B346" s="171" t="s">
        <v>103</v>
      </c>
      <c r="C346" s="172">
        <v>5020.8</v>
      </c>
      <c r="D346" s="172">
        <v>0.37</v>
      </c>
      <c r="E346" s="172">
        <v>0.32</v>
      </c>
      <c r="F346" s="172">
        <v>0.55</v>
      </c>
      <c r="G346" s="172">
        <v>1.62</v>
      </c>
      <c r="H346" s="173">
        <v>1.83</v>
      </c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ht="11.25" customHeight="1">
      <c r="A347" s="203"/>
      <c r="B347" s="171" t="s">
        <v>104</v>
      </c>
      <c r="C347" s="172">
        <v>5029.84</v>
      </c>
      <c r="D347" s="172">
        <v>0.18</v>
      </c>
      <c r="E347" s="172">
        <v>0.53</v>
      </c>
      <c r="F347" s="172">
        <v>0.37</v>
      </c>
      <c r="G347" s="172">
        <v>1.8</v>
      </c>
      <c r="H347" s="173">
        <v>1.95</v>
      </c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ht="11.25" customHeight="1">
      <c r="A348" s="203"/>
      <c r="B348" s="171" t="s">
        <v>105</v>
      </c>
      <c r="C348" s="172">
        <v>5042.92</v>
      </c>
      <c r="D348" s="172">
        <v>0.26</v>
      </c>
      <c r="E348" s="172">
        <v>0.81</v>
      </c>
      <c r="F348" s="172">
        <v>0.93</v>
      </c>
      <c r="G348" s="172">
        <v>2.07</v>
      </c>
      <c r="H348" s="173">
        <v>2.07</v>
      </c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ht="11.25" customHeight="1">
      <c r="A349" s="168">
        <v>2018.0</v>
      </c>
      <c r="B349" s="192" t="s">
        <v>94</v>
      </c>
      <c r="C349" s="172">
        <v>5054.52</v>
      </c>
      <c r="D349" s="172">
        <v>0.23</v>
      </c>
      <c r="E349" s="172">
        <v>0.67</v>
      </c>
      <c r="F349" s="172">
        <v>0.99</v>
      </c>
      <c r="G349" s="172">
        <v>0.23</v>
      </c>
      <c r="H349" s="173">
        <v>1.87</v>
      </c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ht="11.25" customHeight="1">
      <c r="A350" s="168"/>
      <c r="B350" s="192" t="s">
        <v>95</v>
      </c>
      <c r="C350" s="172">
        <v>5063.62</v>
      </c>
      <c r="D350" s="172">
        <v>0.18</v>
      </c>
      <c r="E350" s="172">
        <v>0.67</v>
      </c>
      <c r="F350" s="172">
        <v>1.21</v>
      </c>
      <c r="G350" s="172">
        <v>0.41</v>
      </c>
      <c r="H350" s="173">
        <v>1.81</v>
      </c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ht="11.25" customHeight="1">
      <c r="A351" s="168"/>
      <c r="B351" s="192" t="s">
        <v>96</v>
      </c>
      <c r="C351" s="172">
        <v>5067.16</v>
      </c>
      <c r="D351" s="172">
        <v>0.07</v>
      </c>
      <c r="E351" s="172">
        <v>0.48</v>
      </c>
      <c r="F351" s="172">
        <v>1.3</v>
      </c>
      <c r="G351" s="172">
        <v>0.48</v>
      </c>
      <c r="H351" s="173">
        <v>1.56</v>
      </c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ht="11.25" customHeight="1">
      <c r="A352" s="166"/>
      <c r="B352" s="189" t="s">
        <v>97</v>
      </c>
      <c r="C352" s="172">
        <v>5077.8</v>
      </c>
      <c r="D352" s="172">
        <v>0.21</v>
      </c>
      <c r="E352" s="172">
        <v>0.46</v>
      </c>
      <c r="F352" s="172">
        <v>1.14</v>
      </c>
      <c r="G352" s="172">
        <v>0.69</v>
      </c>
      <c r="H352" s="173">
        <v>1.69</v>
      </c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ht="11.25" customHeight="1">
      <c r="A353" s="168"/>
      <c r="B353" s="192" t="s">
        <v>98</v>
      </c>
      <c r="C353" s="172">
        <v>5099.63</v>
      </c>
      <c r="D353" s="172">
        <v>0.43</v>
      </c>
      <c r="E353" s="172">
        <v>0.71</v>
      </c>
      <c r="F353" s="172">
        <v>1.39</v>
      </c>
      <c r="G353" s="172">
        <v>1.12</v>
      </c>
      <c r="H353" s="173">
        <v>1.76</v>
      </c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ht="11.25" customHeight="1">
      <c r="A354" s="168"/>
      <c r="B354" s="192" t="s">
        <v>99</v>
      </c>
      <c r="C354" s="172">
        <v>5172.55</v>
      </c>
      <c r="D354" s="172">
        <v>1.43</v>
      </c>
      <c r="E354" s="172">
        <v>2.08</v>
      </c>
      <c r="F354" s="172">
        <v>2.57</v>
      </c>
      <c r="G354" s="172">
        <v>2.57</v>
      </c>
      <c r="H354" s="173">
        <v>3.53</v>
      </c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ht="11.25" customHeight="1">
      <c r="A355" s="166"/>
      <c r="B355" s="189" t="s">
        <v>100</v>
      </c>
      <c r="C355" s="172">
        <v>5185.48</v>
      </c>
      <c r="D355" s="172">
        <v>0.25</v>
      </c>
      <c r="E355" s="172">
        <v>2.12</v>
      </c>
      <c r="F355" s="172">
        <v>2.59</v>
      </c>
      <c r="G355" s="172">
        <v>2.83</v>
      </c>
      <c r="H355" s="173">
        <v>3.61</v>
      </c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ht="11.25" customHeight="1">
      <c r="A356" s="166"/>
      <c r="B356" s="189" t="s">
        <v>101</v>
      </c>
      <c r="C356" s="172">
        <v>5185.48</v>
      </c>
      <c r="D356" s="172">
        <v>0.0</v>
      </c>
      <c r="E356" s="172">
        <v>1.68</v>
      </c>
      <c r="F356" s="172">
        <v>2.41</v>
      </c>
      <c r="G356" s="172">
        <v>2.83</v>
      </c>
      <c r="H356" s="173">
        <v>3.64</v>
      </c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ht="11.25" customHeight="1">
      <c r="A357" s="166"/>
      <c r="B357" s="189" t="s">
        <v>102</v>
      </c>
      <c r="C357" s="172">
        <v>5201.04</v>
      </c>
      <c r="D357" s="172">
        <v>0.3</v>
      </c>
      <c r="E357" s="172">
        <v>0.55</v>
      </c>
      <c r="F357" s="172">
        <v>2.64</v>
      </c>
      <c r="G357" s="172">
        <v>3.14</v>
      </c>
      <c r="H357" s="173">
        <v>3.97</v>
      </c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ht="11.25" customHeight="1">
      <c r="A358" s="166"/>
      <c r="B358" s="189" t="s">
        <v>103</v>
      </c>
      <c r="C358" s="172">
        <v>5221.84</v>
      </c>
      <c r="D358" s="172">
        <v>0.4</v>
      </c>
      <c r="E358" s="172">
        <v>0.7</v>
      </c>
      <c r="F358" s="172">
        <v>2.84</v>
      </c>
      <c r="G358" s="172">
        <v>3.55</v>
      </c>
      <c r="H358" s="173">
        <v>4.0</v>
      </c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ht="11.25" customHeight="1">
      <c r="A359" s="166"/>
      <c r="B359" s="189" t="s">
        <v>104</v>
      </c>
      <c r="C359" s="172">
        <v>5208.79</v>
      </c>
      <c r="D359" s="172">
        <v>-0.25</v>
      </c>
      <c r="E359" s="172">
        <v>0.45</v>
      </c>
      <c r="F359" s="172">
        <v>2.14</v>
      </c>
      <c r="G359" s="172">
        <v>3.29</v>
      </c>
      <c r="H359" s="173">
        <v>3.56</v>
      </c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ht="11.25" customHeight="1">
      <c r="A360" s="204"/>
      <c r="B360" s="205" t="s">
        <v>105</v>
      </c>
      <c r="C360" s="206">
        <v>5216.08</v>
      </c>
      <c r="D360" s="206">
        <v>0.14</v>
      </c>
      <c r="E360" s="206">
        <v>0.29</v>
      </c>
      <c r="F360" s="206">
        <v>0.84</v>
      </c>
      <c r="G360" s="206">
        <v>3.43</v>
      </c>
      <c r="H360" s="188">
        <v>3.43</v>
      </c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ht="11.25" customHeight="1">
      <c r="A361" s="166">
        <v>2019.0</v>
      </c>
      <c r="B361" s="189" t="s">
        <v>94</v>
      </c>
      <c r="C361" s="172">
        <v>5234.86</v>
      </c>
      <c r="D361" s="172">
        <v>0.36</v>
      </c>
      <c r="E361" s="172">
        <v>0.25</v>
      </c>
      <c r="F361" s="172">
        <v>0.95</v>
      </c>
      <c r="G361" s="172">
        <v>0.36</v>
      </c>
      <c r="H361" s="173">
        <v>3.57</v>
      </c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ht="11.25" customHeight="1">
      <c r="A362" s="166"/>
      <c r="B362" s="189" t="s">
        <v>95</v>
      </c>
      <c r="C362" s="172">
        <v>5263.13</v>
      </c>
      <c r="D362" s="172">
        <v>0.54</v>
      </c>
      <c r="E362" s="172">
        <v>1.04</v>
      </c>
      <c r="F362" s="172">
        <v>1.5</v>
      </c>
      <c r="G362" s="172">
        <v>0.9</v>
      </c>
      <c r="H362" s="173">
        <v>3.94</v>
      </c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ht="11.25" customHeight="1">
      <c r="A363" s="168"/>
      <c r="B363" s="192" t="s">
        <v>96</v>
      </c>
      <c r="C363" s="172">
        <v>5303.66</v>
      </c>
      <c r="D363" s="172">
        <v>0.77</v>
      </c>
      <c r="E363" s="172">
        <v>1.68</v>
      </c>
      <c r="F363" s="172">
        <v>1.97</v>
      </c>
      <c r="G363" s="172">
        <v>1.68</v>
      </c>
      <c r="H363" s="173">
        <v>4.67</v>
      </c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ht="11.25" customHeight="1">
      <c r="A364" s="168"/>
      <c r="B364" s="192" t="s">
        <v>97</v>
      </c>
      <c r="C364" s="172">
        <v>5335.48</v>
      </c>
      <c r="D364" s="172">
        <v>0.6</v>
      </c>
      <c r="E364" s="172">
        <v>1.92</v>
      </c>
      <c r="F364" s="172">
        <v>2.18</v>
      </c>
      <c r="G364" s="172">
        <v>2.29</v>
      </c>
      <c r="H364" s="173">
        <v>5.07</v>
      </c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ht="11.25" customHeight="1">
      <c r="A365" s="168"/>
      <c r="B365" s="192" t="s">
        <v>98</v>
      </c>
      <c r="C365" s="172">
        <v>5343.48</v>
      </c>
      <c r="D365" s="172">
        <v>0.15</v>
      </c>
      <c r="E365" s="172">
        <v>1.53</v>
      </c>
      <c r="F365" s="172">
        <v>2.59</v>
      </c>
      <c r="G365" s="172">
        <v>2.44</v>
      </c>
      <c r="H365" s="172">
        <v>4.78</v>
      </c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ht="11.25" customHeight="1">
      <c r="A366" s="168"/>
      <c r="B366" s="192" t="s">
        <v>99</v>
      </c>
      <c r="C366" s="172">
        <v>5344.01</v>
      </c>
      <c r="D366" s="172">
        <v>0.01</v>
      </c>
      <c r="E366" s="172">
        <v>0.76</v>
      </c>
      <c r="F366" s="172">
        <v>2.45</v>
      </c>
      <c r="G366" s="172">
        <v>2.45</v>
      </c>
      <c r="H366" s="172">
        <v>3.31</v>
      </c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ht="11.25" customHeight="1">
      <c r="A367" s="168"/>
      <c r="B367" s="192" t="s">
        <v>100</v>
      </c>
      <c r="C367" s="172">
        <v>5349.35</v>
      </c>
      <c r="D367" s="172">
        <v>0.1</v>
      </c>
      <c r="E367" s="172">
        <v>0.26</v>
      </c>
      <c r="F367" s="172">
        <v>2.19</v>
      </c>
      <c r="G367" s="172">
        <v>2.55</v>
      </c>
      <c r="H367" s="172">
        <v>3.16</v>
      </c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ht="11.25" customHeight="1">
      <c r="A368" s="168"/>
      <c r="B368" s="192" t="s">
        <v>101</v>
      </c>
      <c r="C368" s="172">
        <v>5355.77</v>
      </c>
      <c r="D368" s="172">
        <v>0.12</v>
      </c>
      <c r="E368" s="172">
        <v>0.23</v>
      </c>
      <c r="F368" s="172">
        <v>1.76</v>
      </c>
      <c r="G368" s="172">
        <v>2.68</v>
      </c>
      <c r="H368" s="172">
        <v>3.28</v>
      </c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ht="11.25" customHeight="1">
      <c r="A369" s="168"/>
      <c r="B369" s="192" t="s">
        <v>102</v>
      </c>
      <c r="C369" s="172">
        <v>5353.09</v>
      </c>
      <c r="D369" s="172">
        <v>-0.05</v>
      </c>
      <c r="E369" s="172">
        <v>0.17</v>
      </c>
      <c r="F369" s="172">
        <v>0.93</v>
      </c>
      <c r="G369" s="172">
        <v>2.63</v>
      </c>
      <c r="H369" s="172">
        <v>2.92</v>
      </c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ht="11.25" customHeight="1">
      <c r="A370" s="166"/>
      <c r="B370" s="192" t="s">
        <v>103</v>
      </c>
      <c r="C370" s="172">
        <v>5355.23</v>
      </c>
      <c r="D370" s="172">
        <v>0.04</v>
      </c>
      <c r="E370" s="172">
        <v>0.11</v>
      </c>
      <c r="F370" s="172">
        <v>0.37</v>
      </c>
      <c r="G370" s="172">
        <v>2.67</v>
      </c>
      <c r="H370" s="172">
        <v>2.55</v>
      </c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ht="11.25" customHeight="1">
      <c r="A371" s="166"/>
      <c r="B371" s="192" t="s">
        <v>104</v>
      </c>
      <c r="C371" s="172">
        <v>5384.15</v>
      </c>
      <c r="D371" s="172">
        <v>0.54</v>
      </c>
      <c r="E371" s="172">
        <v>0.53</v>
      </c>
      <c r="F371" s="172">
        <v>0.76</v>
      </c>
      <c r="G371" s="172">
        <v>3.22</v>
      </c>
      <c r="H371" s="172">
        <v>3.37</v>
      </c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1.25" customHeight="1">
      <c r="A372" s="174"/>
      <c r="B372" s="179" t="s">
        <v>105</v>
      </c>
      <c r="C372" s="172">
        <v>5449.84</v>
      </c>
      <c r="D372" s="172">
        <v>1.22</v>
      </c>
      <c r="E372" s="172">
        <v>1.81</v>
      </c>
      <c r="F372" s="172">
        <v>1.98</v>
      </c>
      <c r="G372" s="172">
        <v>4.48</v>
      </c>
      <c r="H372" s="172">
        <v>4.48</v>
      </c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11.25" customHeight="1">
      <c r="A373" s="168">
        <v>2020.0</v>
      </c>
      <c r="B373" s="171" t="s">
        <v>94</v>
      </c>
      <c r="C373" s="172">
        <v>5460.19</v>
      </c>
      <c r="D373" s="172">
        <v>0.19</v>
      </c>
      <c r="E373" s="172">
        <v>1.96</v>
      </c>
      <c r="F373" s="172">
        <v>2.07</v>
      </c>
      <c r="G373" s="172">
        <v>0.19</v>
      </c>
      <c r="H373" s="172">
        <v>4.3</v>
      </c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ht="11.25" customHeight="1">
      <c r="A374" s="168"/>
      <c r="B374" s="192" t="s">
        <v>95</v>
      </c>
      <c r="C374" s="172">
        <v>5469.47</v>
      </c>
      <c r="D374" s="172">
        <v>0.17</v>
      </c>
      <c r="E374" s="172">
        <v>1.58</v>
      </c>
      <c r="F374" s="172">
        <v>2.12</v>
      </c>
      <c r="G374" s="172">
        <v>0.36</v>
      </c>
      <c r="H374" s="172">
        <v>3.92</v>
      </c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ht="11.25" customHeight="1">
      <c r="A375" s="168"/>
      <c r="B375" s="192" t="s">
        <v>96</v>
      </c>
      <c r="C375" s="172">
        <v>5479.32</v>
      </c>
      <c r="D375" s="172">
        <v>0.18</v>
      </c>
      <c r="E375" s="172">
        <v>0.54</v>
      </c>
      <c r="F375" s="172">
        <v>2.36</v>
      </c>
      <c r="G375" s="172">
        <v>0.54</v>
      </c>
      <c r="H375" s="172">
        <v>3.31</v>
      </c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ht="11.25" customHeight="1">
      <c r="A376" s="168"/>
      <c r="B376" s="192" t="s">
        <v>97</v>
      </c>
      <c r="C376" s="172">
        <v>5466.72</v>
      </c>
      <c r="D376" s="172">
        <v>-0.23</v>
      </c>
      <c r="E376" s="172">
        <v>0.12</v>
      </c>
      <c r="F376" s="172">
        <v>2.08</v>
      </c>
      <c r="G376" s="172">
        <v>0.31</v>
      </c>
      <c r="H376" s="172">
        <v>2.46</v>
      </c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ht="11.25" customHeight="1">
      <c r="A377" s="168"/>
      <c r="B377" s="192" t="s">
        <v>98</v>
      </c>
      <c r="C377" s="172">
        <v>5453.05</v>
      </c>
      <c r="D377" s="172">
        <v>-0.25</v>
      </c>
      <c r="E377" s="172">
        <v>-0.3</v>
      </c>
      <c r="F377" s="172">
        <v>1.28</v>
      </c>
      <c r="G377" s="172">
        <v>0.06</v>
      </c>
      <c r="H377" s="172">
        <v>2.05</v>
      </c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ht="11.25" customHeight="1">
      <c r="A378" s="168"/>
      <c r="B378" s="192" t="s">
        <v>99</v>
      </c>
      <c r="C378" s="172">
        <v>5469.41</v>
      </c>
      <c r="D378" s="172">
        <v>0.3</v>
      </c>
      <c r="E378" s="172">
        <v>-0.18</v>
      </c>
      <c r="F378" s="172">
        <v>0.36</v>
      </c>
      <c r="G378" s="172">
        <v>0.36</v>
      </c>
      <c r="H378" s="172">
        <v>2.35</v>
      </c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ht="11.25" customHeight="1">
      <c r="A379" s="168"/>
      <c r="B379" s="192" t="s">
        <v>100</v>
      </c>
      <c r="C379" s="172">
        <v>5493.48</v>
      </c>
      <c r="D379" s="172">
        <v>0.44</v>
      </c>
      <c r="E379" s="172">
        <v>0.49</v>
      </c>
      <c r="F379" s="172">
        <v>0.61</v>
      </c>
      <c r="G379" s="172">
        <v>0.8</v>
      </c>
      <c r="H379" s="172">
        <v>2.69</v>
      </c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ht="11.25" customHeight="1">
      <c r="A380" s="168"/>
      <c r="B380" s="192" t="s">
        <v>101</v>
      </c>
      <c r="C380" s="172">
        <v>5513.26</v>
      </c>
      <c r="D380" s="172">
        <v>0.36</v>
      </c>
      <c r="E380" s="172">
        <v>1.1</v>
      </c>
      <c r="F380" s="172">
        <v>0.8</v>
      </c>
      <c r="G380" s="172">
        <v>1.16</v>
      </c>
      <c r="H380" s="172">
        <v>2.94</v>
      </c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ht="11.25" customHeight="1">
      <c r="A381" s="168"/>
      <c r="B381" s="192" t="s">
        <v>102</v>
      </c>
      <c r="C381" s="172">
        <v>5561.23</v>
      </c>
      <c r="D381" s="172">
        <v>0.87</v>
      </c>
      <c r="E381" s="172">
        <v>1.68</v>
      </c>
      <c r="F381" s="172">
        <v>1.49</v>
      </c>
      <c r="G381" s="172">
        <v>2.04</v>
      </c>
      <c r="H381" s="172">
        <v>3.89</v>
      </c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ht="11.25" customHeight="1">
      <c r="A382" s="168"/>
      <c r="B382" s="192" t="s">
        <v>103</v>
      </c>
      <c r="C382" s="172">
        <v>5610.72</v>
      </c>
      <c r="D382" s="172">
        <v>0.89</v>
      </c>
      <c r="E382" s="172">
        <v>2.13</v>
      </c>
      <c r="F382" s="172">
        <v>2.63</v>
      </c>
      <c r="G382" s="172">
        <v>2.95</v>
      </c>
      <c r="H382" s="172">
        <v>4.77</v>
      </c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ht="11.25" customHeight="1">
      <c r="A383" s="168"/>
      <c r="B383" s="192" t="s">
        <v>104</v>
      </c>
      <c r="C383" s="184">
        <v>5664.02</v>
      </c>
      <c r="D383" s="184">
        <v>0.95</v>
      </c>
      <c r="E383" s="184">
        <v>2.73</v>
      </c>
      <c r="F383" s="184">
        <v>3.87</v>
      </c>
      <c r="G383" s="184">
        <v>3.93</v>
      </c>
      <c r="H383" s="190">
        <v>5.2</v>
      </c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ht="11.25" customHeight="1">
      <c r="A384" s="168"/>
      <c r="B384" s="192" t="s">
        <v>105</v>
      </c>
      <c r="C384" s="190">
        <v>5746.71</v>
      </c>
      <c r="D384" s="184">
        <v>1.46</v>
      </c>
      <c r="E384" s="184">
        <v>3.34</v>
      </c>
      <c r="F384" s="184">
        <v>5.07</v>
      </c>
      <c r="G384" s="184">
        <v>5.45</v>
      </c>
      <c r="H384" s="190">
        <v>5.45</v>
      </c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ht="11.25" customHeight="1">
      <c r="A385" s="168">
        <v>2021.0</v>
      </c>
      <c r="B385" s="192" t="s">
        <v>94</v>
      </c>
      <c r="C385" s="184">
        <v>5762.23</v>
      </c>
      <c r="D385" s="184">
        <v>0.27</v>
      </c>
      <c r="E385" s="184">
        <v>2.7</v>
      </c>
      <c r="F385" s="184">
        <v>4.89</v>
      </c>
      <c r="G385" s="184">
        <v>0.27</v>
      </c>
      <c r="H385" s="172">
        <v>5.53</v>
      </c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ht="11.25" customHeight="1">
      <c r="A386" s="168"/>
      <c r="B386" s="192" t="s">
        <v>95</v>
      </c>
      <c r="C386" s="172">
        <v>5809.48</v>
      </c>
      <c r="D386" s="172">
        <v>0.82</v>
      </c>
      <c r="E386" s="172">
        <v>2.57</v>
      </c>
      <c r="F386" s="172">
        <v>5.37</v>
      </c>
      <c r="G386" s="172">
        <v>1.09</v>
      </c>
      <c r="H386" s="172">
        <v>6.22</v>
      </c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ht="11.25" customHeight="1">
      <c r="A387" s="168"/>
      <c r="B387" s="171" t="s">
        <v>96</v>
      </c>
      <c r="C387" s="172">
        <v>5859.44</v>
      </c>
      <c r="D387" s="172">
        <v>0.86</v>
      </c>
      <c r="E387" s="172">
        <v>1.96</v>
      </c>
      <c r="F387" s="184">
        <v>5.36</v>
      </c>
      <c r="G387" s="184">
        <v>1.96</v>
      </c>
      <c r="H387" s="190">
        <v>6.94</v>
      </c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ht="11.25" customHeight="1">
      <c r="A388" s="166"/>
      <c r="B388" s="189" t="s">
        <v>97</v>
      </c>
      <c r="C388" s="172">
        <v>5881.71</v>
      </c>
      <c r="D388" s="172">
        <v>0.38</v>
      </c>
      <c r="E388" s="172">
        <v>2.07</v>
      </c>
      <c r="F388" s="172">
        <v>4.83</v>
      </c>
      <c r="G388" s="172">
        <v>2.35</v>
      </c>
      <c r="H388" s="172">
        <v>7.59</v>
      </c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ht="11.25" customHeight="1">
      <c r="A389" s="166"/>
      <c r="B389" s="189" t="s">
        <v>98</v>
      </c>
      <c r="C389" s="172">
        <v>5938.17</v>
      </c>
      <c r="D389" s="172">
        <v>0.96</v>
      </c>
      <c r="E389" s="172">
        <v>2.22</v>
      </c>
      <c r="F389" s="172">
        <v>4.84</v>
      </c>
      <c r="G389" s="172">
        <v>3.33</v>
      </c>
      <c r="H389" s="172">
        <v>8.9</v>
      </c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ht="11.25" customHeight="1">
      <c r="A390" s="166"/>
      <c r="B390" s="189" t="s">
        <v>99</v>
      </c>
      <c r="C390" s="172">
        <v>5973.8</v>
      </c>
      <c r="D390" s="172">
        <v>0.6</v>
      </c>
      <c r="E390" s="172">
        <v>1.95</v>
      </c>
      <c r="F390" s="172">
        <v>3.95</v>
      </c>
      <c r="G390" s="172">
        <v>3.95</v>
      </c>
      <c r="H390" s="172">
        <v>9.22</v>
      </c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ht="11.25" customHeight="1">
      <c r="A391" s="166"/>
      <c r="B391" s="189" t="s">
        <v>100</v>
      </c>
      <c r="C391" s="172">
        <v>6034.73</v>
      </c>
      <c r="D391" s="172">
        <v>1.02</v>
      </c>
      <c r="E391" s="172">
        <v>2.6</v>
      </c>
      <c r="F391" s="172">
        <v>4.73</v>
      </c>
      <c r="G391" s="172">
        <v>5.01</v>
      </c>
      <c r="H391" s="172">
        <v>9.85</v>
      </c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ht="11.25" customHeight="1">
      <c r="A392" s="166"/>
      <c r="B392" s="189" t="s">
        <v>101</v>
      </c>
      <c r="C392" s="172">
        <v>6087.84</v>
      </c>
      <c r="D392" s="172">
        <v>0.88</v>
      </c>
      <c r="E392" s="172">
        <v>2.52</v>
      </c>
      <c r="F392" s="172">
        <v>4.79</v>
      </c>
      <c r="G392" s="172">
        <v>5.94</v>
      </c>
      <c r="H392" s="172">
        <v>10.42</v>
      </c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ht="11.25" customHeight="1">
      <c r="A393" s="166"/>
      <c r="B393" s="189" t="s">
        <v>102</v>
      </c>
      <c r="C393" s="172">
        <v>6160.89</v>
      </c>
      <c r="D393" s="172">
        <v>1.2</v>
      </c>
      <c r="E393" s="172">
        <v>3.13</v>
      </c>
      <c r="F393" s="172">
        <v>5.14</v>
      </c>
      <c r="G393" s="172">
        <v>7.21</v>
      </c>
      <c r="H393" s="172">
        <v>10.78</v>
      </c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ht="11.25" customHeight="1">
      <c r="A394" s="166"/>
      <c r="B394" s="189" t="s">
        <v>103</v>
      </c>
      <c r="C394" s="172">
        <v>6232.36</v>
      </c>
      <c r="D394" s="172">
        <v>1.16</v>
      </c>
      <c r="E394" s="172">
        <v>3.27</v>
      </c>
      <c r="F394" s="172">
        <v>5.96</v>
      </c>
      <c r="G394" s="172">
        <v>8.45</v>
      </c>
      <c r="H394" s="172">
        <v>11.08</v>
      </c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ht="11.25" customHeight="1">
      <c r="A395" s="166"/>
      <c r="B395" s="192" t="s">
        <v>104</v>
      </c>
      <c r="C395" s="190">
        <v>6284.71</v>
      </c>
      <c r="D395" s="172">
        <v>0.84</v>
      </c>
      <c r="E395" s="172">
        <v>3.23</v>
      </c>
      <c r="F395" s="172">
        <v>5.84</v>
      </c>
      <c r="G395" s="172">
        <v>9.36</v>
      </c>
      <c r="H395" s="172">
        <v>10.96</v>
      </c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ht="11.25" customHeight="1">
      <c r="A396" s="166"/>
      <c r="B396" s="192" t="s">
        <v>105</v>
      </c>
      <c r="C396" s="190">
        <v>6330.59</v>
      </c>
      <c r="D396" s="172">
        <v>0.73</v>
      </c>
      <c r="E396" s="172">
        <v>2.75</v>
      </c>
      <c r="F396" s="172">
        <v>5.97</v>
      </c>
      <c r="G396" s="172">
        <v>10.16</v>
      </c>
      <c r="H396" s="172">
        <v>10.16</v>
      </c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ht="11.25" customHeight="1">
      <c r="A397" s="168">
        <v>2022.0</v>
      </c>
      <c r="B397" s="192" t="s">
        <v>94</v>
      </c>
      <c r="C397" s="184">
        <v>6373.0</v>
      </c>
      <c r="D397" s="184">
        <v>0.67</v>
      </c>
      <c r="E397" s="184">
        <v>2.26</v>
      </c>
      <c r="F397" s="184">
        <v>5.61</v>
      </c>
      <c r="G397" s="184">
        <v>0.67</v>
      </c>
      <c r="H397" s="172">
        <v>10.6</v>
      </c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ht="11.25" customHeight="1">
      <c r="A398" s="168"/>
      <c r="B398" s="192" t="s">
        <v>95</v>
      </c>
      <c r="C398" s="184">
        <v>6436.73</v>
      </c>
      <c r="D398" s="184">
        <v>1.0</v>
      </c>
      <c r="E398" s="184">
        <v>2.42</v>
      </c>
      <c r="F398" s="184">
        <v>5.73</v>
      </c>
      <c r="G398" s="184">
        <v>1.68</v>
      </c>
      <c r="H398" s="172">
        <v>10.8</v>
      </c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ht="11.25" customHeight="1">
      <c r="A399" s="168"/>
      <c r="B399" s="192" t="s">
        <v>96</v>
      </c>
      <c r="C399" s="190">
        <v>6546.8</v>
      </c>
      <c r="D399" s="172">
        <v>1.71</v>
      </c>
      <c r="E399" s="172">
        <v>3.42</v>
      </c>
      <c r="F399" s="184">
        <v>6.26</v>
      </c>
      <c r="G399" s="190">
        <v>3.42</v>
      </c>
      <c r="H399" s="172">
        <v>11.73</v>
      </c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ht="11.25" customHeight="1">
      <c r="A400" s="168"/>
      <c r="B400" s="192" t="s">
        <v>97</v>
      </c>
      <c r="C400" s="190">
        <v>6614.89</v>
      </c>
      <c r="D400" s="172">
        <v>1.04</v>
      </c>
      <c r="E400" s="172">
        <v>3.8</v>
      </c>
      <c r="F400" s="184">
        <v>6.14</v>
      </c>
      <c r="G400" s="190">
        <v>4.49</v>
      </c>
      <c r="H400" s="172">
        <v>12.47</v>
      </c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ht="11.25" customHeight="1">
      <c r="A401" s="168"/>
      <c r="B401" s="192" t="s">
        <v>98</v>
      </c>
      <c r="C401" s="190">
        <v>6644.66</v>
      </c>
      <c r="D401" s="172">
        <v>0.45</v>
      </c>
      <c r="E401" s="172">
        <v>3.23</v>
      </c>
      <c r="F401" s="184">
        <v>5.73</v>
      </c>
      <c r="G401" s="190">
        <v>4.96</v>
      </c>
      <c r="H401" s="172">
        <v>11.9</v>
      </c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ht="11.25" customHeight="1">
      <c r="A402" s="168"/>
      <c r="B402" s="192" t="s">
        <v>99</v>
      </c>
      <c r="C402" s="190">
        <v>6685.86</v>
      </c>
      <c r="D402" s="172">
        <v>0.62</v>
      </c>
      <c r="E402" s="172">
        <v>2.12</v>
      </c>
      <c r="F402" s="184">
        <v>5.61</v>
      </c>
      <c r="G402" s="190">
        <v>5.61</v>
      </c>
      <c r="H402" s="172">
        <v>11.92</v>
      </c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ht="11.25" customHeight="1">
      <c r="A403" s="168"/>
      <c r="B403" s="192" t="s">
        <v>100</v>
      </c>
      <c r="C403" s="190">
        <v>6645.74</v>
      </c>
      <c r="D403" s="172">
        <v>-0.6</v>
      </c>
      <c r="E403" s="172">
        <v>0.47</v>
      </c>
      <c r="F403" s="184">
        <v>4.28</v>
      </c>
      <c r="G403" s="190">
        <v>4.98</v>
      </c>
      <c r="H403" s="172">
        <v>10.12</v>
      </c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ht="11.25" customHeight="1">
      <c r="A404" s="168"/>
      <c r="B404" s="192" t="s">
        <v>101</v>
      </c>
      <c r="C404" s="190">
        <v>6625.14</v>
      </c>
      <c r="D404" s="172">
        <v>-0.31</v>
      </c>
      <c r="E404" s="172">
        <v>-0.29</v>
      </c>
      <c r="F404" s="184">
        <v>2.93</v>
      </c>
      <c r="G404" s="190">
        <v>4.65</v>
      </c>
      <c r="H404" s="172">
        <v>8.83</v>
      </c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ht="11.25" customHeight="1">
      <c r="A405" s="168"/>
      <c r="B405" s="192" t="s">
        <v>102</v>
      </c>
      <c r="C405" s="190">
        <v>6603.94</v>
      </c>
      <c r="D405" s="172">
        <v>-0.32</v>
      </c>
      <c r="E405" s="172">
        <v>-1.23</v>
      </c>
      <c r="F405" s="184">
        <v>0.87</v>
      </c>
      <c r="G405" s="190">
        <v>4.32</v>
      </c>
      <c r="H405" s="172">
        <v>7.19</v>
      </c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ht="11.25" customHeight="1">
      <c r="A406" s="168"/>
      <c r="B406" s="192" t="s">
        <v>103</v>
      </c>
      <c r="C406" s="190">
        <v>6634.98</v>
      </c>
      <c r="D406" s="172">
        <v>0.47</v>
      </c>
      <c r="E406" s="172">
        <v>-0.16</v>
      </c>
      <c r="F406" s="184">
        <v>0.3</v>
      </c>
      <c r="G406" s="190">
        <v>4.81</v>
      </c>
      <c r="H406" s="172">
        <v>6.46</v>
      </c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ht="11.25" customHeight="1">
      <c r="A407" s="166"/>
      <c r="B407" s="179" t="s">
        <v>104</v>
      </c>
      <c r="C407" s="184">
        <v>6660.19</v>
      </c>
      <c r="D407" s="184">
        <v>0.38</v>
      </c>
      <c r="E407" s="184">
        <v>0.53</v>
      </c>
      <c r="F407" s="184">
        <v>0.23</v>
      </c>
      <c r="G407" s="190">
        <v>5.21</v>
      </c>
      <c r="H407" s="172">
        <v>5.97</v>
      </c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ht="11.25" customHeight="1">
      <c r="A408" s="166"/>
      <c r="B408" s="192" t="s">
        <v>105</v>
      </c>
      <c r="C408" s="184">
        <v>6706.15</v>
      </c>
      <c r="D408" s="184">
        <v>0.69</v>
      </c>
      <c r="E408" s="184">
        <v>1.55</v>
      </c>
      <c r="F408" s="184">
        <v>0.3</v>
      </c>
      <c r="G408" s="184">
        <v>5.93</v>
      </c>
      <c r="H408" s="190">
        <v>5.93</v>
      </c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ht="11.25" customHeight="1">
      <c r="A409" s="166">
        <v>2023.0</v>
      </c>
      <c r="B409" s="192" t="s">
        <v>94</v>
      </c>
      <c r="C409" s="184">
        <v>6737.0</v>
      </c>
      <c r="D409" s="184">
        <v>0.46</v>
      </c>
      <c r="E409" s="184">
        <v>1.54</v>
      </c>
      <c r="F409" s="184">
        <v>1.37</v>
      </c>
      <c r="G409" s="184">
        <v>0.46</v>
      </c>
      <c r="H409" s="190">
        <v>5.71</v>
      </c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ht="11.25" customHeight="1">
      <c r="A410" s="166"/>
      <c r="B410" s="192" t="s">
        <v>95</v>
      </c>
      <c r="C410" s="184">
        <v>6788.87</v>
      </c>
      <c r="D410" s="184">
        <v>0.77</v>
      </c>
      <c r="E410" s="184">
        <v>1.93</v>
      </c>
      <c r="F410" s="184">
        <v>2.47</v>
      </c>
      <c r="G410" s="184">
        <v>1.23</v>
      </c>
      <c r="H410" s="190">
        <v>5.47</v>
      </c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ht="11.25" customHeight="1">
      <c r="A411" s="166"/>
      <c r="B411" s="189" t="s">
        <v>96</v>
      </c>
      <c r="C411" s="172">
        <v>6832.32</v>
      </c>
      <c r="D411" s="184">
        <v>0.64</v>
      </c>
      <c r="E411" s="184">
        <v>1.88</v>
      </c>
      <c r="F411" s="190">
        <v>3.46</v>
      </c>
      <c r="G411" s="184">
        <v>1.88</v>
      </c>
      <c r="H411" s="190">
        <v>4.36</v>
      </c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1.25" customHeight="1">
      <c r="A412" s="166"/>
      <c r="B412" s="189" t="s">
        <v>97</v>
      </c>
      <c r="C412" s="172">
        <v>6868.53</v>
      </c>
      <c r="D412" s="184">
        <v>0.53</v>
      </c>
      <c r="E412" s="184">
        <v>1.95</v>
      </c>
      <c r="F412" s="190">
        <v>3.52</v>
      </c>
      <c r="G412" s="184">
        <v>2.42</v>
      </c>
      <c r="H412" s="190">
        <v>3.83</v>
      </c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1.25" customHeight="1">
      <c r="A413" s="166"/>
      <c r="B413" s="189" t="s">
        <v>98</v>
      </c>
      <c r="C413" s="172">
        <v>6893.26</v>
      </c>
      <c r="D413" s="184">
        <v>0.36</v>
      </c>
      <c r="E413" s="184">
        <v>1.54</v>
      </c>
      <c r="F413" s="190">
        <v>3.5</v>
      </c>
      <c r="G413" s="184">
        <v>2.79</v>
      </c>
      <c r="H413" s="190">
        <v>3.74</v>
      </c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ht="11.25" customHeight="1">
      <c r="A414" s="166"/>
      <c r="B414" s="189" t="s">
        <v>99</v>
      </c>
      <c r="C414" s="172">
        <v>6886.37</v>
      </c>
      <c r="D414" s="184">
        <v>-0.1</v>
      </c>
      <c r="E414" s="184">
        <v>0.79</v>
      </c>
      <c r="F414" s="190">
        <v>2.69</v>
      </c>
      <c r="G414" s="184">
        <v>2.69</v>
      </c>
      <c r="H414" s="190">
        <v>3.0</v>
      </c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1.25" customHeight="1">
      <c r="A415" s="166"/>
      <c r="B415" s="189" t="s">
        <v>100</v>
      </c>
      <c r="C415" s="172">
        <v>6880.17</v>
      </c>
      <c r="D415" s="184">
        <v>-0.09</v>
      </c>
      <c r="E415" s="184">
        <v>0.17</v>
      </c>
      <c r="F415" s="190">
        <v>2.13</v>
      </c>
      <c r="G415" s="184">
        <v>2.59</v>
      </c>
      <c r="H415" s="190">
        <v>3.53</v>
      </c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1.25" customHeight="1">
      <c r="A416" s="166"/>
      <c r="B416" s="189" t="s">
        <v>101</v>
      </c>
      <c r="C416" s="172">
        <v>6893.93</v>
      </c>
      <c r="D416" s="184">
        <v>0.2</v>
      </c>
      <c r="E416" s="184">
        <v>0.01</v>
      </c>
      <c r="F416" s="190">
        <v>1.55</v>
      </c>
      <c r="G416" s="184">
        <v>2.8</v>
      </c>
      <c r="H416" s="190">
        <v>4.06</v>
      </c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1.25" customHeight="1">
      <c r="A417" s="166"/>
      <c r="B417" s="189" t="s">
        <v>102</v>
      </c>
      <c r="C417" s="172">
        <v>6901.51</v>
      </c>
      <c r="D417" s="184">
        <v>0.11</v>
      </c>
      <c r="E417" s="184">
        <v>0.22</v>
      </c>
      <c r="F417" s="190">
        <v>1.01</v>
      </c>
      <c r="G417" s="184">
        <v>2.91</v>
      </c>
      <c r="H417" s="190">
        <v>4.51</v>
      </c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1.25" customHeight="1">
      <c r="A418" s="166"/>
      <c r="B418" s="189" t="s">
        <v>103</v>
      </c>
      <c r="C418" s="172">
        <v>6909.79</v>
      </c>
      <c r="D418" s="184">
        <v>0.12</v>
      </c>
      <c r="E418" s="184">
        <v>0.43</v>
      </c>
      <c r="F418" s="190">
        <v>0.6</v>
      </c>
      <c r="G418" s="184">
        <v>3.04</v>
      </c>
      <c r="H418" s="190">
        <v>4.14</v>
      </c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1.25" customHeight="1">
      <c r="A419" s="166"/>
      <c r="B419" s="189" t="s">
        <v>104</v>
      </c>
      <c r="C419" s="172">
        <v>6916.7</v>
      </c>
      <c r="D419" s="184">
        <v>0.1</v>
      </c>
      <c r="E419" s="184">
        <v>0.33</v>
      </c>
      <c r="F419" s="190">
        <v>0.34</v>
      </c>
      <c r="G419" s="184">
        <v>3.14</v>
      </c>
      <c r="H419" s="190">
        <v>3.85</v>
      </c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1.25" customHeight="1">
      <c r="A420" s="166"/>
      <c r="B420" s="189" t="s">
        <v>105</v>
      </c>
      <c r="C420" s="172">
        <v>6954.74</v>
      </c>
      <c r="D420" s="184">
        <v>0.55</v>
      </c>
      <c r="E420" s="184">
        <v>0.77</v>
      </c>
      <c r="F420" s="190">
        <v>0.99</v>
      </c>
      <c r="G420" s="184">
        <v>3.71</v>
      </c>
      <c r="H420" s="190">
        <v>3.71</v>
      </c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1.25" customHeight="1">
      <c r="A421" s="166">
        <v>2024.0</v>
      </c>
      <c r="B421" s="189" t="s">
        <v>94</v>
      </c>
      <c r="C421" s="172">
        <v>6994.38</v>
      </c>
      <c r="D421" s="184">
        <v>0.57</v>
      </c>
      <c r="E421" s="184">
        <v>1.22</v>
      </c>
      <c r="F421" s="190">
        <v>1.66</v>
      </c>
      <c r="G421" s="184">
        <v>0.57</v>
      </c>
      <c r="H421" s="190">
        <v>3.82</v>
      </c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1.25" customHeight="1">
      <c r="A422" s="166"/>
      <c r="B422" s="189" t="s">
        <v>95</v>
      </c>
      <c r="C422" s="172">
        <v>7051.03</v>
      </c>
      <c r="D422" s="184">
        <v>0.81</v>
      </c>
      <c r="E422" s="184">
        <v>1.94</v>
      </c>
      <c r="F422" s="190">
        <v>2.28</v>
      </c>
      <c r="G422" s="184">
        <v>1.38</v>
      </c>
      <c r="H422" s="190">
        <v>3.86</v>
      </c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1.25" customHeight="1">
      <c r="A423" s="166"/>
      <c r="B423" s="189" t="s">
        <v>96</v>
      </c>
      <c r="C423" s="172">
        <v>7064.43</v>
      </c>
      <c r="D423" s="184">
        <v>0.19</v>
      </c>
      <c r="E423" s="184">
        <v>1.58</v>
      </c>
      <c r="F423" s="190">
        <v>2.36</v>
      </c>
      <c r="G423" s="184">
        <v>1.58</v>
      </c>
      <c r="H423" s="190">
        <v>3.4</v>
      </c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1.25" customHeight="1">
      <c r="A424" s="166"/>
      <c r="B424" s="189" t="s">
        <v>97</v>
      </c>
      <c r="C424" s="172">
        <v>7090.57</v>
      </c>
      <c r="D424" s="184">
        <v>0.37</v>
      </c>
      <c r="E424" s="184">
        <v>1.38</v>
      </c>
      <c r="F424" s="190">
        <v>2.62</v>
      </c>
      <c r="G424" s="184">
        <v>1.95</v>
      </c>
      <c r="H424" s="190">
        <v>3.23</v>
      </c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1.25" customHeight="1">
      <c r="A425" s="166"/>
      <c r="B425" s="189" t="s">
        <v>98</v>
      </c>
      <c r="C425" s="172">
        <v>7123.19</v>
      </c>
      <c r="D425" s="184">
        <v>0.46</v>
      </c>
      <c r="E425" s="184">
        <v>1.02</v>
      </c>
      <c r="F425" s="190">
        <v>2.99</v>
      </c>
      <c r="G425" s="184">
        <v>2.42</v>
      </c>
      <c r="H425" s="190">
        <v>3.34</v>
      </c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1.25" customHeight="1">
      <c r="A426" s="166"/>
      <c r="B426" s="189" t="s">
        <v>99</v>
      </c>
      <c r="C426" s="172">
        <v>7141.0</v>
      </c>
      <c r="D426" s="184">
        <v>0.25</v>
      </c>
      <c r="E426" s="184">
        <v>1.08</v>
      </c>
      <c r="F426" s="190">
        <v>2.68</v>
      </c>
      <c r="G426" s="184">
        <v>2.68</v>
      </c>
      <c r="H426" s="190">
        <v>3.7</v>
      </c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1.25" customHeight="1">
      <c r="A427" s="166"/>
      <c r="B427" s="189" t="s">
        <v>100</v>
      </c>
      <c r="C427" s="172">
        <v>7159.57</v>
      </c>
      <c r="D427" s="184">
        <v>0.26</v>
      </c>
      <c r="E427" s="184">
        <v>0.97</v>
      </c>
      <c r="F427" s="190">
        <v>2.36</v>
      </c>
      <c r="G427" s="184">
        <v>2.95</v>
      </c>
      <c r="H427" s="190">
        <v>4.06</v>
      </c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1.25" customHeight="1">
      <c r="A428" s="166"/>
      <c r="B428" s="189" t="s">
        <v>101</v>
      </c>
      <c r="C428" s="172">
        <v>7149.55</v>
      </c>
      <c r="D428" s="184">
        <v>-0.14</v>
      </c>
      <c r="E428" s="184">
        <v>0.37</v>
      </c>
      <c r="F428" s="190">
        <v>1.4</v>
      </c>
      <c r="G428" s="184">
        <v>2.8</v>
      </c>
      <c r="H428" s="190">
        <v>3.71</v>
      </c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1.25" customHeight="1">
      <c r="A429" s="166"/>
      <c r="B429" s="189" t="s">
        <v>102</v>
      </c>
      <c r="C429" s="172">
        <v>7183.87</v>
      </c>
      <c r="D429" s="184">
        <v>0.48</v>
      </c>
      <c r="E429" s="184">
        <v>0.6</v>
      </c>
      <c r="F429" s="190">
        <v>1.69</v>
      </c>
      <c r="G429" s="184">
        <v>3.29</v>
      </c>
      <c r="H429" s="190">
        <v>4.09</v>
      </c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1.25" customHeight="1">
      <c r="A430" s="166"/>
      <c r="B430" s="189" t="s">
        <v>103</v>
      </c>
      <c r="C430" s="172">
        <v>7227.69</v>
      </c>
      <c r="D430" s="184">
        <v>0.61</v>
      </c>
      <c r="E430" s="184">
        <v>0.95</v>
      </c>
      <c r="F430" s="190">
        <v>1.93</v>
      </c>
      <c r="G430" s="184">
        <v>3.92</v>
      </c>
      <c r="H430" s="190">
        <v>4.6</v>
      </c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1.25" customHeight="1">
      <c r="A431" s="166"/>
      <c r="B431" s="189" t="s">
        <v>104</v>
      </c>
      <c r="C431" s="172">
        <v>7251.54</v>
      </c>
      <c r="D431" s="184">
        <v>0.33</v>
      </c>
      <c r="E431" s="184">
        <v>1.43</v>
      </c>
      <c r="F431" s="190">
        <v>1.8</v>
      </c>
      <c r="G431" s="184">
        <v>4.27</v>
      </c>
      <c r="H431" s="190">
        <v>4.84</v>
      </c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1.25" customHeight="1">
      <c r="A432" s="166"/>
      <c r="B432" s="189" t="s">
        <v>105</v>
      </c>
      <c r="C432" s="172">
        <v>7286.35</v>
      </c>
      <c r="D432" s="184">
        <v>0.48</v>
      </c>
      <c r="E432" s="184">
        <v>1.43</v>
      </c>
      <c r="F432" s="190">
        <v>2.04</v>
      </c>
      <c r="G432" s="184">
        <v>4.77</v>
      </c>
      <c r="H432" s="190">
        <v>4.77</v>
      </c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1.25" customHeight="1">
      <c r="A433" s="166">
        <v>2025.0</v>
      </c>
      <c r="B433" s="189" t="s">
        <v>94</v>
      </c>
      <c r="C433" s="172">
        <v>7286.35</v>
      </c>
      <c r="D433" s="184">
        <v>0.0</v>
      </c>
      <c r="E433" s="184">
        <v>0.81</v>
      </c>
      <c r="F433" s="190">
        <v>1.77</v>
      </c>
      <c r="G433" s="184">
        <v>0.0</v>
      </c>
      <c r="H433" s="190">
        <v>4.17</v>
      </c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1.25" customHeight="1">
      <c r="A434" s="166"/>
      <c r="B434" s="189" t="s">
        <v>95</v>
      </c>
      <c r="C434" s="172">
        <v>7394.19</v>
      </c>
      <c r="D434" s="184">
        <v>1.48</v>
      </c>
      <c r="E434" s="184">
        <v>1.97</v>
      </c>
      <c r="F434" s="190">
        <v>3.42</v>
      </c>
      <c r="G434" s="184">
        <v>1.48</v>
      </c>
      <c r="H434" s="190">
        <v>4.87</v>
      </c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1.25" customHeight="1">
      <c r="A435" s="166"/>
      <c r="B435" s="189" t="s">
        <v>96</v>
      </c>
      <c r="C435" s="172">
        <v>7431.9</v>
      </c>
      <c r="D435" s="184">
        <v>0.51</v>
      </c>
      <c r="E435" s="184">
        <v>2.0</v>
      </c>
      <c r="F435" s="190">
        <v>3.45</v>
      </c>
      <c r="G435" s="184">
        <v>2.0</v>
      </c>
      <c r="H435" s="190">
        <v>5.2</v>
      </c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1.25" customHeight="1">
      <c r="A436" s="166"/>
      <c r="B436" s="189" t="s">
        <v>97</v>
      </c>
      <c r="C436" s="172">
        <v>7467.57</v>
      </c>
      <c r="D436" s="184">
        <v>0.48</v>
      </c>
      <c r="E436" s="184">
        <v>2.49</v>
      </c>
      <c r="F436" s="190">
        <v>3.32</v>
      </c>
      <c r="G436" s="184">
        <v>2.49</v>
      </c>
      <c r="H436" s="190">
        <v>5.32</v>
      </c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7.5" customHeight="1">
      <c r="A437" s="185"/>
      <c r="B437" s="179"/>
      <c r="C437" s="172"/>
      <c r="D437" s="172"/>
      <c r="E437" s="172"/>
      <c r="F437" s="172"/>
      <c r="G437" s="172"/>
      <c r="H437" s="172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1.25" customHeight="1">
      <c r="A438" s="212"/>
      <c r="B438" s="213"/>
      <c r="C438" s="214"/>
      <c r="D438" s="214"/>
      <c r="E438" s="214"/>
      <c r="F438" s="214"/>
      <c r="G438" s="214"/>
      <c r="H438" s="215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1.25" customHeight="1">
      <c r="A439" s="174" t="s">
        <v>108</v>
      </c>
      <c r="B439" s="140"/>
      <c r="C439" s="141"/>
      <c r="D439" s="140"/>
      <c r="E439" s="141"/>
      <c r="F439" s="140"/>
      <c r="G439" s="140"/>
      <c r="H439" s="142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1.25" customHeight="1">
      <c r="A440" s="140" t="s">
        <v>109</v>
      </c>
      <c r="B440" s="140"/>
      <c r="C440" s="141"/>
      <c r="D440" s="140"/>
      <c r="E440" s="141"/>
      <c r="F440" s="140"/>
      <c r="G440" s="140"/>
      <c r="H440" s="142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1.25" customHeight="1">
      <c r="A441" s="140"/>
      <c r="B441" s="140"/>
      <c r="C441" s="141"/>
      <c r="D441" s="141"/>
      <c r="E441" s="141"/>
      <c r="F441" s="141"/>
      <c r="G441" s="141"/>
      <c r="H441" s="141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1.25" customHeight="1">
      <c r="A442" s="140"/>
      <c r="B442" s="140"/>
      <c r="C442" s="141"/>
      <c r="D442" s="140"/>
      <c r="E442" s="141"/>
      <c r="F442" s="140"/>
      <c r="G442" s="140"/>
      <c r="H442" s="142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1.25" customHeight="1">
      <c r="A443" s="140"/>
      <c r="B443" s="140"/>
      <c r="C443" s="141"/>
      <c r="D443" s="140"/>
      <c r="E443" s="141"/>
      <c r="F443" s="140"/>
      <c r="G443" s="140"/>
      <c r="H443" s="142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1.25" customHeight="1">
      <c r="A444" s="140"/>
      <c r="B444" s="140"/>
      <c r="C444" s="141"/>
      <c r="D444" s="140"/>
      <c r="E444" s="141"/>
      <c r="F444" s="140"/>
      <c r="G444" s="140"/>
      <c r="H444" s="142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1.25" customHeight="1">
      <c r="A445" s="140"/>
      <c r="B445" s="140"/>
      <c r="C445" s="141"/>
      <c r="D445" s="140"/>
      <c r="E445" s="141"/>
      <c r="F445" s="140"/>
      <c r="G445" s="140"/>
      <c r="H445" s="142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1.25" customHeight="1">
      <c r="A446" s="191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1.25" customHeight="1">
      <c r="A447" s="140"/>
      <c r="B447" s="140"/>
      <c r="C447" s="141"/>
      <c r="D447" s="141"/>
      <c r="E447" s="141"/>
      <c r="F447" s="141"/>
      <c r="G447" s="141"/>
      <c r="H447" s="141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1.25" customHeight="1">
      <c r="A448" s="140"/>
      <c r="B448" s="140"/>
      <c r="C448" s="141"/>
      <c r="D448" s="140"/>
      <c r="E448" s="140"/>
      <c r="F448" s="140"/>
      <c r="G448" s="140"/>
      <c r="H448" s="142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1.25" customHeight="1">
      <c r="A449" s="140"/>
      <c r="B449" s="140"/>
      <c r="C449" s="141"/>
      <c r="D449" s="140"/>
      <c r="E449" s="140"/>
      <c r="F449" s="140"/>
      <c r="G449" s="140"/>
      <c r="H449" s="142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1.25" customHeight="1">
      <c r="A450" s="140"/>
      <c r="B450" s="140"/>
      <c r="C450" s="141"/>
      <c r="D450" s="140"/>
      <c r="E450" s="140"/>
      <c r="F450" s="140"/>
      <c r="G450" s="140"/>
      <c r="H450" s="142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1.25" customHeight="1">
      <c r="A451" s="140"/>
      <c r="B451" s="140"/>
      <c r="C451" s="141"/>
      <c r="D451" s="140"/>
      <c r="E451" s="140"/>
      <c r="F451" s="140"/>
      <c r="G451" s="140"/>
      <c r="H451" s="142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1.25" customHeight="1">
      <c r="A452" s="140"/>
      <c r="B452" s="140"/>
      <c r="C452" s="141"/>
      <c r="D452" s="140"/>
      <c r="E452" s="140"/>
      <c r="F452" s="140"/>
      <c r="G452" s="140"/>
      <c r="H452" s="142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1.25" customHeight="1">
      <c r="A453" s="140"/>
      <c r="B453" s="140"/>
      <c r="C453" s="141"/>
      <c r="D453" s="140"/>
      <c r="E453" s="140"/>
      <c r="F453" s="140" t="s">
        <v>106</v>
      </c>
      <c r="G453" s="140"/>
      <c r="H453" s="142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1.25" customHeight="1">
      <c r="A454" s="140"/>
      <c r="B454" s="140"/>
      <c r="C454" s="141"/>
      <c r="D454" s="140"/>
      <c r="E454" s="140"/>
      <c r="F454" s="140"/>
      <c r="G454" s="140"/>
      <c r="H454" s="142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1.25" customHeight="1">
      <c r="A455" s="140"/>
      <c r="B455" s="140"/>
      <c r="C455" s="141"/>
      <c r="D455" s="140"/>
      <c r="E455" s="140"/>
      <c r="F455" s="140"/>
      <c r="G455" s="140"/>
      <c r="H455" s="142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1.25" customHeight="1">
      <c r="A456" s="140"/>
      <c r="B456" s="140"/>
      <c r="C456" s="141"/>
      <c r="D456" s="140"/>
      <c r="E456" s="140"/>
      <c r="F456" s="140"/>
      <c r="G456" s="140"/>
      <c r="H456" s="142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11.25" customHeight="1">
      <c r="A457" s="140"/>
      <c r="B457" s="140"/>
      <c r="C457" s="141"/>
      <c r="D457" s="140"/>
      <c r="E457" s="140"/>
      <c r="F457" s="140"/>
      <c r="G457" s="140"/>
      <c r="H457" s="142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1.25" customHeight="1">
      <c r="A458" s="140"/>
      <c r="B458" s="140"/>
      <c r="C458" s="141"/>
      <c r="D458" s="140"/>
      <c r="E458" s="140"/>
      <c r="F458" s="140"/>
      <c r="G458" s="140"/>
      <c r="H458" s="142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1.25" customHeight="1">
      <c r="A459" s="140"/>
      <c r="B459" s="140"/>
      <c r="C459" s="141"/>
      <c r="D459" s="140"/>
      <c r="E459" s="140"/>
      <c r="F459" s="140"/>
      <c r="G459" s="140"/>
      <c r="H459" s="142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1.25" customHeight="1">
      <c r="A460" s="140"/>
      <c r="B460" s="140"/>
      <c r="C460" s="141"/>
      <c r="D460" s="140"/>
      <c r="E460" s="140"/>
      <c r="F460" s="140"/>
      <c r="G460" s="140"/>
      <c r="H460" s="142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1.25" customHeight="1">
      <c r="A461" s="140"/>
      <c r="B461" s="140"/>
      <c r="C461" s="141"/>
      <c r="D461" s="140"/>
      <c r="E461" s="140"/>
      <c r="F461" s="140"/>
      <c r="G461" s="140"/>
      <c r="H461" s="142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1.25" customHeight="1">
      <c r="A462" s="140"/>
      <c r="B462" s="140"/>
      <c r="C462" s="141"/>
      <c r="D462" s="140"/>
      <c r="E462" s="140"/>
      <c r="F462" s="140"/>
      <c r="G462" s="140"/>
      <c r="H462" s="142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1.25" customHeight="1">
      <c r="A463" s="140"/>
      <c r="B463" s="140"/>
      <c r="C463" s="141"/>
      <c r="D463" s="140"/>
      <c r="E463" s="140"/>
      <c r="F463" s="140"/>
      <c r="G463" s="140"/>
      <c r="H463" s="142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1.25" customHeight="1">
      <c r="A464" s="140"/>
      <c r="B464" s="140"/>
      <c r="C464" s="141"/>
      <c r="D464" s="140"/>
      <c r="E464" s="140"/>
      <c r="F464" s="140"/>
      <c r="G464" s="140"/>
      <c r="H464" s="142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1.25" customHeight="1">
      <c r="A465" s="140"/>
      <c r="B465" s="140"/>
      <c r="C465" s="141"/>
      <c r="D465" s="140"/>
      <c r="E465" s="140"/>
      <c r="F465" s="140"/>
      <c r="G465" s="140"/>
      <c r="H465" s="142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1.25" customHeight="1">
      <c r="A466" s="140"/>
      <c r="B466" s="140"/>
      <c r="C466" s="141"/>
      <c r="D466" s="140"/>
      <c r="E466" s="140"/>
      <c r="F466" s="140"/>
      <c r="G466" s="140"/>
      <c r="H466" s="142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1.25" customHeight="1">
      <c r="A467" s="140"/>
      <c r="B467" s="140"/>
      <c r="C467" s="141"/>
      <c r="D467" s="140"/>
      <c r="E467" s="140"/>
      <c r="F467" s="140"/>
      <c r="G467" s="140"/>
      <c r="H467" s="142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ht="11.25" customHeight="1">
      <c r="A468" s="140"/>
      <c r="B468" s="140"/>
      <c r="C468" s="141"/>
      <c r="D468" s="140"/>
      <c r="E468" s="140"/>
      <c r="F468" s="140"/>
      <c r="G468" s="140"/>
      <c r="H468" s="142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1.25" customHeight="1">
      <c r="A469" s="140"/>
      <c r="B469" s="140"/>
      <c r="C469" s="141"/>
      <c r="D469" s="140"/>
      <c r="E469" s="140"/>
      <c r="F469" s="140"/>
      <c r="G469" s="140"/>
      <c r="H469" s="142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1.25" customHeight="1">
      <c r="A470" s="140"/>
      <c r="B470" s="140"/>
      <c r="C470" s="141"/>
      <c r="D470" s="140"/>
      <c r="E470" s="140"/>
      <c r="F470" s="140"/>
      <c r="G470" s="140"/>
      <c r="H470" s="142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1.25" customHeight="1">
      <c r="A471" s="140"/>
      <c r="B471" s="140"/>
      <c r="C471" s="141"/>
      <c r="D471" s="140"/>
      <c r="E471" s="140"/>
      <c r="F471" s="140"/>
      <c r="G471" s="140"/>
      <c r="H471" s="142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1.25" customHeight="1">
      <c r="A472" s="140"/>
      <c r="B472" s="140"/>
      <c r="C472" s="141"/>
      <c r="D472" s="140"/>
      <c r="E472" s="140"/>
      <c r="F472" s="140"/>
      <c r="G472" s="140"/>
      <c r="H472" s="142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1.25" customHeight="1">
      <c r="A473" s="140"/>
      <c r="B473" s="140"/>
      <c r="C473" s="141"/>
      <c r="D473" s="140"/>
      <c r="E473" s="140"/>
      <c r="F473" s="140"/>
      <c r="G473" s="140"/>
      <c r="H473" s="142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1.25" customHeight="1">
      <c r="A474" s="140"/>
      <c r="B474" s="140"/>
      <c r="C474" s="141"/>
      <c r="D474" s="140"/>
      <c r="E474" s="140"/>
      <c r="F474" s="140"/>
      <c r="G474" s="140"/>
      <c r="H474" s="142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1.25" customHeight="1">
      <c r="A475" s="140"/>
      <c r="B475" s="140"/>
      <c r="C475" s="141"/>
      <c r="D475" s="140"/>
      <c r="E475" s="140"/>
      <c r="F475" s="140"/>
      <c r="G475" s="140"/>
      <c r="H475" s="142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1.25" customHeight="1">
      <c r="A476" s="140"/>
      <c r="B476" s="140"/>
      <c r="C476" s="141"/>
      <c r="D476" s="140"/>
      <c r="E476" s="140"/>
      <c r="F476" s="140"/>
      <c r="G476" s="140"/>
      <c r="H476" s="142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1.25" customHeight="1">
      <c r="A477" s="140"/>
      <c r="B477" s="140"/>
      <c r="C477" s="141"/>
      <c r="D477" s="140"/>
      <c r="E477" s="140"/>
      <c r="F477" s="140"/>
      <c r="G477" s="140"/>
      <c r="H477" s="142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1.25" customHeight="1">
      <c r="A478" s="140"/>
      <c r="B478" s="140"/>
      <c r="C478" s="141"/>
      <c r="D478" s="140"/>
      <c r="E478" s="140"/>
      <c r="F478" s="140"/>
      <c r="G478" s="140"/>
      <c r="H478" s="142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1.25" customHeight="1">
      <c r="A479" s="140"/>
      <c r="B479" s="140"/>
      <c r="C479" s="141"/>
      <c r="D479" s="140"/>
      <c r="E479" s="140"/>
      <c r="F479" s="140"/>
      <c r="G479" s="140"/>
      <c r="H479" s="142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1.25" customHeight="1">
      <c r="A480" s="140"/>
      <c r="B480" s="140"/>
      <c r="C480" s="141"/>
      <c r="D480" s="140"/>
      <c r="E480" s="140"/>
      <c r="F480" s="140"/>
      <c r="G480" s="140"/>
      <c r="H480" s="142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1.25" customHeight="1">
      <c r="A481" s="140"/>
      <c r="B481" s="140"/>
      <c r="C481" s="141"/>
      <c r="D481" s="140"/>
      <c r="E481" s="140"/>
      <c r="F481" s="140"/>
      <c r="G481" s="140"/>
      <c r="H481" s="142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1.25" customHeight="1">
      <c r="A482" s="140"/>
      <c r="B482" s="140"/>
      <c r="C482" s="141"/>
      <c r="D482" s="140"/>
      <c r="E482" s="140"/>
      <c r="F482" s="140"/>
      <c r="G482" s="140"/>
      <c r="H482" s="142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1.25" customHeight="1">
      <c r="A483" s="140"/>
      <c r="B483" s="140"/>
      <c r="C483" s="141"/>
      <c r="D483" s="140"/>
      <c r="E483" s="140"/>
      <c r="F483" s="140"/>
      <c r="G483" s="140"/>
      <c r="H483" s="142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1.25" customHeight="1">
      <c r="A484" s="140"/>
      <c r="B484" s="140"/>
      <c r="C484" s="141"/>
      <c r="D484" s="140"/>
      <c r="E484" s="140"/>
      <c r="F484" s="140"/>
      <c r="G484" s="140"/>
      <c r="H484" s="142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1.25" customHeight="1">
      <c r="A485" s="140"/>
      <c r="B485" s="140"/>
      <c r="C485" s="141"/>
      <c r="D485" s="140"/>
      <c r="E485" s="140"/>
      <c r="F485" s="140"/>
      <c r="G485" s="140"/>
      <c r="H485" s="142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1.25" customHeight="1">
      <c r="A486" s="140"/>
      <c r="B486" s="140"/>
      <c r="C486" s="141"/>
      <c r="D486" s="140"/>
      <c r="E486" s="140"/>
      <c r="F486" s="140"/>
      <c r="G486" s="140"/>
      <c r="H486" s="142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1.25" customHeight="1">
      <c r="A487" s="140"/>
      <c r="B487" s="140"/>
      <c r="C487" s="141"/>
      <c r="D487" s="140"/>
      <c r="E487" s="140"/>
      <c r="F487" s="140"/>
      <c r="G487" s="140"/>
      <c r="H487" s="142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1.25" customHeight="1">
      <c r="A488" s="140"/>
      <c r="B488" s="140"/>
      <c r="C488" s="141"/>
      <c r="D488" s="140"/>
      <c r="E488" s="140"/>
      <c r="F488" s="140"/>
      <c r="G488" s="140"/>
      <c r="H488" s="142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1.25" customHeight="1">
      <c r="A489" s="140"/>
      <c r="B489" s="140"/>
      <c r="C489" s="141"/>
      <c r="D489" s="140"/>
      <c r="E489" s="140"/>
      <c r="F489" s="140"/>
      <c r="G489" s="140"/>
      <c r="H489" s="142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1.25" customHeight="1">
      <c r="A490" s="140"/>
      <c r="B490" s="140"/>
      <c r="C490" s="141"/>
      <c r="D490" s="140"/>
      <c r="E490" s="140"/>
      <c r="F490" s="140"/>
      <c r="G490" s="140"/>
      <c r="H490" s="142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1.25" customHeight="1">
      <c r="A491" s="140"/>
      <c r="B491" s="140"/>
      <c r="C491" s="141"/>
      <c r="D491" s="140"/>
      <c r="E491" s="140"/>
      <c r="F491" s="140"/>
      <c r="G491" s="140"/>
      <c r="H491" s="142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1.25" customHeight="1">
      <c r="A492" s="140"/>
      <c r="B492" s="140"/>
      <c r="C492" s="141"/>
      <c r="D492" s="140"/>
      <c r="E492" s="140"/>
      <c r="F492" s="140"/>
      <c r="G492" s="140"/>
      <c r="H492" s="142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1.25" customHeight="1">
      <c r="A493" s="140"/>
      <c r="B493" s="140"/>
      <c r="C493" s="141"/>
      <c r="D493" s="140"/>
      <c r="E493" s="140"/>
      <c r="F493" s="140"/>
      <c r="G493" s="140"/>
      <c r="H493" s="142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1.25" customHeight="1">
      <c r="A494" s="140"/>
      <c r="B494" s="140"/>
      <c r="C494" s="141"/>
      <c r="D494" s="140"/>
      <c r="E494" s="140"/>
      <c r="F494" s="140"/>
      <c r="G494" s="140"/>
      <c r="H494" s="142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1.25" customHeight="1">
      <c r="A495" s="140"/>
      <c r="B495" s="140"/>
      <c r="C495" s="141"/>
      <c r="D495" s="140"/>
      <c r="E495" s="140"/>
      <c r="F495" s="140"/>
      <c r="G495" s="140"/>
      <c r="H495" s="142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1.25" customHeight="1">
      <c r="A496" s="140"/>
      <c r="B496" s="140"/>
      <c r="C496" s="141"/>
      <c r="D496" s="140"/>
      <c r="E496" s="140"/>
      <c r="F496" s="140"/>
      <c r="G496" s="140"/>
      <c r="H496" s="142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1.25" customHeight="1">
      <c r="A497" s="140"/>
      <c r="B497" s="140"/>
      <c r="C497" s="141"/>
      <c r="D497" s="140"/>
      <c r="E497" s="140"/>
      <c r="F497" s="140"/>
      <c r="G497" s="140"/>
      <c r="H497" s="142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1.25" customHeight="1">
      <c r="A498" s="140"/>
      <c r="B498" s="140"/>
      <c r="C498" s="141"/>
      <c r="D498" s="140"/>
      <c r="E498" s="140"/>
      <c r="F498" s="140"/>
      <c r="G498" s="140"/>
      <c r="H498" s="142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1.25" customHeight="1">
      <c r="A499" s="140"/>
      <c r="B499" s="140"/>
      <c r="C499" s="141"/>
      <c r="D499" s="140"/>
      <c r="E499" s="140"/>
      <c r="F499" s="140"/>
      <c r="G499" s="140"/>
      <c r="H499" s="142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1.25" customHeight="1">
      <c r="A500" s="140"/>
      <c r="B500" s="140"/>
      <c r="C500" s="141"/>
      <c r="D500" s="140"/>
      <c r="E500" s="140"/>
      <c r="F500" s="140"/>
      <c r="G500" s="140"/>
      <c r="H500" s="142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1.25" customHeight="1">
      <c r="A501" s="140"/>
      <c r="B501" s="140"/>
      <c r="C501" s="141"/>
      <c r="D501" s="140"/>
      <c r="E501" s="140"/>
      <c r="F501" s="140"/>
      <c r="G501" s="140"/>
      <c r="H501" s="142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1.25" customHeight="1">
      <c r="A502" s="140"/>
      <c r="B502" s="140"/>
      <c r="C502" s="141"/>
      <c r="D502" s="140"/>
      <c r="E502" s="140"/>
      <c r="F502" s="140"/>
      <c r="G502" s="140"/>
      <c r="H502" s="142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1.25" customHeight="1">
      <c r="A503" s="140"/>
      <c r="B503" s="140"/>
      <c r="C503" s="141"/>
      <c r="D503" s="140"/>
      <c r="E503" s="140"/>
      <c r="F503" s="140"/>
      <c r="G503" s="140"/>
      <c r="H503" s="142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1.25" customHeight="1">
      <c r="A504" s="140"/>
      <c r="B504" s="140"/>
      <c r="C504" s="141"/>
      <c r="D504" s="140"/>
      <c r="E504" s="140"/>
      <c r="F504" s="140"/>
      <c r="G504" s="140"/>
      <c r="H504" s="142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1.25" customHeight="1">
      <c r="A505" s="140"/>
      <c r="B505" s="140"/>
      <c r="C505" s="141"/>
      <c r="D505" s="140"/>
      <c r="E505" s="140"/>
      <c r="F505" s="140"/>
      <c r="G505" s="140"/>
      <c r="H505" s="142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1.25" customHeight="1">
      <c r="A506" s="140"/>
      <c r="B506" s="140"/>
      <c r="C506" s="141"/>
      <c r="D506" s="140"/>
      <c r="E506" s="140"/>
      <c r="F506" s="140"/>
      <c r="G506" s="140"/>
      <c r="H506" s="142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1.25" customHeight="1">
      <c r="A507" s="140"/>
      <c r="B507" s="140"/>
      <c r="C507" s="141"/>
      <c r="D507" s="140"/>
      <c r="E507" s="140"/>
      <c r="F507" s="140"/>
      <c r="G507" s="140"/>
      <c r="H507" s="142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1.25" customHeight="1">
      <c r="A508" s="140"/>
      <c r="B508" s="140"/>
      <c r="C508" s="141"/>
      <c r="D508" s="140"/>
      <c r="E508" s="140"/>
      <c r="F508" s="140"/>
      <c r="G508" s="140"/>
      <c r="H508" s="142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1.25" customHeight="1">
      <c r="A509" s="140"/>
      <c r="B509" s="140"/>
      <c r="C509" s="141"/>
      <c r="D509" s="140"/>
      <c r="E509" s="140"/>
      <c r="F509" s="140"/>
      <c r="G509" s="140"/>
      <c r="H509" s="142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1.25" customHeight="1">
      <c r="A510" s="140"/>
      <c r="B510" s="140"/>
      <c r="C510" s="141"/>
      <c r="D510" s="140"/>
      <c r="E510" s="140"/>
      <c r="F510" s="140"/>
      <c r="G510" s="140"/>
      <c r="H510" s="142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1.25" customHeight="1">
      <c r="A511" s="140"/>
      <c r="B511" s="140"/>
      <c r="C511" s="141"/>
      <c r="D511" s="140"/>
      <c r="E511" s="140"/>
      <c r="F511" s="140"/>
      <c r="G511" s="140"/>
      <c r="H511" s="142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1.25" customHeight="1">
      <c r="A512" s="140"/>
      <c r="B512" s="140"/>
      <c r="C512" s="141"/>
      <c r="D512" s="140"/>
      <c r="E512" s="140"/>
      <c r="F512" s="140"/>
      <c r="G512" s="140"/>
      <c r="H512" s="142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1.25" customHeight="1">
      <c r="A513" s="140"/>
      <c r="B513" s="140"/>
      <c r="C513" s="141"/>
      <c r="D513" s="140"/>
      <c r="E513" s="140"/>
      <c r="F513" s="140"/>
      <c r="G513" s="140"/>
      <c r="H513" s="142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1.25" customHeight="1">
      <c r="A514" s="140"/>
      <c r="B514" s="140"/>
      <c r="C514" s="141"/>
      <c r="D514" s="140"/>
      <c r="E514" s="140"/>
      <c r="F514" s="140"/>
      <c r="G514" s="140"/>
      <c r="H514" s="142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1.25" customHeight="1">
      <c r="A515" s="140"/>
      <c r="B515" s="140"/>
      <c r="C515" s="141"/>
      <c r="D515" s="140"/>
      <c r="E515" s="140"/>
      <c r="F515" s="140"/>
      <c r="G515" s="140"/>
      <c r="H515" s="142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1.25" customHeight="1">
      <c r="A516" s="140"/>
      <c r="B516" s="140"/>
      <c r="C516" s="141"/>
      <c r="D516" s="140"/>
      <c r="E516" s="140"/>
      <c r="F516" s="140"/>
      <c r="G516" s="140"/>
      <c r="H516" s="142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1.25" customHeight="1">
      <c r="A517" s="140"/>
      <c r="B517" s="140"/>
      <c r="C517" s="141"/>
      <c r="D517" s="140"/>
      <c r="E517" s="140"/>
      <c r="F517" s="140"/>
      <c r="G517" s="140"/>
      <c r="H517" s="142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1.25" customHeight="1">
      <c r="A518" s="140"/>
      <c r="B518" s="140"/>
      <c r="C518" s="141"/>
      <c r="D518" s="140"/>
      <c r="E518" s="140"/>
      <c r="F518" s="140"/>
      <c r="G518" s="140"/>
      <c r="H518" s="142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1.25" customHeight="1">
      <c r="A519" s="140"/>
      <c r="B519" s="140"/>
      <c r="C519" s="141"/>
      <c r="D519" s="140"/>
      <c r="E519" s="140"/>
      <c r="F519" s="140"/>
      <c r="G519" s="140"/>
      <c r="H519" s="142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1.25" customHeight="1">
      <c r="A520" s="140"/>
      <c r="B520" s="140"/>
      <c r="C520" s="141"/>
      <c r="D520" s="140"/>
      <c r="E520" s="140"/>
      <c r="F520" s="140"/>
      <c r="G520" s="140"/>
      <c r="H520" s="142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1.25" customHeight="1">
      <c r="A521" s="140"/>
      <c r="B521" s="140"/>
      <c r="C521" s="141"/>
      <c r="D521" s="140"/>
      <c r="E521" s="140"/>
      <c r="F521" s="140"/>
      <c r="G521" s="140"/>
      <c r="H521" s="142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1.25" customHeight="1">
      <c r="A522" s="140"/>
      <c r="B522" s="140"/>
      <c r="C522" s="141"/>
      <c r="D522" s="140"/>
      <c r="E522" s="140"/>
      <c r="F522" s="140"/>
      <c r="G522" s="140"/>
      <c r="H522" s="142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1.25" customHeight="1">
      <c r="A523" s="140"/>
      <c r="B523" s="140"/>
      <c r="C523" s="141"/>
      <c r="D523" s="140"/>
      <c r="E523" s="140"/>
      <c r="F523" s="140"/>
      <c r="G523" s="140"/>
      <c r="H523" s="142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1.25" customHeight="1">
      <c r="A524" s="140"/>
      <c r="B524" s="140"/>
      <c r="C524" s="141"/>
      <c r="D524" s="140"/>
      <c r="E524" s="140"/>
      <c r="F524" s="140"/>
      <c r="G524" s="140"/>
      <c r="H524" s="142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1.25" customHeight="1">
      <c r="A525" s="140"/>
      <c r="B525" s="140"/>
      <c r="C525" s="141"/>
      <c r="D525" s="140"/>
      <c r="E525" s="140"/>
      <c r="F525" s="140"/>
      <c r="G525" s="140"/>
      <c r="H525" s="142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1.25" customHeight="1">
      <c r="A526" s="140"/>
      <c r="B526" s="140"/>
      <c r="C526" s="141"/>
      <c r="D526" s="140"/>
      <c r="E526" s="140"/>
      <c r="F526" s="140"/>
      <c r="G526" s="140"/>
      <c r="H526" s="142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1.25" customHeight="1">
      <c r="A527" s="140"/>
      <c r="B527" s="140"/>
      <c r="C527" s="141"/>
      <c r="D527" s="140"/>
      <c r="E527" s="140"/>
      <c r="F527" s="140"/>
      <c r="G527" s="140"/>
      <c r="H527" s="142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1.25" customHeight="1">
      <c r="A528" s="140"/>
      <c r="B528" s="140"/>
      <c r="C528" s="141"/>
      <c r="D528" s="140"/>
      <c r="E528" s="140"/>
      <c r="F528" s="140"/>
      <c r="G528" s="140"/>
      <c r="H528" s="142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1.25" customHeight="1">
      <c r="A529" s="140"/>
      <c r="B529" s="140"/>
      <c r="C529" s="141"/>
      <c r="D529" s="140"/>
      <c r="E529" s="140"/>
      <c r="F529" s="140"/>
      <c r="G529" s="140"/>
      <c r="H529" s="142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1.25" customHeight="1">
      <c r="A530" s="140"/>
      <c r="B530" s="140"/>
      <c r="C530" s="141"/>
      <c r="D530" s="140"/>
      <c r="E530" s="140"/>
      <c r="F530" s="140"/>
      <c r="G530" s="140"/>
      <c r="H530" s="142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1.25" customHeight="1">
      <c r="A531" s="140"/>
      <c r="B531" s="140"/>
      <c r="C531" s="141"/>
      <c r="D531" s="140"/>
      <c r="E531" s="140"/>
      <c r="F531" s="140"/>
      <c r="G531" s="140"/>
      <c r="H531" s="142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1.25" customHeight="1">
      <c r="A532" s="140"/>
      <c r="B532" s="140"/>
      <c r="C532" s="141"/>
      <c r="D532" s="140"/>
      <c r="E532" s="140"/>
      <c r="F532" s="140"/>
      <c r="G532" s="140"/>
      <c r="H532" s="142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1.25" customHeight="1">
      <c r="A533" s="140"/>
      <c r="B533" s="140"/>
      <c r="C533" s="141"/>
      <c r="D533" s="140"/>
      <c r="E533" s="140"/>
      <c r="F533" s="140"/>
      <c r="G533" s="140"/>
      <c r="H533" s="142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1.25" customHeight="1">
      <c r="A534" s="140"/>
      <c r="B534" s="140"/>
      <c r="C534" s="141"/>
      <c r="D534" s="140"/>
      <c r="E534" s="140"/>
      <c r="F534" s="140"/>
      <c r="G534" s="140"/>
      <c r="H534" s="142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1.25" customHeight="1">
      <c r="A535" s="140"/>
      <c r="B535" s="140"/>
      <c r="C535" s="141"/>
      <c r="D535" s="140"/>
      <c r="E535" s="140"/>
      <c r="F535" s="140"/>
      <c r="G535" s="140"/>
      <c r="H535" s="142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1.25" customHeight="1">
      <c r="A536" s="140"/>
      <c r="B536" s="140"/>
      <c r="C536" s="141"/>
      <c r="D536" s="140"/>
      <c r="E536" s="140"/>
      <c r="F536" s="140"/>
      <c r="G536" s="140"/>
      <c r="H536" s="142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1.25" customHeight="1">
      <c r="A537" s="140"/>
      <c r="B537" s="140"/>
      <c r="C537" s="141"/>
      <c r="D537" s="140"/>
      <c r="E537" s="140"/>
      <c r="F537" s="140"/>
      <c r="G537" s="140"/>
      <c r="H537" s="142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1.25" customHeight="1">
      <c r="A538" s="140"/>
      <c r="B538" s="140"/>
      <c r="C538" s="141"/>
      <c r="D538" s="140"/>
      <c r="E538" s="140"/>
      <c r="F538" s="140"/>
      <c r="G538" s="140"/>
      <c r="H538" s="142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1.25" customHeight="1">
      <c r="A539" s="140"/>
      <c r="B539" s="140"/>
      <c r="C539" s="141"/>
      <c r="D539" s="140"/>
      <c r="E539" s="140"/>
      <c r="F539" s="140"/>
      <c r="G539" s="140"/>
      <c r="H539" s="142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1.25" customHeight="1">
      <c r="A540" s="140"/>
      <c r="B540" s="140"/>
      <c r="C540" s="141"/>
      <c r="D540" s="140"/>
      <c r="E540" s="140"/>
      <c r="F540" s="140"/>
      <c r="G540" s="140"/>
      <c r="H540" s="142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1.25" customHeight="1">
      <c r="A541" s="140"/>
      <c r="B541" s="140"/>
      <c r="C541" s="141"/>
      <c r="D541" s="140"/>
      <c r="E541" s="140"/>
      <c r="F541" s="140"/>
      <c r="G541" s="140"/>
      <c r="H541" s="142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1.25" customHeight="1">
      <c r="A542" s="140"/>
      <c r="B542" s="140"/>
      <c r="C542" s="141"/>
      <c r="D542" s="140"/>
      <c r="E542" s="140"/>
      <c r="F542" s="140"/>
      <c r="G542" s="140"/>
      <c r="H542" s="142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1.25" customHeight="1">
      <c r="A543" s="140"/>
      <c r="B543" s="140"/>
      <c r="C543" s="141"/>
      <c r="D543" s="140"/>
      <c r="E543" s="140"/>
      <c r="F543" s="140"/>
      <c r="G543" s="140"/>
      <c r="H543" s="142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1.25" customHeight="1">
      <c r="A544" s="140"/>
      <c r="B544" s="140"/>
      <c r="C544" s="141"/>
      <c r="D544" s="140"/>
      <c r="E544" s="140"/>
      <c r="F544" s="140"/>
      <c r="G544" s="140"/>
      <c r="H544" s="142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1.25" customHeight="1">
      <c r="A545" s="140"/>
      <c r="B545" s="140"/>
      <c r="C545" s="141"/>
      <c r="D545" s="140"/>
      <c r="E545" s="140"/>
      <c r="F545" s="140"/>
      <c r="G545" s="140"/>
      <c r="H545" s="142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1.25" customHeight="1">
      <c r="A546" s="140"/>
      <c r="B546" s="140"/>
      <c r="C546" s="141"/>
      <c r="D546" s="140"/>
      <c r="E546" s="140"/>
      <c r="F546" s="140"/>
      <c r="G546" s="140"/>
      <c r="H546" s="142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1.25" customHeight="1">
      <c r="A547" s="140"/>
      <c r="B547" s="140"/>
      <c r="C547" s="141"/>
      <c r="D547" s="140"/>
      <c r="E547" s="140"/>
      <c r="F547" s="140"/>
      <c r="G547" s="140"/>
      <c r="H547" s="142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1.25" customHeight="1">
      <c r="A548" s="140"/>
      <c r="B548" s="140"/>
      <c r="C548" s="141"/>
      <c r="D548" s="140"/>
      <c r="E548" s="140"/>
      <c r="F548" s="140"/>
      <c r="G548" s="140"/>
      <c r="H548" s="142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1.25" customHeight="1">
      <c r="A549" s="140"/>
      <c r="B549" s="140"/>
      <c r="C549" s="141"/>
      <c r="D549" s="140"/>
      <c r="E549" s="140"/>
      <c r="F549" s="140"/>
      <c r="G549" s="140"/>
      <c r="H549" s="142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1.25" customHeight="1">
      <c r="A550" s="140"/>
      <c r="B550" s="140"/>
      <c r="C550" s="141"/>
      <c r="D550" s="140"/>
      <c r="E550" s="140"/>
      <c r="F550" s="140"/>
      <c r="G550" s="140"/>
      <c r="H550" s="142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1.25" customHeight="1">
      <c r="A551" s="140"/>
      <c r="B551" s="140"/>
      <c r="C551" s="141"/>
      <c r="D551" s="140"/>
      <c r="E551" s="140"/>
      <c r="F551" s="140"/>
      <c r="G551" s="140"/>
      <c r="H551" s="142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1.25" customHeight="1">
      <c r="A552" s="140"/>
      <c r="B552" s="140"/>
      <c r="C552" s="141"/>
      <c r="D552" s="140"/>
      <c r="E552" s="140"/>
      <c r="F552" s="140"/>
      <c r="G552" s="140"/>
      <c r="H552" s="142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1.25" customHeight="1">
      <c r="A553" s="140"/>
      <c r="B553" s="140"/>
      <c r="C553" s="141"/>
      <c r="D553" s="140"/>
      <c r="E553" s="140"/>
      <c r="F553" s="140"/>
      <c r="G553" s="140"/>
      <c r="H553" s="142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1.25" customHeight="1">
      <c r="A554" s="140"/>
      <c r="B554" s="140"/>
      <c r="C554" s="141"/>
      <c r="D554" s="140"/>
      <c r="E554" s="140"/>
      <c r="F554" s="140"/>
      <c r="G554" s="140"/>
      <c r="H554" s="142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1.25" customHeight="1">
      <c r="A555" s="140"/>
      <c r="B555" s="140"/>
      <c r="C555" s="141"/>
      <c r="D555" s="140"/>
      <c r="E555" s="140"/>
      <c r="F555" s="140"/>
      <c r="G555" s="140"/>
      <c r="H555" s="142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1.25" customHeight="1">
      <c r="A556" s="140"/>
      <c r="B556" s="140"/>
      <c r="C556" s="141"/>
      <c r="D556" s="140"/>
      <c r="E556" s="140"/>
      <c r="F556" s="140"/>
      <c r="G556" s="140"/>
      <c r="H556" s="142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1.25" customHeight="1">
      <c r="A557" s="140"/>
      <c r="B557" s="140"/>
      <c r="C557" s="141"/>
      <c r="D557" s="140"/>
      <c r="E557" s="140"/>
      <c r="F557" s="140"/>
      <c r="G557" s="140"/>
      <c r="H557" s="142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1.25" customHeight="1">
      <c r="A558" s="140"/>
      <c r="B558" s="140"/>
      <c r="C558" s="141"/>
      <c r="D558" s="140"/>
      <c r="E558" s="140"/>
      <c r="F558" s="140"/>
      <c r="G558" s="140"/>
      <c r="H558" s="142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1.25" customHeight="1">
      <c r="A559" s="140"/>
      <c r="B559" s="140"/>
      <c r="C559" s="141"/>
      <c r="D559" s="140"/>
      <c r="E559" s="140"/>
      <c r="F559" s="140"/>
      <c r="G559" s="140"/>
      <c r="H559" s="142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1.25" customHeight="1">
      <c r="A560" s="140"/>
      <c r="B560" s="140"/>
      <c r="C560" s="141"/>
      <c r="D560" s="140"/>
      <c r="E560" s="140"/>
      <c r="F560" s="140"/>
      <c r="G560" s="140"/>
      <c r="H560" s="142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1.25" customHeight="1">
      <c r="A561" s="140"/>
      <c r="B561" s="140"/>
      <c r="C561" s="141"/>
      <c r="D561" s="140"/>
      <c r="E561" s="140"/>
      <c r="F561" s="140"/>
      <c r="G561" s="140"/>
      <c r="H561" s="142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1.25" customHeight="1">
      <c r="A562" s="140"/>
      <c r="B562" s="140"/>
      <c r="C562" s="141"/>
      <c r="D562" s="140"/>
      <c r="E562" s="140"/>
      <c r="F562" s="140"/>
      <c r="G562" s="140"/>
      <c r="H562" s="142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1.25" customHeight="1">
      <c r="A563" s="140"/>
      <c r="B563" s="140"/>
      <c r="C563" s="141"/>
      <c r="D563" s="140"/>
      <c r="E563" s="140"/>
      <c r="F563" s="140"/>
      <c r="G563" s="140"/>
      <c r="H563" s="142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1.25" customHeight="1">
      <c r="A564" s="140"/>
      <c r="B564" s="140"/>
      <c r="C564" s="141"/>
      <c r="D564" s="140"/>
      <c r="E564" s="140"/>
      <c r="F564" s="140"/>
      <c r="G564" s="140"/>
      <c r="H564" s="142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1.25" customHeight="1">
      <c r="A565" s="140"/>
      <c r="B565" s="140"/>
      <c r="C565" s="141"/>
      <c r="D565" s="140"/>
      <c r="E565" s="140"/>
      <c r="F565" s="140"/>
      <c r="G565" s="140"/>
      <c r="H565" s="142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1.25" customHeight="1">
      <c r="A566" s="140"/>
      <c r="B566" s="140"/>
      <c r="C566" s="141"/>
      <c r="D566" s="140"/>
      <c r="E566" s="140"/>
      <c r="F566" s="140"/>
      <c r="G566" s="140"/>
      <c r="H566" s="142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1.25" customHeight="1">
      <c r="A567" s="140"/>
      <c r="B567" s="140"/>
      <c r="C567" s="141"/>
      <c r="D567" s="140"/>
      <c r="E567" s="140"/>
      <c r="F567" s="140"/>
      <c r="G567" s="140"/>
      <c r="H567" s="142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1.25" customHeight="1">
      <c r="A568" s="140"/>
      <c r="B568" s="140"/>
      <c r="C568" s="141"/>
      <c r="D568" s="140"/>
      <c r="E568" s="140"/>
      <c r="F568" s="140"/>
      <c r="G568" s="140"/>
      <c r="H568" s="142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1.25" customHeight="1">
      <c r="A569" s="140"/>
      <c r="B569" s="140"/>
      <c r="C569" s="141"/>
      <c r="D569" s="140"/>
      <c r="E569" s="140"/>
      <c r="F569" s="140"/>
      <c r="G569" s="140"/>
      <c r="H569" s="142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1.25" customHeight="1">
      <c r="A570" s="140"/>
      <c r="B570" s="140"/>
      <c r="C570" s="141"/>
      <c r="D570" s="140"/>
      <c r="E570" s="140"/>
      <c r="F570" s="140"/>
      <c r="G570" s="140"/>
      <c r="H570" s="142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1.25" customHeight="1">
      <c r="A571" s="140"/>
      <c r="B571" s="140"/>
      <c r="C571" s="141"/>
      <c r="D571" s="140"/>
      <c r="E571" s="140"/>
      <c r="F571" s="140"/>
      <c r="G571" s="140"/>
      <c r="H571" s="142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1.25" customHeight="1">
      <c r="A572" s="140"/>
      <c r="B572" s="140"/>
      <c r="C572" s="141"/>
      <c r="D572" s="140"/>
      <c r="E572" s="140"/>
      <c r="F572" s="140"/>
      <c r="G572" s="140"/>
      <c r="H572" s="142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1.25" customHeight="1">
      <c r="A573" s="140"/>
      <c r="B573" s="140"/>
      <c r="C573" s="141"/>
      <c r="D573" s="140"/>
      <c r="E573" s="140"/>
      <c r="F573" s="140"/>
      <c r="G573" s="140"/>
      <c r="H573" s="142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1.25" customHeight="1">
      <c r="A574" s="140"/>
      <c r="B574" s="140"/>
      <c r="C574" s="141"/>
      <c r="D574" s="140"/>
      <c r="E574" s="140"/>
      <c r="F574" s="140"/>
      <c r="G574" s="140"/>
      <c r="H574" s="142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1.25" customHeight="1">
      <c r="A575" s="140"/>
      <c r="B575" s="140"/>
      <c r="C575" s="141"/>
      <c r="D575" s="140"/>
      <c r="E575" s="140"/>
      <c r="F575" s="140"/>
      <c r="G575" s="140"/>
      <c r="H575" s="142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1.25" customHeight="1">
      <c r="A576" s="140"/>
      <c r="B576" s="140"/>
      <c r="C576" s="141"/>
      <c r="D576" s="140"/>
      <c r="E576" s="140"/>
      <c r="F576" s="140"/>
      <c r="G576" s="140"/>
      <c r="H576" s="142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1.25" customHeight="1">
      <c r="A577" s="140"/>
      <c r="B577" s="140"/>
      <c r="C577" s="141"/>
      <c r="D577" s="140"/>
      <c r="E577" s="140"/>
      <c r="F577" s="140"/>
      <c r="G577" s="140"/>
      <c r="H577" s="142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1.25" customHeight="1">
      <c r="A578" s="140"/>
      <c r="B578" s="140"/>
      <c r="C578" s="141"/>
      <c r="D578" s="140"/>
      <c r="E578" s="140"/>
      <c r="F578" s="140"/>
      <c r="G578" s="140"/>
      <c r="H578" s="142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1.25" customHeight="1">
      <c r="A579" s="140"/>
      <c r="B579" s="140"/>
      <c r="C579" s="141"/>
      <c r="D579" s="140"/>
      <c r="E579" s="140"/>
      <c r="F579" s="140"/>
      <c r="G579" s="140"/>
      <c r="H579" s="142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1.25" customHeight="1">
      <c r="A580" s="140"/>
      <c r="B580" s="140"/>
      <c r="C580" s="141"/>
      <c r="D580" s="140"/>
      <c r="E580" s="140"/>
      <c r="F580" s="140"/>
      <c r="G580" s="140"/>
      <c r="H580" s="142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1.25" customHeight="1">
      <c r="A581" s="140"/>
      <c r="B581" s="140"/>
      <c r="C581" s="141"/>
      <c r="D581" s="140"/>
      <c r="E581" s="140"/>
      <c r="F581" s="140"/>
      <c r="G581" s="140"/>
      <c r="H581" s="142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1.25" customHeight="1">
      <c r="A582" s="140"/>
      <c r="B582" s="140"/>
      <c r="C582" s="141"/>
      <c r="D582" s="140"/>
      <c r="E582" s="140"/>
      <c r="F582" s="140"/>
      <c r="G582" s="140"/>
      <c r="H582" s="142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1.25" customHeight="1">
      <c r="A583" s="140"/>
      <c r="B583" s="140"/>
      <c r="C583" s="141"/>
      <c r="D583" s="140"/>
      <c r="E583" s="140"/>
      <c r="F583" s="140"/>
      <c r="G583" s="140"/>
      <c r="H583" s="142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1.25" customHeight="1">
      <c r="A584" s="140"/>
      <c r="B584" s="140"/>
      <c r="C584" s="141"/>
      <c r="D584" s="140"/>
      <c r="E584" s="140"/>
      <c r="F584" s="140"/>
      <c r="G584" s="140"/>
      <c r="H584" s="142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1.25" customHeight="1">
      <c r="A585" s="140"/>
      <c r="B585" s="140"/>
      <c r="C585" s="141"/>
      <c r="D585" s="140"/>
      <c r="E585" s="140"/>
      <c r="F585" s="140"/>
      <c r="G585" s="140"/>
      <c r="H585" s="142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1.25" customHeight="1">
      <c r="A586" s="140"/>
      <c r="B586" s="140"/>
      <c r="C586" s="141"/>
      <c r="D586" s="140"/>
      <c r="E586" s="140"/>
      <c r="F586" s="140"/>
      <c r="G586" s="140"/>
      <c r="H586" s="142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1.25" customHeight="1">
      <c r="A587" s="140"/>
      <c r="B587" s="140"/>
      <c r="C587" s="141"/>
      <c r="D587" s="140"/>
      <c r="E587" s="140"/>
      <c r="F587" s="140"/>
      <c r="G587" s="140"/>
      <c r="H587" s="142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1.25" customHeight="1">
      <c r="A588" s="140"/>
      <c r="B588" s="140"/>
      <c r="C588" s="141"/>
      <c r="D588" s="140"/>
      <c r="E588" s="140"/>
      <c r="F588" s="140"/>
      <c r="G588" s="140"/>
      <c r="H588" s="142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1.25" customHeight="1">
      <c r="A589" s="140"/>
      <c r="B589" s="140"/>
      <c r="C589" s="141"/>
      <c r="D589" s="140"/>
      <c r="E589" s="140"/>
      <c r="F589" s="140"/>
      <c r="G589" s="140"/>
      <c r="H589" s="142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1.25" customHeight="1">
      <c r="A590" s="140"/>
      <c r="B590" s="140"/>
      <c r="C590" s="141"/>
      <c r="D590" s="140"/>
      <c r="E590" s="140"/>
      <c r="F590" s="140"/>
      <c r="G590" s="140"/>
      <c r="H590" s="142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1.25" customHeight="1">
      <c r="A591" s="140"/>
      <c r="B591" s="140"/>
      <c r="C591" s="141"/>
      <c r="D591" s="140"/>
      <c r="E591" s="140"/>
      <c r="F591" s="140"/>
      <c r="G591" s="140"/>
      <c r="H591" s="142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1.25" customHeight="1">
      <c r="A592" s="140"/>
      <c r="B592" s="140"/>
      <c r="C592" s="141"/>
      <c r="D592" s="140"/>
      <c r="E592" s="140"/>
      <c r="F592" s="140"/>
      <c r="G592" s="140"/>
      <c r="H592" s="142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1.25" customHeight="1">
      <c r="A593" s="140"/>
      <c r="B593" s="140"/>
      <c r="C593" s="141"/>
      <c r="D593" s="140"/>
      <c r="E593" s="140"/>
      <c r="F593" s="140"/>
      <c r="G593" s="140"/>
      <c r="H593" s="142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1.25" customHeight="1">
      <c r="A594" s="140"/>
      <c r="B594" s="140"/>
      <c r="C594" s="141"/>
      <c r="D594" s="140"/>
      <c r="E594" s="140"/>
      <c r="F594" s="140"/>
      <c r="G594" s="140"/>
      <c r="H594" s="142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1.25" customHeight="1">
      <c r="A595" s="140"/>
      <c r="B595" s="140"/>
      <c r="C595" s="141"/>
      <c r="D595" s="140"/>
      <c r="E595" s="140"/>
      <c r="F595" s="140"/>
      <c r="G595" s="140"/>
      <c r="H595" s="142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1.25" customHeight="1">
      <c r="A596" s="140"/>
      <c r="B596" s="140"/>
      <c r="C596" s="141"/>
      <c r="D596" s="140"/>
      <c r="E596" s="140"/>
      <c r="F596" s="140"/>
      <c r="G596" s="140"/>
      <c r="H596" s="142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1.25" customHeight="1">
      <c r="A597" s="140"/>
      <c r="B597" s="140"/>
      <c r="C597" s="141"/>
      <c r="D597" s="140"/>
      <c r="E597" s="140"/>
      <c r="F597" s="140"/>
      <c r="G597" s="140"/>
      <c r="H597" s="142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1.25" customHeight="1">
      <c r="A598" s="140"/>
      <c r="B598" s="140"/>
      <c r="C598" s="141"/>
      <c r="D598" s="140"/>
      <c r="E598" s="140"/>
      <c r="F598" s="140"/>
      <c r="G598" s="140"/>
      <c r="H598" s="142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1.25" customHeight="1">
      <c r="A599" s="140"/>
      <c r="B599" s="140"/>
      <c r="C599" s="141"/>
      <c r="D599" s="140"/>
      <c r="E599" s="140"/>
      <c r="F599" s="140"/>
      <c r="G599" s="140"/>
      <c r="H599" s="142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1.25" customHeight="1">
      <c r="A600" s="140"/>
      <c r="B600" s="140"/>
      <c r="C600" s="141"/>
      <c r="D600" s="140"/>
      <c r="E600" s="140"/>
      <c r="F600" s="140"/>
      <c r="G600" s="140"/>
      <c r="H600" s="142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1.25" customHeight="1">
      <c r="A601" s="140"/>
      <c r="B601" s="140"/>
      <c r="C601" s="141"/>
      <c r="D601" s="140"/>
      <c r="E601" s="140"/>
      <c r="F601" s="140"/>
      <c r="G601" s="140"/>
      <c r="H601" s="142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1.25" customHeight="1">
      <c r="A602" s="140"/>
      <c r="B602" s="140"/>
      <c r="C602" s="141"/>
      <c r="D602" s="140"/>
      <c r="E602" s="140"/>
      <c r="F602" s="140"/>
      <c r="G602" s="140"/>
      <c r="H602" s="142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1.25" customHeight="1">
      <c r="A603" s="140"/>
      <c r="B603" s="140"/>
      <c r="C603" s="141"/>
      <c r="D603" s="140"/>
      <c r="E603" s="140"/>
      <c r="F603" s="140"/>
      <c r="G603" s="140"/>
      <c r="H603" s="142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1.25" customHeight="1">
      <c r="A604" s="140"/>
      <c r="B604" s="140"/>
      <c r="C604" s="141"/>
      <c r="D604" s="140"/>
      <c r="E604" s="140"/>
      <c r="F604" s="140"/>
      <c r="G604" s="140"/>
      <c r="H604" s="142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1.25" customHeight="1">
      <c r="A605" s="140"/>
      <c r="B605" s="140"/>
      <c r="C605" s="141"/>
      <c r="D605" s="140"/>
      <c r="E605" s="140"/>
      <c r="F605" s="140"/>
      <c r="G605" s="140"/>
      <c r="H605" s="142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1.25" customHeight="1">
      <c r="A606" s="140"/>
      <c r="B606" s="140"/>
      <c r="C606" s="141"/>
      <c r="D606" s="140"/>
      <c r="E606" s="140"/>
      <c r="F606" s="140"/>
      <c r="G606" s="140"/>
      <c r="H606" s="142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1.25" customHeight="1">
      <c r="A607" s="140"/>
      <c r="B607" s="140"/>
      <c r="C607" s="141"/>
      <c r="D607" s="140"/>
      <c r="E607" s="140"/>
      <c r="F607" s="140"/>
      <c r="G607" s="140"/>
      <c r="H607" s="142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1.25" customHeight="1">
      <c r="A608" s="140"/>
      <c r="B608" s="140"/>
      <c r="C608" s="141"/>
      <c r="D608" s="140"/>
      <c r="E608" s="140"/>
      <c r="F608" s="140"/>
      <c r="G608" s="140"/>
      <c r="H608" s="142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1.25" customHeight="1">
      <c r="A609" s="140"/>
      <c r="B609" s="140"/>
      <c r="C609" s="141"/>
      <c r="D609" s="140"/>
      <c r="E609" s="140"/>
      <c r="F609" s="140"/>
      <c r="G609" s="140"/>
      <c r="H609" s="142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1.25" customHeight="1">
      <c r="A610" s="140"/>
      <c r="B610" s="140"/>
      <c r="C610" s="141"/>
      <c r="D610" s="140"/>
      <c r="E610" s="140"/>
      <c r="F610" s="140"/>
      <c r="G610" s="140"/>
      <c r="H610" s="142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1.25" customHeight="1">
      <c r="A611" s="140"/>
      <c r="B611" s="140"/>
      <c r="C611" s="141"/>
      <c r="D611" s="140"/>
      <c r="E611" s="140"/>
      <c r="F611" s="140"/>
      <c r="G611" s="140"/>
      <c r="H611" s="142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1.25" customHeight="1">
      <c r="A612" s="140"/>
      <c r="B612" s="140"/>
      <c r="C612" s="141"/>
      <c r="D612" s="140"/>
      <c r="E612" s="140"/>
      <c r="F612" s="140"/>
      <c r="G612" s="140"/>
      <c r="H612" s="142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1.25" customHeight="1">
      <c r="A613" s="140"/>
      <c r="B613" s="140"/>
      <c r="C613" s="141"/>
      <c r="D613" s="140"/>
      <c r="E613" s="140"/>
      <c r="F613" s="140"/>
      <c r="G613" s="140"/>
      <c r="H613" s="142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1.25" customHeight="1">
      <c r="A614" s="140"/>
      <c r="B614" s="140"/>
      <c r="C614" s="141"/>
      <c r="D614" s="140"/>
      <c r="E614" s="140"/>
      <c r="F614" s="140"/>
      <c r="G614" s="140"/>
      <c r="H614" s="142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1.25" customHeight="1">
      <c r="A615" s="140"/>
      <c r="B615" s="140"/>
      <c r="C615" s="141"/>
      <c r="D615" s="140"/>
      <c r="E615" s="140"/>
      <c r="F615" s="140"/>
      <c r="G615" s="140"/>
      <c r="H615" s="142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1.25" customHeight="1">
      <c r="A616" s="140"/>
      <c r="B616" s="140"/>
      <c r="C616" s="141"/>
      <c r="D616" s="140"/>
      <c r="E616" s="140"/>
      <c r="F616" s="140"/>
      <c r="G616" s="140"/>
      <c r="H616" s="142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1.25" customHeight="1">
      <c r="A617" s="140"/>
      <c r="B617" s="140"/>
      <c r="C617" s="141"/>
      <c r="D617" s="140"/>
      <c r="E617" s="140"/>
      <c r="F617" s="140"/>
      <c r="G617" s="140"/>
      <c r="H617" s="142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1.25" customHeight="1">
      <c r="A618" s="140"/>
      <c r="B618" s="140"/>
      <c r="C618" s="141"/>
      <c r="D618" s="140"/>
      <c r="E618" s="140"/>
      <c r="F618" s="140"/>
      <c r="G618" s="140"/>
      <c r="H618" s="142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1.25" customHeight="1">
      <c r="A619" s="140"/>
      <c r="B619" s="140"/>
      <c r="C619" s="141"/>
      <c r="D619" s="140"/>
      <c r="E619" s="140"/>
      <c r="F619" s="140"/>
      <c r="G619" s="140"/>
      <c r="H619" s="142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1.25" customHeight="1">
      <c r="A620" s="140"/>
      <c r="B620" s="140"/>
      <c r="C620" s="141"/>
      <c r="D620" s="140"/>
      <c r="E620" s="140"/>
      <c r="F620" s="140"/>
      <c r="G620" s="140"/>
      <c r="H620" s="142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1.25" customHeight="1">
      <c r="A621" s="140"/>
      <c r="B621" s="140"/>
      <c r="C621" s="141"/>
      <c r="D621" s="140"/>
      <c r="E621" s="140"/>
      <c r="F621" s="140"/>
      <c r="G621" s="140"/>
      <c r="H621" s="142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1.25" customHeight="1">
      <c r="A622" s="140"/>
      <c r="B622" s="140"/>
      <c r="C622" s="141"/>
      <c r="D622" s="140"/>
      <c r="E622" s="140"/>
      <c r="F622" s="140"/>
      <c r="G622" s="140"/>
      <c r="H622" s="142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1.25" customHeight="1">
      <c r="A623" s="140"/>
      <c r="B623" s="140"/>
      <c r="C623" s="141"/>
      <c r="D623" s="140"/>
      <c r="E623" s="140"/>
      <c r="F623" s="140"/>
      <c r="G623" s="140"/>
      <c r="H623" s="142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1.25" customHeight="1">
      <c r="A624" s="140"/>
      <c r="B624" s="140"/>
      <c r="C624" s="141"/>
      <c r="D624" s="140"/>
      <c r="E624" s="140"/>
      <c r="F624" s="140"/>
      <c r="G624" s="140"/>
      <c r="H624" s="142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1.25" customHeight="1">
      <c r="A625" s="140"/>
      <c r="B625" s="140"/>
      <c r="C625" s="141"/>
      <c r="D625" s="140"/>
      <c r="E625" s="140"/>
      <c r="F625" s="140"/>
      <c r="G625" s="140"/>
      <c r="H625" s="142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1.25" customHeight="1">
      <c r="A626" s="140"/>
      <c r="B626" s="140"/>
      <c r="C626" s="141"/>
      <c r="D626" s="140"/>
      <c r="E626" s="140"/>
      <c r="F626" s="140"/>
      <c r="G626" s="140"/>
      <c r="H626" s="142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1.25" customHeight="1">
      <c r="A627" s="140"/>
      <c r="B627" s="140"/>
      <c r="C627" s="141"/>
      <c r="D627" s="140"/>
      <c r="E627" s="140"/>
      <c r="F627" s="140"/>
      <c r="G627" s="140"/>
      <c r="H627" s="142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1.25" customHeight="1">
      <c r="A628" s="140"/>
      <c r="B628" s="140"/>
      <c r="C628" s="141"/>
      <c r="D628" s="140"/>
      <c r="E628" s="140"/>
      <c r="F628" s="140"/>
      <c r="G628" s="140"/>
      <c r="H628" s="142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1.25" customHeight="1">
      <c r="A629" s="140"/>
      <c r="B629" s="140"/>
      <c r="C629" s="141"/>
      <c r="D629" s="140"/>
      <c r="E629" s="140"/>
      <c r="F629" s="140"/>
      <c r="G629" s="140"/>
      <c r="H629" s="142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1.25" customHeight="1">
      <c r="A630" s="140"/>
      <c r="B630" s="140"/>
      <c r="C630" s="141"/>
      <c r="D630" s="140"/>
      <c r="E630" s="140"/>
      <c r="F630" s="140"/>
      <c r="G630" s="140"/>
      <c r="H630" s="142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1.25" customHeight="1">
      <c r="A631" s="140"/>
      <c r="B631" s="140"/>
      <c r="C631" s="141"/>
      <c r="D631" s="140"/>
      <c r="E631" s="140"/>
      <c r="F631" s="140"/>
      <c r="G631" s="140"/>
      <c r="H631" s="142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1.25" customHeight="1">
      <c r="A632" s="140"/>
      <c r="B632" s="140"/>
      <c r="C632" s="141"/>
      <c r="D632" s="140"/>
      <c r="E632" s="140"/>
      <c r="F632" s="140"/>
      <c r="G632" s="140"/>
      <c r="H632" s="142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1.25" customHeight="1">
      <c r="A633" s="140"/>
      <c r="B633" s="140"/>
      <c r="C633" s="141"/>
      <c r="D633" s="140"/>
      <c r="E633" s="140"/>
      <c r="F633" s="140"/>
      <c r="G633" s="140"/>
      <c r="H633" s="142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1.25" customHeight="1">
      <c r="A634" s="140"/>
      <c r="B634" s="140"/>
      <c r="C634" s="141"/>
      <c r="D634" s="140"/>
      <c r="E634" s="140"/>
      <c r="F634" s="140"/>
      <c r="G634" s="140"/>
      <c r="H634" s="142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1.25" customHeight="1">
      <c r="A635" s="140"/>
      <c r="B635" s="140"/>
      <c r="C635" s="141"/>
      <c r="D635" s="140"/>
      <c r="E635" s="140"/>
      <c r="F635" s="140"/>
      <c r="G635" s="140"/>
      <c r="H635" s="142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1.25" customHeight="1">
      <c r="A636" s="140"/>
      <c r="B636" s="140"/>
      <c r="C636" s="141"/>
      <c r="D636" s="140"/>
      <c r="E636" s="140"/>
      <c r="F636" s="140"/>
      <c r="G636" s="140"/>
      <c r="H636" s="142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1.25" customHeight="1">
      <c r="A637" s="140"/>
      <c r="B637" s="140"/>
      <c r="C637" s="141"/>
      <c r="D637" s="140"/>
      <c r="E637" s="140"/>
      <c r="F637" s="140"/>
      <c r="G637" s="140"/>
      <c r="H637" s="142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1.25" customHeight="1">
      <c r="A638" s="140"/>
      <c r="B638" s="140"/>
      <c r="C638" s="141"/>
      <c r="D638" s="140"/>
      <c r="E638" s="140"/>
      <c r="F638" s="140"/>
      <c r="G638" s="140"/>
      <c r="H638" s="142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1.25" customHeight="1">
      <c r="A639" s="140"/>
      <c r="B639" s="140"/>
      <c r="C639" s="141"/>
      <c r="D639" s="140"/>
      <c r="E639" s="140"/>
      <c r="F639" s="140"/>
      <c r="G639" s="140"/>
      <c r="H639" s="142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1.25" customHeight="1">
      <c r="A640" s="140"/>
      <c r="B640" s="140"/>
      <c r="C640" s="141"/>
      <c r="D640" s="140"/>
      <c r="E640" s="140"/>
      <c r="F640" s="140"/>
      <c r="G640" s="140"/>
      <c r="H640" s="142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1.25" customHeight="1">
      <c r="A641" s="140"/>
      <c r="B641" s="140"/>
      <c r="C641" s="141"/>
      <c r="D641" s="140"/>
      <c r="E641" s="140"/>
      <c r="F641" s="140"/>
      <c r="G641" s="140"/>
      <c r="H641" s="142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1.25" customHeight="1">
      <c r="A642" s="140"/>
      <c r="B642" s="140"/>
      <c r="C642" s="141"/>
      <c r="D642" s="140"/>
      <c r="E642" s="140"/>
      <c r="F642" s="140"/>
      <c r="G642" s="140"/>
      <c r="H642" s="142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1.25" customHeight="1">
      <c r="A643" s="140"/>
      <c r="B643" s="140"/>
      <c r="C643" s="141"/>
      <c r="D643" s="140"/>
      <c r="E643" s="140"/>
      <c r="F643" s="140"/>
      <c r="G643" s="140"/>
      <c r="H643" s="142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1.25" customHeight="1">
      <c r="A644" s="140"/>
      <c r="B644" s="140"/>
      <c r="C644" s="141"/>
      <c r="D644" s="140"/>
      <c r="E644" s="140"/>
      <c r="F644" s="140"/>
      <c r="G644" s="140"/>
      <c r="H644" s="142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1.25" customHeight="1">
      <c r="A645" s="140"/>
      <c r="B645" s="140"/>
      <c r="C645" s="141"/>
      <c r="D645" s="140"/>
      <c r="E645" s="140"/>
      <c r="F645" s="140"/>
      <c r="G645" s="140"/>
      <c r="H645" s="142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1.25" customHeight="1">
      <c r="A646" s="140"/>
      <c r="B646" s="140"/>
      <c r="C646" s="141"/>
      <c r="D646" s="140"/>
      <c r="E646" s="140"/>
      <c r="F646" s="140"/>
      <c r="G646" s="140"/>
      <c r="H646" s="142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1.25" customHeight="1">
      <c r="A647" s="140"/>
      <c r="B647" s="140"/>
      <c r="C647" s="141"/>
      <c r="D647" s="140"/>
      <c r="E647" s="140"/>
      <c r="F647" s="140"/>
      <c r="G647" s="140"/>
      <c r="H647" s="142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1.25" customHeight="1">
      <c r="A648" s="140"/>
      <c r="B648" s="140"/>
      <c r="C648" s="141"/>
      <c r="D648" s="140"/>
      <c r="E648" s="140"/>
      <c r="F648" s="140"/>
      <c r="G648" s="140"/>
      <c r="H648" s="142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1.25" customHeight="1">
      <c r="A649" s="140"/>
      <c r="B649" s="140"/>
      <c r="C649" s="141"/>
      <c r="D649" s="140"/>
      <c r="E649" s="140"/>
      <c r="F649" s="140"/>
      <c r="G649" s="140"/>
      <c r="H649" s="142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1.25" customHeight="1">
      <c r="A650" s="140"/>
      <c r="B650" s="140"/>
      <c r="C650" s="141"/>
      <c r="D650" s="140"/>
      <c r="E650" s="140"/>
      <c r="F650" s="140"/>
      <c r="G650" s="140"/>
      <c r="H650" s="142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1.25" customHeight="1">
      <c r="A651" s="140"/>
      <c r="B651" s="140"/>
      <c r="C651" s="141"/>
      <c r="D651" s="140"/>
      <c r="E651" s="140"/>
      <c r="F651" s="140"/>
      <c r="G651" s="140"/>
      <c r="H651" s="142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1.25" customHeight="1">
      <c r="A652" s="140"/>
      <c r="B652" s="140"/>
      <c r="C652" s="141"/>
      <c r="D652" s="140"/>
      <c r="E652" s="140"/>
      <c r="F652" s="140"/>
      <c r="G652" s="140"/>
      <c r="H652" s="142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1.25" customHeight="1">
      <c r="A653" s="140"/>
      <c r="B653" s="140"/>
      <c r="C653" s="141"/>
      <c r="D653" s="140"/>
      <c r="E653" s="140"/>
      <c r="F653" s="140"/>
      <c r="G653" s="140"/>
      <c r="H653" s="142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1.25" customHeight="1">
      <c r="A654" s="140"/>
      <c r="B654" s="140"/>
      <c r="C654" s="141"/>
      <c r="D654" s="140"/>
      <c r="E654" s="140"/>
      <c r="F654" s="140"/>
      <c r="G654" s="140"/>
      <c r="H654" s="142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1.25" customHeight="1">
      <c r="A655" s="140"/>
      <c r="B655" s="140"/>
      <c r="C655" s="141"/>
      <c r="D655" s="140"/>
      <c r="E655" s="140"/>
      <c r="F655" s="140"/>
      <c r="G655" s="140"/>
      <c r="H655" s="142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1.25" customHeight="1">
      <c r="A656" s="140"/>
      <c r="B656" s="140"/>
      <c r="C656" s="141"/>
      <c r="D656" s="140"/>
      <c r="E656" s="140"/>
      <c r="F656" s="140"/>
      <c r="G656" s="140"/>
      <c r="H656" s="142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1.25" customHeight="1">
      <c r="A657" s="140"/>
      <c r="B657" s="140"/>
      <c r="C657" s="141"/>
      <c r="D657" s="140"/>
      <c r="E657" s="140"/>
      <c r="F657" s="140"/>
      <c r="G657" s="140"/>
      <c r="H657" s="142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1.25" customHeight="1">
      <c r="A658" s="140"/>
      <c r="B658" s="140"/>
      <c r="C658" s="141"/>
      <c r="D658" s="140"/>
      <c r="E658" s="140"/>
      <c r="F658" s="140"/>
      <c r="G658" s="140"/>
      <c r="H658" s="142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1.25" customHeight="1">
      <c r="A659" s="140"/>
      <c r="B659" s="140"/>
      <c r="C659" s="141"/>
      <c r="D659" s="140"/>
      <c r="E659" s="140"/>
      <c r="F659" s="140"/>
      <c r="G659" s="140"/>
      <c r="H659" s="142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1.25" customHeight="1">
      <c r="A660" s="140"/>
      <c r="B660" s="140"/>
      <c r="C660" s="141"/>
      <c r="D660" s="140"/>
      <c r="E660" s="140"/>
      <c r="F660" s="140"/>
      <c r="G660" s="140"/>
      <c r="H660" s="142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1.25" customHeight="1">
      <c r="A661" s="140"/>
      <c r="B661" s="140"/>
      <c r="C661" s="141"/>
      <c r="D661" s="140"/>
      <c r="E661" s="140"/>
      <c r="F661" s="140"/>
      <c r="G661" s="140"/>
      <c r="H661" s="142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1.25" customHeight="1">
      <c r="A662" s="140"/>
      <c r="B662" s="140"/>
      <c r="C662" s="141"/>
      <c r="D662" s="140"/>
      <c r="E662" s="140"/>
      <c r="F662" s="140"/>
      <c r="G662" s="140"/>
      <c r="H662" s="142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1.25" customHeight="1">
      <c r="A663" s="140"/>
      <c r="B663" s="140"/>
      <c r="C663" s="141"/>
      <c r="D663" s="140"/>
      <c r="E663" s="140"/>
      <c r="F663" s="140"/>
      <c r="G663" s="140"/>
      <c r="H663" s="142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1.25" customHeight="1">
      <c r="A664" s="140"/>
      <c r="B664" s="140"/>
      <c r="C664" s="141"/>
      <c r="D664" s="140"/>
      <c r="E664" s="140"/>
      <c r="F664" s="140"/>
      <c r="G664" s="140"/>
      <c r="H664" s="142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1.25" customHeight="1">
      <c r="A665" s="140"/>
      <c r="B665" s="140"/>
      <c r="C665" s="141"/>
      <c r="D665" s="140"/>
      <c r="E665" s="140"/>
      <c r="F665" s="140"/>
      <c r="G665" s="140"/>
      <c r="H665" s="142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1.25" customHeight="1">
      <c r="A666" s="140"/>
      <c r="B666" s="140"/>
      <c r="C666" s="141"/>
      <c r="D666" s="140"/>
      <c r="E666" s="140"/>
      <c r="F666" s="140"/>
      <c r="G666" s="140"/>
      <c r="H666" s="142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1.25" customHeight="1">
      <c r="A667" s="140"/>
      <c r="B667" s="140"/>
      <c r="C667" s="141"/>
      <c r="D667" s="140"/>
      <c r="E667" s="140"/>
      <c r="F667" s="140"/>
      <c r="G667" s="140"/>
      <c r="H667" s="142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1.25" customHeight="1">
      <c r="A668" s="140"/>
      <c r="B668" s="140"/>
      <c r="C668" s="141"/>
      <c r="D668" s="140"/>
      <c r="E668" s="140"/>
      <c r="F668" s="140"/>
      <c r="G668" s="140"/>
      <c r="H668" s="142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1.25" customHeight="1">
      <c r="A669" s="140"/>
      <c r="B669" s="140"/>
      <c r="C669" s="141"/>
      <c r="D669" s="140"/>
      <c r="E669" s="140"/>
      <c r="F669" s="140"/>
      <c r="G669" s="140"/>
      <c r="H669" s="142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1.25" customHeight="1">
      <c r="A670" s="140"/>
      <c r="B670" s="140"/>
      <c r="C670" s="141"/>
      <c r="D670" s="140"/>
      <c r="E670" s="140"/>
      <c r="F670" s="140"/>
      <c r="G670" s="140"/>
      <c r="H670" s="142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1.25" customHeight="1">
      <c r="A671" s="140"/>
      <c r="B671" s="140"/>
      <c r="C671" s="141"/>
      <c r="D671" s="140"/>
      <c r="E671" s="140"/>
      <c r="F671" s="140"/>
      <c r="G671" s="140"/>
      <c r="H671" s="142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1.25" customHeight="1">
      <c r="A672" s="140"/>
      <c r="B672" s="140"/>
      <c r="C672" s="141"/>
      <c r="D672" s="140"/>
      <c r="E672" s="140"/>
      <c r="F672" s="140"/>
      <c r="G672" s="140"/>
      <c r="H672" s="142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1.25" customHeight="1">
      <c r="A673" s="140"/>
      <c r="B673" s="140"/>
      <c r="C673" s="141"/>
      <c r="D673" s="140"/>
      <c r="E673" s="140"/>
      <c r="F673" s="140"/>
      <c r="G673" s="140"/>
      <c r="H673" s="142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1.25" customHeight="1">
      <c r="A674" s="140"/>
      <c r="B674" s="140"/>
      <c r="C674" s="141"/>
      <c r="D674" s="140"/>
      <c r="E674" s="140"/>
      <c r="F674" s="140"/>
      <c r="G674" s="140"/>
      <c r="H674" s="142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1.25" customHeight="1">
      <c r="A675" s="140"/>
      <c r="B675" s="140"/>
      <c r="C675" s="141"/>
      <c r="D675" s="140"/>
      <c r="E675" s="140"/>
      <c r="F675" s="140"/>
      <c r="G675" s="140"/>
      <c r="H675" s="142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1.25" customHeight="1">
      <c r="A676" s="140"/>
      <c r="B676" s="140"/>
      <c r="C676" s="141"/>
      <c r="D676" s="140"/>
      <c r="E676" s="140"/>
      <c r="F676" s="140"/>
      <c r="G676" s="140"/>
      <c r="H676" s="142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1.25" customHeight="1">
      <c r="A677" s="140"/>
      <c r="B677" s="140"/>
      <c r="C677" s="141"/>
      <c r="D677" s="140"/>
      <c r="E677" s="140"/>
      <c r="F677" s="140"/>
      <c r="G677" s="140"/>
      <c r="H677" s="142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1.25" customHeight="1">
      <c r="A678" s="140"/>
      <c r="B678" s="140"/>
      <c r="C678" s="141"/>
      <c r="D678" s="140"/>
      <c r="E678" s="140"/>
      <c r="F678" s="140"/>
      <c r="G678" s="140"/>
      <c r="H678" s="142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1.25" customHeight="1">
      <c r="A679" s="140"/>
      <c r="B679" s="140"/>
      <c r="C679" s="141"/>
      <c r="D679" s="140"/>
      <c r="E679" s="140"/>
      <c r="F679" s="140"/>
      <c r="G679" s="140"/>
      <c r="H679" s="142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1.25" customHeight="1">
      <c r="A680" s="140"/>
      <c r="B680" s="140"/>
      <c r="C680" s="141"/>
      <c r="D680" s="140"/>
      <c r="E680" s="140"/>
      <c r="F680" s="140"/>
      <c r="G680" s="140"/>
      <c r="H680" s="142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1.25" customHeight="1">
      <c r="A681" s="140"/>
      <c r="B681" s="140"/>
      <c r="C681" s="141"/>
      <c r="D681" s="140"/>
      <c r="E681" s="140"/>
      <c r="F681" s="140"/>
      <c r="G681" s="140"/>
      <c r="H681" s="142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1.25" customHeight="1">
      <c r="A682" s="140"/>
      <c r="B682" s="140"/>
      <c r="C682" s="141"/>
      <c r="D682" s="140"/>
      <c r="E682" s="140"/>
      <c r="F682" s="140"/>
      <c r="G682" s="140"/>
      <c r="H682" s="142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1.25" customHeight="1">
      <c r="A683" s="140"/>
      <c r="B683" s="140"/>
      <c r="C683" s="141"/>
      <c r="D683" s="140"/>
      <c r="E683" s="140"/>
      <c r="F683" s="140"/>
      <c r="G683" s="140"/>
      <c r="H683" s="142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1.25" customHeight="1">
      <c r="A684" s="140"/>
      <c r="B684" s="140"/>
      <c r="C684" s="141"/>
      <c r="D684" s="140"/>
      <c r="E684" s="140"/>
      <c r="F684" s="140"/>
      <c r="G684" s="140"/>
      <c r="H684" s="142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1.25" customHeight="1">
      <c r="A685" s="140"/>
      <c r="B685" s="140"/>
      <c r="C685" s="141"/>
      <c r="D685" s="140"/>
      <c r="E685" s="140"/>
      <c r="F685" s="140"/>
      <c r="G685" s="140"/>
      <c r="H685" s="142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1.25" customHeight="1">
      <c r="A686" s="140"/>
      <c r="B686" s="140"/>
      <c r="C686" s="141"/>
      <c r="D686" s="140"/>
      <c r="E686" s="140"/>
      <c r="F686" s="140"/>
      <c r="G686" s="140"/>
      <c r="H686" s="142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1.25" customHeight="1">
      <c r="A687" s="140"/>
      <c r="B687" s="140"/>
      <c r="C687" s="141"/>
      <c r="D687" s="140"/>
      <c r="E687" s="140"/>
      <c r="F687" s="140"/>
      <c r="G687" s="140"/>
      <c r="H687" s="142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1.25" customHeight="1">
      <c r="A688" s="140"/>
      <c r="B688" s="140"/>
      <c r="C688" s="141"/>
      <c r="D688" s="140"/>
      <c r="E688" s="140"/>
      <c r="F688" s="140"/>
      <c r="G688" s="140"/>
      <c r="H688" s="142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1.25" customHeight="1">
      <c r="A689" s="140"/>
      <c r="B689" s="140"/>
      <c r="C689" s="141"/>
      <c r="D689" s="140"/>
      <c r="E689" s="140"/>
      <c r="F689" s="140"/>
      <c r="G689" s="140"/>
      <c r="H689" s="142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1.25" customHeight="1">
      <c r="A690" s="140"/>
      <c r="B690" s="140"/>
      <c r="C690" s="141"/>
      <c r="D690" s="140"/>
      <c r="E690" s="140"/>
      <c r="F690" s="140"/>
      <c r="G690" s="140"/>
      <c r="H690" s="142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1.25" customHeight="1">
      <c r="A691" s="140"/>
      <c r="B691" s="140"/>
      <c r="C691" s="141"/>
      <c r="D691" s="140"/>
      <c r="E691" s="140"/>
      <c r="F691" s="140"/>
      <c r="G691" s="140"/>
      <c r="H691" s="142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1.25" customHeight="1">
      <c r="A692" s="140"/>
      <c r="B692" s="140"/>
      <c r="C692" s="141"/>
      <c r="D692" s="140"/>
      <c r="E692" s="140"/>
      <c r="F692" s="140"/>
      <c r="G692" s="140"/>
      <c r="H692" s="142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1.25" customHeight="1">
      <c r="A693" s="140"/>
      <c r="B693" s="140"/>
      <c r="C693" s="141"/>
      <c r="D693" s="140"/>
      <c r="E693" s="140"/>
      <c r="F693" s="140"/>
      <c r="G693" s="140"/>
      <c r="H693" s="142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1.25" customHeight="1">
      <c r="A694" s="140"/>
      <c r="B694" s="140"/>
      <c r="C694" s="141"/>
      <c r="D694" s="140"/>
      <c r="E694" s="140"/>
      <c r="F694" s="140"/>
      <c r="G694" s="140"/>
      <c r="H694" s="142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1.25" customHeight="1">
      <c r="A695" s="140"/>
      <c r="B695" s="140"/>
      <c r="C695" s="141"/>
      <c r="D695" s="140"/>
      <c r="E695" s="140"/>
      <c r="F695" s="140"/>
      <c r="G695" s="140"/>
      <c r="H695" s="142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1.25" customHeight="1">
      <c r="A696" s="140"/>
      <c r="B696" s="140"/>
      <c r="C696" s="141"/>
      <c r="D696" s="140"/>
      <c r="E696" s="140"/>
      <c r="F696" s="140"/>
      <c r="G696" s="140"/>
      <c r="H696" s="142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1.25" customHeight="1">
      <c r="A697" s="140"/>
      <c r="B697" s="140"/>
      <c r="C697" s="141"/>
      <c r="D697" s="140"/>
      <c r="E697" s="140"/>
      <c r="F697" s="140"/>
      <c r="G697" s="140"/>
      <c r="H697" s="142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1.25" customHeight="1">
      <c r="A698" s="140"/>
      <c r="B698" s="140"/>
      <c r="C698" s="141"/>
      <c r="D698" s="140"/>
      <c r="E698" s="140"/>
      <c r="F698" s="140"/>
      <c r="G698" s="140"/>
      <c r="H698" s="142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1.25" customHeight="1">
      <c r="A699" s="140"/>
      <c r="B699" s="140"/>
      <c r="C699" s="141"/>
      <c r="D699" s="140"/>
      <c r="E699" s="140"/>
      <c r="F699" s="140"/>
      <c r="G699" s="140"/>
      <c r="H699" s="142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1.25" customHeight="1">
      <c r="A700" s="140"/>
      <c r="B700" s="140"/>
      <c r="C700" s="141"/>
      <c r="D700" s="140"/>
      <c r="E700" s="140"/>
      <c r="F700" s="140"/>
      <c r="G700" s="140"/>
      <c r="H700" s="142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1.25" customHeight="1">
      <c r="A701" s="140"/>
      <c r="B701" s="140"/>
      <c r="C701" s="141"/>
      <c r="D701" s="140"/>
      <c r="E701" s="140"/>
      <c r="F701" s="140"/>
      <c r="G701" s="140"/>
      <c r="H701" s="142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1.25" customHeight="1">
      <c r="A702" s="140"/>
      <c r="B702" s="140"/>
      <c r="C702" s="141"/>
      <c r="D702" s="140"/>
      <c r="E702" s="140"/>
      <c r="F702" s="140"/>
      <c r="G702" s="140"/>
      <c r="H702" s="142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1.25" customHeight="1">
      <c r="A703" s="140"/>
      <c r="B703" s="140"/>
      <c r="C703" s="141"/>
      <c r="D703" s="140"/>
      <c r="E703" s="140"/>
      <c r="F703" s="140"/>
      <c r="G703" s="140"/>
      <c r="H703" s="142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1.25" customHeight="1">
      <c r="A704" s="140"/>
      <c r="B704" s="140"/>
      <c r="C704" s="141"/>
      <c r="D704" s="140"/>
      <c r="E704" s="140"/>
      <c r="F704" s="140"/>
      <c r="G704" s="140"/>
      <c r="H704" s="142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1.25" customHeight="1">
      <c r="A705" s="140"/>
      <c r="B705" s="140"/>
      <c r="C705" s="141"/>
      <c r="D705" s="140"/>
      <c r="E705" s="140"/>
      <c r="F705" s="140"/>
      <c r="G705" s="140"/>
      <c r="H705" s="142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1.25" customHeight="1">
      <c r="A706" s="140"/>
      <c r="B706" s="140"/>
      <c r="C706" s="141"/>
      <c r="D706" s="140"/>
      <c r="E706" s="140"/>
      <c r="F706" s="140"/>
      <c r="G706" s="140"/>
      <c r="H706" s="142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1.25" customHeight="1">
      <c r="A707" s="140"/>
      <c r="B707" s="140"/>
      <c r="C707" s="141"/>
      <c r="D707" s="140"/>
      <c r="E707" s="140"/>
      <c r="F707" s="140"/>
      <c r="G707" s="140"/>
      <c r="H707" s="142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1.25" customHeight="1">
      <c r="A708" s="140"/>
      <c r="B708" s="140"/>
      <c r="C708" s="141"/>
      <c r="D708" s="140"/>
      <c r="E708" s="140"/>
      <c r="F708" s="140"/>
      <c r="G708" s="140"/>
      <c r="H708" s="142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1.25" customHeight="1">
      <c r="A709" s="140"/>
      <c r="B709" s="140"/>
      <c r="C709" s="141"/>
      <c r="D709" s="140"/>
      <c r="E709" s="140"/>
      <c r="F709" s="140"/>
      <c r="G709" s="140"/>
      <c r="H709" s="142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1.25" customHeight="1">
      <c r="A710" s="140"/>
      <c r="B710" s="140"/>
      <c r="C710" s="141"/>
      <c r="D710" s="140"/>
      <c r="E710" s="140"/>
      <c r="F710" s="140"/>
      <c r="G710" s="140"/>
      <c r="H710" s="142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1.25" customHeight="1">
      <c r="A711" s="140"/>
      <c r="B711" s="140"/>
      <c r="C711" s="141"/>
      <c r="D711" s="140"/>
      <c r="E711" s="140"/>
      <c r="F711" s="140"/>
      <c r="G711" s="140"/>
      <c r="H711" s="142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1.25" customHeight="1">
      <c r="A712" s="140"/>
      <c r="B712" s="140"/>
      <c r="C712" s="141"/>
      <c r="D712" s="140"/>
      <c r="E712" s="140"/>
      <c r="F712" s="140"/>
      <c r="G712" s="140"/>
      <c r="H712" s="142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1.25" customHeight="1">
      <c r="A713" s="140"/>
      <c r="B713" s="140"/>
      <c r="C713" s="141"/>
      <c r="D713" s="140"/>
      <c r="E713" s="140"/>
      <c r="F713" s="140"/>
      <c r="G713" s="140"/>
      <c r="H713" s="142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1.25" customHeight="1">
      <c r="A714" s="140"/>
      <c r="B714" s="140"/>
      <c r="C714" s="141"/>
      <c r="D714" s="140"/>
      <c r="E714" s="140"/>
      <c r="F714" s="140"/>
      <c r="G714" s="140"/>
      <c r="H714" s="142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1.25" customHeight="1">
      <c r="A715" s="140"/>
      <c r="B715" s="140"/>
      <c r="C715" s="141"/>
      <c r="D715" s="140"/>
      <c r="E715" s="140"/>
      <c r="F715" s="140"/>
      <c r="G715" s="140"/>
      <c r="H715" s="142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1.25" customHeight="1">
      <c r="A716" s="140"/>
      <c r="B716" s="140"/>
      <c r="C716" s="141"/>
      <c r="D716" s="140"/>
      <c r="E716" s="140"/>
      <c r="F716" s="140"/>
      <c r="G716" s="140"/>
      <c r="H716" s="142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1.25" customHeight="1">
      <c r="A717" s="140"/>
      <c r="B717" s="140"/>
      <c r="C717" s="141"/>
      <c r="D717" s="140"/>
      <c r="E717" s="140"/>
      <c r="F717" s="140"/>
      <c r="G717" s="140"/>
      <c r="H717" s="142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1.25" customHeight="1">
      <c r="A718" s="140"/>
      <c r="B718" s="140"/>
      <c r="C718" s="141"/>
      <c r="D718" s="140"/>
      <c r="E718" s="140"/>
      <c r="F718" s="140"/>
      <c r="G718" s="140"/>
      <c r="H718" s="142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1.25" customHeight="1">
      <c r="A719" s="140"/>
      <c r="B719" s="140"/>
      <c r="C719" s="141"/>
      <c r="D719" s="140"/>
      <c r="E719" s="140"/>
      <c r="F719" s="140"/>
      <c r="G719" s="140"/>
      <c r="H719" s="142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1.25" customHeight="1">
      <c r="A720" s="140"/>
      <c r="B720" s="140"/>
      <c r="C720" s="141"/>
      <c r="D720" s="140"/>
      <c r="E720" s="140"/>
      <c r="F720" s="140"/>
      <c r="G720" s="140"/>
      <c r="H720" s="142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1.25" customHeight="1">
      <c r="A721" s="140"/>
      <c r="B721" s="140"/>
      <c r="C721" s="141"/>
      <c r="D721" s="140"/>
      <c r="E721" s="140"/>
      <c r="F721" s="140"/>
      <c r="G721" s="140"/>
      <c r="H721" s="142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1.25" customHeight="1">
      <c r="A722" s="140"/>
      <c r="B722" s="140"/>
      <c r="C722" s="141"/>
      <c r="D722" s="140"/>
      <c r="E722" s="140"/>
      <c r="F722" s="140"/>
      <c r="G722" s="140"/>
      <c r="H722" s="142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1.25" customHeight="1">
      <c r="A723" s="140"/>
      <c r="B723" s="140"/>
      <c r="C723" s="141"/>
      <c r="D723" s="140"/>
      <c r="E723" s="140"/>
      <c r="F723" s="140"/>
      <c r="G723" s="140"/>
      <c r="H723" s="142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1.25" customHeight="1">
      <c r="A724" s="140"/>
      <c r="B724" s="140"/>
      <c r="C724" s="141"/>
      <c r="D724" s="140"/>
      <c r="E724" s="140"/>
      <c r="F724" s="140"/>
      <c r="G724" s="140"/>
      <c r="H724" s="142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1.25" customHeight="1">
      <c r="A725" s="140"/>
      <c r="B725" s="140"/>
      <c r="C725" s="141"/>
      <c r="D725" s="140"/>
      <c r="E725" s="140"/>
      <c r="F725" s="140"/>
      <c r="G725" s="140"/>
      <c r="H725" s="142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1.25" customHeight="1">
      <c r="A726" s="140"/>
      <c r="B726" s="140"/>
      <c r="C726" s="141"/>
      <c r="D726" s="140"/>
      <c r="E726" s="140"/>
      <c r="F726" s="140"/>
      <c r="G726" s="140"/>
      <c r="H726" s="142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1.25" customHeight="1">
      <c r="A727" s="140"/>
      <c r="B727" s="140"/>
      <c r="C727" s="141"/>
      <c r="D727" s="140"/>
      <c r="E727" s="140"/>
      <c r="F727" s="140"/>
      <c r="G727" s="140"/>
      <c r="H727" s="142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1.25" customHeight="1">
      <c r="A728" s="140"/>
      <c r="B728" s="140"/>
      <c r="C728" s="141"/>
      <c r="D728" s="140"/>
      <c r="E728" s="140"/>
      <c r="F728" s="140"/>
      <c r="G728" s="140"/>
      <c r="H728" s="142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1.25" customHeight="1">
      <c r="A729" s="140"/>
      <c r="B729" s="140"/>
      <c r="C729" s="141"/>
      <c r="D729" s="140"/>
      <c r="E729" s="140"/>
      <c r="F729" s="140"/>
      <c r="G729" s="140"/>
      <c r="H729" s="142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1.25" customHeight="1">
      <c r="A730" s="140"/>
      <c r="B730" s="140"/>
      <c r="C730" s="141"/>
      <c r="D730" s="140"/>
      <c r="E730" s="140"/>
      <c r="F730" s="140"/>
      <c r="G730" s="140"/>
      <c r="H730" s="142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1.25" customHeight="1">
      <c r="A731" s="140"/>
      <c r="B731" s="140"/>
      <c r="C731" s="141"/>
      <c r="D731" s="140"/>
      <c r="E731" s="140"/>
      <c r="F731" s="140"/>
      <c r="G731" s="140"/>
      <c r="H731" s="142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1.25" customHeight="1">
      <c r="A732" s="140"/>
      <c r="B732" s="140"/>
      <c r="C732" s="141"/>
      <c r="D732" s="140"/>
      <c r="E732" s="140"/>
      <c r="F732" s="140"/>
      <c r="G732" s="140"/>
      <c r="H732" s="142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1.25" customHeight="1">
      <c r="A733" s="140"/>
      <c r="B733" s="140"/>
      <c r="C733" s="141"/>
      <c r="D733" s="140"/>
      <c r="E733" s="140"/>
      <c r="F733" s="140"/>
      <c r="G733" s="140"/>
      <c r="H733" s="142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1.25" customHeight="1">
      <c r="A734" s="140"/>
      <c r="B734" s="140"/>
      <c r="C734" s="141"/>
      <c r="D734" s="140"/>
      <c r="E734" s="140"/>
      <c r="F734" s="140"/>
      <c r="G734" s="140"/>
      <c r="H734" s="142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1.25" customHeight="1">
      <c r="A735" s="140"/>
      <c r="B735" s="140"/>
      <c r="C735" s="141"/>
      <c r="D735" s="140"/>
      <c r="E735" s="140"/>
      <c r="F735" s="140"/>
      <c r="G735" s="140"/>
      <c r="H735" s="142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1.25" customHeight="1">
      <c r="A736" s="140"/>
      <c r="B736" s="140"/>
      <c r="C736" s="141"/>
      <c r="D736" s="140"/>
      <c r="E736" s="140"/>
      <c r="F736" s="140"/>
      <c r="G736" s="140"/>
      <c r="H736" s="142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1.25" customHeight="1">
      <c r="A737" s="140"/>
      <c r="B737" s="140"/>
      <c r="C737" s="141"/>
      <c r="D737" s="140"/>
      <c r="E737" s="140"/>
      <c r="F737" s="140"/>
      <c r="G737" s="140"/>
      <c r="H737" s="142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1.25" customHeight="1">
      <c r="A738" s="140"/>
      <c r="B738" s="140"/>
      <c r="C738" s="141"/>
      <c r="D738" s="140"/>
      <c r="E738" s="140"/>
      <c r="F738" s="140"/>
      <c r="G738" s="140"/>
      <c r="H738" s="142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1.25" customHeight="1">
      <c r="A739" s="140"/>
      <c r="B739" s="140"/>
      <c r="C739" s="141"/>
      <c r="D739" s="140"/>
      <c r="E739" s="140"/>
      <c r="F739" s="140"/>
      <c r="G739" s="140"/>
      <c r="H739" s="142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1.25" customHeight="1">
      <c r="A740" s="140"/>
      <c r="B740" s="140"/>
      <c r="C740" s="141"/>
      <c r="D740" s="140"/>
      <c r="E740" s="140"/>
      <c r="F740" s="140"/>
      <c r="G740" s="140"/>
      <c r="H740" s="142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1.25" customHeight="1">
      <c r="A741" s="140"/>
      <c r="B741" s="140"/>
      <c r="C741" s="141"/>
      <c r="D741" s="140"/>
      <c r="E741" s="140"/>
      <c r="F741" s="140"/>
      <c r="G741" s="140"/>
      <c r="H741" s="142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1.25" customHeight="1">
      <c r="A742" s="140"/>
      <c r="B742" s="140"/>
      <c r="C742" s="141"/>
      <c r="D742" s="140"/>
      <c r="E742" s="140"/>
      <c r="F742" s="140"/>
      <c r="G742" s="140"/>
      <c r="H742" s="142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1.25" customHeight="1">
      <c r="A743" s="140"/>
      <c r="B743" s="140"/>
      <c r="C743" s="141"/>
      <c r="D743" s="140"/>
      <c r="E743" s="140"/>
      <c r="F743" s="140"/>
      <c r="G743" s="140"/>
      <c r="H743" s="142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1.25" customHeight="1">
      <c r="A744" s="140"/>
      <c r="B744" s="140"/>
      <c r="C744" s="141"/>
      <c r="D744" s="140"/>
      <c r="E744" s="140"/>
      <c r="F744" s="140"/>
      <c r="G744" s="140"/>
      <c r="H744" s="142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1.25" customHeight="1">
      <c r="A745" s="140"/>
      <c r="B745" s="140"/>
      <c r="C745" s="141"/>
      <c r="D745" s="140"/>
      <c r="E745" s="140"/>
      <c r="F745" s="140"/>
      <c r="G745" s="140"/>
      <c r="H745" s="142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1.25" customHeight="1">
      <c r="A746" s="140"/>
      <c r="B746" s="140"/>
      <c r="C746" s="141"/>
      <c r="D746" s="140"/>
      <c r="E746" s="140"/>
      <c r="F746" s="140"/>
      <c r="G746" s="140"/>
      <c r="H746" s="142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1.25" customHeight="1">
      <c r="A747" s="140"/>
      <c r="B747" s="140"/>
      <c r="C747" s="141"/>
      <c r="D747" s="140"/>
      <c r="E747" s="140"/>
      <c r="F747" s="140"/>
      <c r="G747" s="140"/>
      <c r="H747" s="142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1.25" customHeight="1">
      <c r="A748" s="140"/>
      <c r="B748" s="140"/>
      <c r="C748" s="141"/>
      <c r="D748" s="140"/>
      <c r="E748" s="140"/>
      <c r="F748" s="140"/>
      <c r="G748" s="140"/>
      <c r="H748" s="142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1.25" customHeight="1">
      <c r="A749" s="140"/>
      <c r="B749" s="140"/>
      <c r="C749" s="141"/>
      <c r="D749" s="140"/>
      <c r="E749" s="140"/>
      <c r="F749" s="140"/>
      <c r="G749" s="140"/>
      <c r="H749" s="142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1.25" customHeight="1">
      <c r="A750" s="140"/>
      <c r="B750" s="140"/>
      <c r="C750" s="141"/>
      <c r="D750" s="140"/>
      <c r="E750" s="140"/>
      <c r="F750" s="140"/>
      <c r="G750" s="140"/>
      <c r="H750" s="142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1.25" customHeight="1">
      <c r="A751" s="140"/>
      <c r="B751" s="140"/>
      <c r="C751" s="141"/>
      <c r="D751" s="140"/>
      <c r="E751" s="140"/>
      <c r="F751" s="140"/>
      <c r="G751" s="140"/>
      <c r="H751" s="142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1.25" customHeight="1">
      <c r="A752" s="140"/>
      <c r="B752" s="140"/>
      <c r="C752" s="141"/>
      <c r="D752" s="140"/>
      <c r="E752" s="140"/>
      <c r="F752" s="140"/>
      <c r="G752" s="140"/>
      <c r="H752" s="142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1.25" customHeight="1">
      <c r="A753" s="140"/>
      <c r="B753" s="140"/>
      <c r="C753" s="141"/>
      <c r="D753" s="140"/>
      <c r="E753" s="140"/>
      <c r="F753" s="140"/>
      <c r="G753" s="140"/>
      <c r="H753" s="142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1.25" customHeight="1">
      <c r="A754" s="140"/>
      <c r="B754" s="140"/>
      <c r="C754" s="141"/>
      <c r="D754" s="140"/>
      <c r="E754" s="140"/>
      <c r="F754" s="140"/>
      <c r="G754" s="140"/>
      <c r="H754" s="142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1.25" customHeight="1">
      <c r="A755" s="140"/>
      <c r="B755" s="140"/>
      <c r="C755" s="141"/>
      <c r="D755" s="140"/>
      <c r="E755" s="140"/>
      <c r="F755" s="140"/>
      <c r="G755" s="140"/>
      <c r="H755" s="142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1.25" customHeight="1">
      <c r="A756" s="140"/>
      <c r="B756" s="140"/>
      <c r="C756" s="141"/>
      <c r="D756" s="140"/>
      <c r="E756" s="140"/>
      <c r="F756" s="140"/>
      <c r="G756" s="140"/>
      <c r="H756" s="142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1.25" customHeight="1">
      <c r="A757" s="140"/>
      <c r="B757" s="140"/>
      <c r="C757" s="141"/>
      <c r="D757" s="140"/>
      <c r="E757" s="140"/>
      <c r="F757" s="140"/>
      <c r="G757" s="140"/>
      <c r="H757" s="142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1.25" customHeight="1">
      <c r="A758" s="140"/>
      <c r="B758" s="140"/>
      <c r="C758" s="141"/>
      <c r="D758" s="140"/>
      <c r="E758" s="140"/>
      <c r="F758" s="140"/>
      <c r="G758" s="140"/>
      <c r="H758" s="142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1.25" customHeight="1">
      <c r="A759" s="140"/>
      <c r="B759" s="140"/>
      <c r="C759" s="141"/>
      <c r="D759" s="140"/>
      <c r="E759" s="140"/>
      <c r="F759" s="140"/>
      <c r="G759" s="140"/>
      <c r="H759" s="142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1.25" customHeight="1">
      <c r="A760" s="140"/>
      <c r="B760" s="140"/>
      <c r="C760" s="141"/>
      <c r="D760" s="140"/>
      <c r="E760" s="140"/>
      <c r="F760" s="140"/>
      <c r="G760" s="140"/>
      <c r="H760" s="142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1.25" customHeight="1">
      <c r="A761" s="140"/>
      <c r="B761" s="140"/>
      <c r="C761" s="141"/>
      <c r="D761" s="140"/>
      <c r="E761" s="140"/>
      <c r="F761" s="140"/>
      <c r="G761" s="140"/>
      <c r="H761" s="142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1.25" customHeight="1">
      <c r="A762" s="140"/>
      <c r="B762" s="140"/>
      <c r="C762" s="141"/>
      <c r="D762" s="140"/>
      <c r="E762" s="140"/>
      <c r="F762" s="140"/>
      <c r="G762" s="140"/>
      <c r="H762" s="142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1.25" customHeight="1">
      <c r="A763" s="140"/>
      <c r="B763" s="140"/>
      <c r="C763" s="141"/>
      <c r="D763" s="140"/>
      <c r="E763" s="140"/>
      <c r="F763" s="140"/>
      <c r="G763" s="140"/>
      <c r="H763" s="142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1.25" customHeight="1">
      <c r="A764" s="140"/>
      <c r="B764" s="140"/>
      <c r="C764" s="141"/>
      <c r="D764" s="140"/>
      <c r="E764" s="140"/>
      <c r="F764" s="140"/>
      <c r="G764" s="140"/>
      <c r="H764" s="142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1.25" customHeight="1">
      <c r="A765" s="140"/>
      <c r="B765" s="140"/>
      <c r="C765" s="141"/>
      <c r="D765" s="140"/>
      <c r="E765" s="140"/>
      <c r="F765" s="140"/>
      <c r="G765" s="140"/>
      <c r="H765" s="142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1.25" customHeight="1">
      <c r="A766" s="140"/>
      <c r="B766" s="140"/>
      <c r="C766" s="141"/>
      <c r="D766" s="140"/>
      <c r="E766" s="140"/>
      <c r="F766" s="140"/>
      <c r="G766" s="140"/>
      <c r="H766" s="142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1.25" customHeight="1">
      <c r="A767" s="140"/>
      <c r="B767" s="140"/>
      <c r="C767" s="141"/>
      <c r="D767" s="140"/>
      <c r="E767" s="140"/>
      <c r="F767" s="140"/>
      <c r="G767" s="140"/>
      <c r="H767" s="142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1.25" customHeight="1">
      <c r="A768" s="140"/>
      <c r="B768" s="140"/>
      <c r="C768" s="141"/>
      <c r="D768" s="140"/>
      <c r="E768" s="140"/>
      <c r="F768" s="140"/>
      <c r="G768" s="140"/>
      <c r="H768" s="142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1.25" customHeight="1">
      <c r="A769" s="140"/>
      <c r="B769" s="140"/>
      <c r="C769" s="141"/>
      <c r="D769" s="140"/>
      <c r="E769" s="140"/>
      <c r="F769" s="140"/>
      <c r="G769" s="140"/>
      <c r="H769" s="142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1.25" customHeight="1">
      <c r="A770" s="140"/>
      <c r="B770" s="140"/>
      <c r="C770" s="141"/>
      <c r="D770" s="140"/>
      <c r="E770" s="140"/>
      <c r="F770" s="140"/>
      <c r="G770" s="140"/>
      <c r="H770" s="142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1.25" customHeight="1">
      <c r="A771" s="140"/>
      <c r="B771" s="140"/>
      <c r="C771" s="141"/>
      <c r="D771" s="140"/>
      <c r="E771" s="140"/>
      <c r="F771" s="140"/>
      <c r="G771" s="140"/>
      <c r="H771" s="142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1.25" customHeight="1">
      <c r="A772" s="140"/>
      <c r="B772" s="140"/>
      <c r="C772" s="141"/>
      <c r="D772" s="140"/>
      <c r="E772" s="140"/>
      <c r="F772" s="140"/>
      <c r="G772" s="140"/>
      <c r="H772" s="142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1.25" customHeight="1">
      <c r="A773" s="140"/>
      <c r="B773" s="140"/>
      <c r="C773" s="141"/>
      <c r="D773" s="140"/>
      <c r="E773" s="140"/>
      <c r="F773" s="140"/>
      <c r="G773" s="140"/>
      <c r="H773" s="142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1.25" customHeight="1">
      <c r="A774" s="140"/>
      <c r="B774" s="140"/>
      <c r="C774" s="141"/>
      <c r="D774" s="140"/>
      <c r="E774" s="140"/>
      <c r="F774" s="140"/>
      <c r="G774" s="140"/>
      <c r="H774" s="142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1.25" customHeight="1">
      <c r="A775" s="140"/>
      <c r="B775" s="140"/>
      <c r="C775" s="141"/>
      <c r="D775" s="140"/>
      <c r="E775" s="140"/>
      <c r="F775" s="140"/>
      <c r="G775" s="140"/>
      <c r="H775" s="142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1.25" customHeight="1">
      <c r="A776" s="140"/>
      <c r="B776" s="140"/>
      <c r="C776" s="141"/>
      <c r="D776" s="140"/>
      <c r="E776" s="140"/>
      <c r="F776" s="140"/>
      <c r="G776" s="140"/>
      <c r="H776" s="142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1.25" customHeight="1">
      <c r="A777" s="140"/>
      <c r="B777" s="140"/>
      <c r="C777" s="141"/>
      <c r="D777" s="140"/>
      <c r="E777" s="140"/>
      <c r="F777" s="140"/>
      <c r="G777" s="140"/>
      <c r="H777" s="142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1.25" customHeight="1">
      <c r="A778" s="140"/>
      <c r="B778" s="140"/>
      <c r="C778" s="141"/>
      <c r="D778" s="140"/>
      <c r="E778" s="140"/>
      <c r="F778" s="140"/>
      <c r="G778" s="140"/>
      <c r="H778" s="142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1.25" customHeight="1">
      <c r="A779" s="140"/>
      <c r="B779" s="140"/>
      <c r="C779" s="141"/>
      <c r="D779" s="140"/>
      <c r="E779" s="140"/>
      <c r="F779" s="140"/>
      <c r="G779" s="140"/>
      <c r="H779" s="142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1.25" customHeight="1">
      <c r="A780" s="140"/>
      <c r="B780" s="140"/>
      <c r="C780" s="141"/>
      <c r="D780" s="140"/>
      <c r="E780" s="140"/>
      <c r="F780" s="140"/>
      <c r="G780" s="140"/>
      <c r="H780" s="142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1.25" customHeight="1">
      <c r="A781" s="140"/>
      <c r="B781" s="140"/>
      <c r="C781" s="141"/>
      <c r="D781" s="140"/>
      <c r="E781" s="140"/>
      <c r="F781" s="140"/>
      <c r="G781" s="140"/>
      <c r="H781" s="142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1.25" customHeight="1">
      <c r="A782" s="140"/>
      <c r="B782" s="140"/>
      <c r="C782" s="141"/>
      <c r="D782" s="140"/>
      <c r="E782" s="140"/>
      <c r="F782" s="140"/>
      <c r="G782" s="140"/>
      <c r="H782" s="142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1.25" customHeight="1">
      <c r="A783" s="140"/>
      <c r="B783" s="140"/>
      <c r="C783" s="141"/>
      <c r="D783" s="140"/>
      <c r="E783" s="140"/>
      <c r="F783" s="140"/>
      <c r="G783" s="140"/>
      <c r="H783" s="142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1.25" customHeight="1">
      <c r="A784" s="140"/>
      <c r="B784" s="140"/>
      <c r="C784" s="141"/>
      <c r="D784" s="140"/>
      <c r="E784" s="140"/>
      <c r="F784" s="140"/>
      <c r="G784" s="140"/>
      <c r="H784" s="142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1.25" customHeight="1">
      <c r="A785" s="140"/>
      <c r="B785" s="140"/>
      <c r="C785" s="141"/>
      <c r="D785" s="140"/>
      <c r="E785" s="140"/>
      <c r="F785" s="140"/>
      <c r="G785" s="140"/>
      <c r="H785" s="142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1.25" customHeight="1">
      <c r="A786" s="140"/>
      <c r="B786" s="140"/>
      <c r="C786" s="141"/>
      <c r="D786" s="140"/>
      <c r="E786" s="140"/>
      <c r="F786" s="140"/>
      <c r="G786" s="140"/>
      <c r="H786" s="142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1.25" customHeight="1">
      <c r="A787" s="140"/>
      <c r="B787" s="140"/>
      <c r="C787" s="141"/>
      <c r="D787" s="140"/>
      <c r="E787" s="140"/>
      <c r="F787" s="140"/>
      <c r="G787" s="140"/>
      <c r="H787" s="142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1.25" customHeight="1">
      <c r="A788" s="140"/>
      <c r="B788" s="140"/>
      <c r="C788" s="141"/>
      <c r="D788" s="140"/>
      <c r="E788" s="140"/>
      <c r="F788" s="140"/>
      <c r="G788" s="140"/>
      <c r="H788" s="142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1.25" customHeight="1">
      <c r="A789" s="140"/>
      <c r="B789" s="140"/>
      <c r="C789" s="141"/>
      <c r="D789" s="140"/>
      <c r="E789" s="140"/>
      <c r="F789" s="140"/>
      <c r="G789" s="140"/>
      <c r="H789" s="142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1.25" customHeight="1">
      <c r="A790" s="140"/>
      <c r="B790" s="140"/>
      <c r="C790" s="141"/>
      <c r="D790" s="140"/>
      <c r="E790" s="140"/>
      <c r="F790" s="140"/>
      <c r="G790" s="140"/>
      <c r="H790" s="142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1.25" customHeight="1">
      <c r="A791" s="140"/>
      <c r="B791" s="140"/>
      <c r="C791" s="141"/>
      <c r="D791" s="140"/>
      <c r="E791" s="140"/>
      <c r="F791" s="140"/>
      <c r="G791" s="140"/>
      <c r="H791" s="142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1.25" customHeight="1">
      <c r="A792" s="140"/>
      <c r="B792" s="140"/>
      <c r="C792" s="141"/>
      <c r="D792" s="140"/>
      <c r="E792" s="140"/>
      <c r="F792" s="140"/>
      <c r="G792" s="140"/>
      <c r="H792" s="142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1.25" customHeight="1">
      <c r="A793" s="140"/>
      <c r="B793" s="140"/>
      <c r="C793" s="141"/>
      <c r="D793" s="140"/>
      <c r="E793" s="140"/>
      <c r="F793" s="140"/>
      <c r="G793" s="140"/>
      <c r="H793" s="142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1.25" customHeight="1">
      <c r="A794" s="140"/>
      <c r="B794" s="140"/>
      <c r="C794" s="141"/>
      <c r="D794" s="140"/>
      <c r="E794" s="140"/>
      <c r="F794" s="140"/>
      <c r="G794" s="140"/>
      <c r="H794" s="142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1.25" customHeight="1">
      <c r="A795" s="140"/>
      <c r="B795" s="140"/>
      <c r="C795" s="141"/>
      <c r="D795" s="140"/>
      <c r="E795" s="140"/>
      <c r="F795" s="140"/>
      <c r="G795" s="140"/>
      <c r="H795" s="142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1.25" customHeight="1">
      <c r="A796" s="140"/>
      <c r="B796" s="140"/>
      <c r="C796" s="141"/>
      <c r="D796" s="140"/>
      <c r="E796" s="140"/>
      <c r="F796" s="140"/>
      <c r="G796" s="140"/>
      <c r="H796" s="142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1.25" customHeight="1">
      <c r="A797" s="140"/>
      <c r="B797" s="140"/>
      <c r="C797" s="141"/>
      <c r="D797" s="140"/>
      <c r="E797" s="140"/>
      <c r="F797" s="140"/>
      <c r="G797" s="140"/>
      <c r="H797" s="142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1.25" customHeight="1">
      <c r="A798" s="140"/>
      <c r="B798" s="140"/>
      <c r="C798" s="141"/>
      <c r="D798" s="140"/>
      <c r="E798" s="140"/>
      <c r="F798" s="140"/>
      <c r="G798" s="140"/>
      <c r="H798" s="142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1.25" customHeight="1">
      <c r="A799" s="140"/>
      <c r="B799" s="140"/>
      <c r="C799" s="141"/>
      <c r="D799" s="140"/>
      <c r="E799" s="140"/>
      <c r="F799" s="140"/>
      <c r="G799" s="140"/>
      <c r="H799" s="142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1.25" customHeight="1">
      <c r="A800" s="140"/>
      <c r="B800" s="140"/>
      <c r="C800" s="141"/>
      <c r="D800" s="140"/>
      <c r="E800" s="140"/>
      <c r="F800" s="140"/>
      <c r="G800" s="140"/>
      <c r="H800" s="142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1.25" customHeight="1">
      <c r="A801" s="140"/>
      <c r="B801" s="140"/>
      <c r="C801" s="141"/>
      <c r="D801" s="140"/>
      <c r="E801" s="140"/>
      <c r="F801" s="140"/>
      <c r="G801" s="140"/>
      <c r="H801" s="142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1.25" customHeight="1">
      <c r="A802" s="140"/>
      <c r="B802" s="140"/>
      <c r="C802" s="141"/>
      <c r="D802" s="140"/>
      <c r="E802" s="140"/>
      <c r="F802" s="140"/>
      <c r="G802" s="140"/>
      <c r="H802" s="142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1.25" customHeight="1">
      <c r="A803" s="140"/>
      <c r="B803" s="140"/>
      <c r="C803" s="141"/>
      <c r="D803" s="140"/>
      <c r="E803" s="140"/>
      <c r="F803" s="140"/>
      <c r="G803" s="140"/>
      <c r="H803" s="142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1.25" customHeight="1">
      <c r="A804" s="140"/>
      <c r="B804" s="140"/>
      <c r="C804" s="141"/>
      <c r="D804" s="140"/>
      <c r="E804" s="140"/>
      <c r="F804" s="140"/>
      <c r="G804" s="140"/>
      <c r="H804" s="142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1.25" customHeight="1">
      <c r="A805" s="140"/>
      <c r="B805" s="140"/>
      <c r="C805" s="141"/>
      <c r="D805" s="140"/>
      <c r="E805" s="140"/>
      <c r="F805" s="140"/>
      <c r="G805" s="140"/>
      <c r="H805" s="142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1.25" customHeight="1">
      <c r="A806" s="140"/>
      <c r="B806" s="140"/>
      <c r="C806" s="141"/>
      <c r="D806" s="140"/>
      <c r="E806" s="140"/>
      <c r="F806" s="140"/>
      <c r="G806" s="140"/>
      <c r="H806" s="142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1.25" customHeight="1">
      <c r="A807" s="140"/>
      <c r="B807" s="140"/>
      <c r="C807" s="141"/>
      <c r="D807" s="140"/>
      <c r="E807" s="140"/>
      <c r="F807" s="140"/>
      <c r="G807" s="140"/>
      <c r="H807" s="142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1.25" customHeight="1">
      <c r="A808" s="140"/>
      <c r="B808" s="140"/>
      <c r="C808" s="141"/>
      <c r="D808" s="140"/>
      <c r="E808" s="140"/>
      <c r="F808" s="140"/>
      <c r="G808" s="140"/>
      <c r="H808" s="142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1.25" customHeight="1">
      <c r="A809" s="140"/>
      <c r="B809" s="140"/>
      <c r="C809" s="141"/>
      <c r="D809" s="140"/>
      <c r="E809" s="140"/>
      <c r="F809" s="140"/>
      <c r="G809" s="140"/>
      <c r="H809" s="142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1.25" customHeight="1">
      <c r="A810" s="140"/>
      <c r="B810" s="140"/>
      <c r="C810" s="141"/>
      <c r="D810" s="140"/>
      <c r="E810" s="140"/>
      <c r="F810" s="140"/>
      <c r="G810" s="140"/>
      <c r="H810" s="142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1.25" customHeight="1">
      <c r="A811" s="140"/>
      <c r="B811" s="140"/>
      <c r="C811" s="141"/>
      <c r="D811" s="140"/>
      <c r="E811" s="140"/>
      <c r="F811" s="140"/>
      <c r="G811" s="140"/>
      <c r="H811" s="142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1.25" customHeight="1">
      <c r="A812" s="140"/>
      <c r="B812" s="140"/>
      <c r="C812" s="141"/>
      <c r="D812" s="140"/>
      <c r="E812" s="140"/>
      <c r="F812" s="140"/>
      <c r="G812" s="140"/>
      <c r="H812" s="142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1.25" customHeight="1">
      <c r="A813" s="140"/>
      <c r="B813" s="140"/>
      <c r="C813" s="141"/>
      <c r="D813" s="140"/>
      <c r="E813" s="140"/>
      <c r="F813" s="140"/>
      <c r="G813" s="140"/>
      <c r="H813" s="142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1.25" customHeight="1">
      <c r="A814" s="140"/>
      <c r="B814" s="140"/>
      <c r="C814" s="141"/>
      <c r="D814" s="140"/>
      <c r="E814" s="140"/>
      <c r="F814" s="140"/>
      <c r="G814" s="140"/>
      <c r="H814" s="142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1.25" customHeight="1">
      <c r="A815" s="140"/>
      <c r="B815" s="140"/>
      <c r="C815" s="141"/>
      <c r="D815" s="140"/>
      <c r="E815" s="140"/>
      <c r="F815" s="140"/>
      <c r="G815" s="140"/>
      <c r="H815" s="142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1.25" customHeight="1">
      <c r="A816" s="140"/>
      <c r="B816" s="140"/>
      <c r="C816" s="141"/>
      <c r="D816" s="140"/>
      <c r="E816" s="140"/>
      <c r="F816" s="140"/>
      <c r="G816" s="140"/>
      <c r="H816" s="142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1.25" customHeight="1">
      <c r="A817" s="140"/>
      <c r="B817" s="140"/>
      <c r="C817" s="141"/>
      <c r="D817" s="140"/>
      <c r="E817" s="140"/>
      <c r="F817" s="140"/>
      <c r="G817" s="140"/>
      <c r="H817" s="142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1.25" customHeight="1">
      <c r="A818" s="140"/>
      <c r="B818" s="140"/>
      <c r="C818" s="141"/>
      <c r="D818" s="140"/>
      <c r="E818" s="140"/>
      <c r="F818" s="140"/>
      <c r="G818" s="140"/>
      <c r="H818" s="142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1.25" customHeight="1">
      <c r="A819" s="140"/>
      <c r="B819" s="140"/>
      <c r="C819" s="141"/>
      <c r="D819" s="140"/>
      <c r="E819" s="140"/>
      <c r="F819" s="140"/>
      <c r="G819" s="140"/>
      <c r="H819" s="142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1.25" customHeight="1">
      <c r="A820" s="140"/>
      <c r="B820" s="140"/>
      <c r="C820" s="141"/>
      <c r="D820" s="140"/>
      <c r="E820" s="140"/>
      <c r="F820" s="140"/>
      <c r="G820" s="140"/>
      <c r="H820" s="142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1.25" customHeight="1">
      <c r="A821" s="140"/>
      <c r="B821" s="140"/>
      <c r="C821" s="141"/>
      <c r="D821" s="140"/>
      <c r="E821" s="140"/>
      <c r="F821" s="140"/>
      <c r="G821" s="140"/>
      <c r="H821" s="142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1.25" customHeight="1">
      <c r="A822" s="140"/>
      <c r="B822" s="140"/>
      <c r="C822" s="141"/>
      <c r="D822" s="140"/>
      <c r="E822" s="140"/>
      <c r="F822" s="140"/>
      <c r="G822" s="140"/>
      <c r="H822" s="142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1.25" customHeight="1">
      <c r="A823" s="140"/>
      <c r="B823" s="140"/>
      <c r="C823" s="141"/>
      <c r="D823" s="140"/>
      <c r="E823" s="140"/>
      <c r="F823" s="140"/>
      <c r="G823" s="140"/>
      <c r="H823" s="142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1.25" customHeight="1">
      <c r="A824" s="140"/>
      <c r="B824" s="140"/>
      <c r="C824" s="141"/>
      <c r="D824" s="140"/>
      <c r="E824" s="140"/>
      <c r="F824" s="140"/>
      <c r="G824" s="140"/>
      <c r="H824" s="142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1.25" customHeight="1">
      <c r="A825" s="140"/>
      <c r="B825" s="140"/>
      <c r="C825" s="141"/>
      <c r="D825" s="140"/>
      <c r="E825" s="140"/>
      <c r="F825" s="140"/>
      <c r="G825" s="140"/>
      <c r="H825" s="142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1.25" customHeight="1">
      <c r="A826" s="140"/>
      <c r="B826" s="140"/>
      <c r="C826" s="141"/>
      <c r="D826" s="140"/>
      <c r="E826" s="140"/>
      <c r="F826" s="140"/>
      <c r="G826" s="140"/>
      <c r="H826" s="142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1.25" customHeight="1">
      <c r="A827" s="140"/>
      <c r="B827" s="140"/>
      <c r="C827" s="141"/>
      <c r="D827" s="140"/>
      <c r="E827" s="140"/>
      <c r="F827" s="140"/>
      <c r="G827" s="140"/>
      <c r="H827" s="142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1.25" customHeight="1">
      <c r="A828" s="140"/>
      <c r="B828" s="140"/>
      <c r="C828" s="141"/>
      <c r="D828" s="140"/>
      <c r="E828" s="140"/>
      <c r="F828" s="140"/>
      <c r="G828" s="140"/>
      <c r="H828" s="142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1.25" customHeight="1">
      <c r="A829" s="140"/>
      <c r="B829" s="140"/>
      <c r="C829" s="141"/>
      <c r="D829" s="140"/>
      <c r="E829" s="140"/>
      <c r="F829" s="140"/>
      <c r="G829" s="140"/>
      <c r="H829" s="142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1.25" customHeight="1">
      <c r="A830" s="140"/>
      <c r="B830" s="140"/>
      <c r="C830" s="141"/>
      <c r="D830" s="140"/>
      <c r="E830" s="140"/>
      <c r="F830" s="140"/>
      <c r="G830" s="140"/>
      <c r="H830" s="142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1.25" customHeight="1">
      <c r="A831" s="140"/>
      <c r="B831" s="140"/>
      <c r="C831" s="141"/>
      <c r="D831" s="140"/>
      <c r="E831" s="140"/>
      <c r="F831" s="140"/>
      <c r="G831" s="140"/>
      <c r="H831" s="142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1.25" customHeight="1">
      <c r="A832" s="140"/>
      <c r="B832" s="140"/>
      <c r="C832" s="141"/>
      <c r="D832" s="140"/>
      <c r="E832" s="140"/>
      <c r="F832" s="140"/>
      <c r="G832" s="140"/>
      <c r="H832" s="142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1.25" customHeight="1">
      <c r="A833" s="140"/>
      <c r="B833" s="140"/>
      <c r="C833" s="141"/>
      <c r="D833" s="140"/>
      <c r="E833" s="140"/>
      <c r="F833" s="140"/>
      <c r="G833" s="140"/>
      <c r="H833" s="142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1.25" customHeight="1">
      <c r="A834" s="140"/>
      <c r="B834" s="140"/>
      <c r="C834" s="141"/>
      <c r="D834" s="140"/>
      <c r="E834" s="140"/>
      <c r="F834" s="140"/>
      <c r="G834" s="140"/>
      <c r="H834" s="142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1.25" customHeight="1">
      <c r="A835" s="140"/>
      <c r="B835" s="140"/>
      <c r="C835" s="141"/>
      <c r="D835" s="140"/>
      <c r="E835" s="140"/>
      <c r="F835" s="140"/>
      <c r="G835" s="140"/>
      <c r="H835" s="142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1.25" customHeight="1">
      <c r="A836" s="140"/>
      <c r="B836" s="140"/>
      <c r="C836" s="141"/>
      <c r="D836" s="140"/>
      <c r="E836" s="140"/>
      <c r="F836" s="140"/>
      <c r="G836" s="140"/>
      <c r="H836" s="142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1.25" customHeight="1">
      <c r="A837" s="140"/>
      <c r="B837" s="140"/>
      <c r="C837" s="141"/>
      <c r="D837" s="140"/>
      <c r="E837" s="140"/>
      <c r="F837" s="140"/>
      <c r="G837" s="140"/>
      <c r="H837" s="142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1.25" customHeight="1">
      <c r="A838" s="140"/>
      <c r="B838" s="140"/>
      <c r="C838" s="141"/>
      <c r="D838" s="140"/>
      <c r="E838" s="140"/>
      <c r="F838" s="140"/>
      <c r="G838" s="140"/>
      <c r="H838" s="142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1.25" customHeight="1">
      <c r="A839" s="140"/>
      <c r="B839" s="140"/>
      <c r="C839" s="141"/>
      <c r="D839" s="140"/>
      <c r="E839" s="140"/>
      <c r="F839" s="140"/>
      <c r="G839" s="140"/>
      <c r="H839" s="142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1.25" customHeight="1">
      <c r="A840" s="140"/>
      <c r="B840" s="140"/>
      <c r="C840" s="141"/>
      <c r="D840" s="140"/>
      <c r="E840" s="140"/>
      <c r="F840" s="140"/>
      <c r="G840" s="140"/>
      <c r="H840" s="142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1.25" customHeight="1">
      <c r="A841" s="140"/>
      <c r="B841" s="140"/>
      <c r="C841" s="141"/>
      <c r="D841" s="140"/>
      <c r="E841" s="140"/>
      <c r="F841" s="140"/>
      <c r="G841" s="140"/>
      <c r="H841" s="142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1.25" customHeight="1">
      <c r="A842" s="140"/>
      <c r="B842" s="140"/>
      <c r="C842" s="141"/>
      <c r="D842" s="140"/>
      <c r="E842" s="140"/>
      <c r="F842" s="140"/>
      <c r="G842" s="140"/>
      <c r="H842" s="142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1.25" customHeight="1">
      <c r="A843" s="140"/>
      <c r="B843" s="140"/>
      <c r="C843" s="141"/>
      <c r="D843" s="140"/>
      <c r="E843" s="140"/>
      <c r="F843" s="140"/>
      <c r="G843" s="140"/>
      <c r="H843" s="142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1.25" customHeight="1">
      <c r="A844" s="140"/>
      <c r="B844" s="140"/>
      <c r="C844" s="141"/>
      <c r="D844" s="140"/>
      <c r="E844" s="140"/>
      <c r="F844" s="140"/>
      <c r="G844" s="140"/>
      <c r="H844" s="142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1.25" customHeight="1">
      <c r="A845" s="140"/>
      <c r="B845" s="140"/>
      <c r="C845" s="141"/>
      <c r="D845" s="140"/>
      <c r="E845" s="140"/>
      <c r="F845" s="140"/>
      <c r="G845" s="140"/>
      <c r="H845" s="142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1.25" customHeight="1">
      <c r="A846" s="140"/>
      <c r="B846" s="140"/>
      <c r="C846" s="141"/>
      <c r="D846" s="140"/>
      <c r="E846" s="140"/>
      <c r="F846" s="140"/>
      <c r="G846" s="140"/>
      <c r="H846" s="142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1.25" customHeight="1">
      <c r="A847" s="140"/>
      <c r="B847" s="140"/>
      <c r="C847" s="141"/>
      <c r="D847" s="140"/>
      <c r="E847" s="140"/>
      <c r="F847" s="140"/>
      <c r="G847" s="140"/>
      <c r="H847" s="142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1.25" customHeight="1">
      <c r="A848" s="140"/>
      <c r="B848" s="140"/>
      <c r="C848" s="141"/>
      <c r="D848" s="140"/>
      <c r="E848" s="140"/>
      <c r="F848" s="140"/>
      <c r="G848" s="140"/>
      <c r="H848" s="142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1.25" customHeight="1">
      <c r="A849" s="140"/>
      <c r="B849" s="140"/>
      <c r="C849" s="141"/>
      <c r="D849" s="140"/>
      <c r="E849" s="140"/>
      <c r="F849" s="140"/>
      <c r="G849" s="140"/>
      <c r="H849" s="142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1.25" customHeight="1">
      <c r="A850" s="140"/>
      <c r="B850" s="140"/>
      <c r="C850" s="141"/>
      <c r="D850" s="140"/>
      <c r="E850" s="140"/>
      <c r="F850" s="140"/>
      <c r="G850" s="140"/>
      <c r="H850" s="142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1.25" customHeight="1">
      <c r="A851" s="140"/>
      <c r="B851" s="140"/>
      <c r="C851" s="141"/>
      <c r="D851" s="140"/>
      <c r="E851" s="140"/>
      <c r="F851" s="140"/>
      <c r="G851" s="140"/>
      <c r="H851" s="142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1.25" customHeight="1">
      <c r="A852" s="140"/>
      <c r="B852" s="140"/>
      <c r="C852" s="141"/>
      <c r="D852" s="140"/>
      <c r="E852" s="140"/>
      <c r="F852" s="140"/>
      <c r="G852" s="140"/>
      <c r="H852" s="142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1.25" customHeight="1">
      <c r="A853" s="140"/>
      <c r="B853" s="140"/>
      <c r="C853" s="141"/>
      <c r="D853" s="140"/>
      <c r="E853" s="140"/>
      <c r="F853" s="140"/>
      <c r="G853" s="140"/>
      <c r="H853" s="142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1.25" customHeight="1">
      <c r="A854" s="140"/>
      <c r="B854" s="140"/>
      <c r="C854" s="141"/>
      <c r="D854" s="140"/>
      <c r="E854" s="140"/>
      <c r="F854" s="140"/>
      <c r="G854" s="140"/>
      <c r="H854" s="142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1.25" customHeight="1">
      <c r="A855" s="140"/>
      <c r="B855" s="140"/>
      <c r="C855" s="141"/>
      <c r="D855" s="140"/>
      <c r="E855" s="140"/>
      <c r="F855" s="140"/>
      <c r="G855" s="140"/>
      <c r="H855" s="142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1.25" customHeight="1">
      <c r="A856" s="140"/>
      <c r="B856" s="140"/>
      <c r="C856" s="141"/>
      <c r="D856" s="140"/>
      <c r="E856" s="140"/>
      <c r="F856" s="140"/>
      <c r="G856" s="140"/>
      <c r="H856" s="142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1.25" customHeight="1">
      <c r="A857" s="140"/>
      <c r="B857" s="140"/>
      <c r="C857" s="141"/>
      <c r="D857" s="140"/>
      <c r="E857" s="140"/>
      <c r="F857" s="140"/>
      <c r="G857" s="140"/>
      <c r="H857" s="142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1.25" customHeight="1">
      <c r="A858" s="140"/>
      <c r="B858" s="140"/>
      <c r="C858" s="141"/>
      <c r="D858" s="140"/>
      <c r="E858" s="140"/>
      <c r="F858" s="140"/>
      <c r="G858" s="140"/>
      <c r="H858" s="142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1.25" customHeight="1">
      <c r="A859" s="140"/>
      <c r="B859" s="140"/>
      <c r="C859" s="141"/>
      <c r="D859" s="140"/>
      <c r="E859" s="140"/>
      <c r="F859" s="140"/>
      <c r="G859" s="140"/>
      <c r="H859" s="142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1.25" customHeight="1">
      <c r="A860" s="140"/>
      <c r="B860" s="140"/>
      <c r="C860" s="141"/>
      <c r="D860" s="140"/>
      <c r="E860" s="140"/>
      <c r="F860" s="140"/>
      <c r="G860" s="140"/>
      <c r="H860" s="142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1.25" customHeight="1">
      <c r="A861" s="140"/>
      <c r="B861" s="140"/>
      <c r="C861" s="141"/>
      <c r="D861" s="140"/>
      <c r="E861" s="140"/>
      <c r="F861" s="140"/>
      <c r="G861" s="140"/>
      <c r="H861" s="142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1.25" customHeight="1">
      <c r="A862" s="140"/>
      <c r="B862" s="140"/>
      <c r="C862" s="141"/>
      <c r="D862" s="140"/>
      <c r="E862" s="140"/>
      <c r="F862" s="140"/>
      <c r="G862" s="140"/>
      <c r="H862" s="142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1.25" customHeight="1">
      <c r="A863" s="140"/>
      <c r="B863" s="140"/>
      <c r="C863" s="141"/>
      <c r="D863" s="140"/>
      <c r="E863" s="140"/>
      <c r="F863" s="140"/>
      <c r="G863" s="140"/>
      <c r="H863" s="142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1.25" customHeight="1">
      <c r="A864" s="140"/>
      <c r="B864" s="140"/>
      <c r="C864" s="141"/>
      <c r="D864" s="140"/>
      <c r="E864" s="140"/>
      <c r="F864" s="140"/>
      <c r="G864" s="140"/>
      <c r="H864" s="142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1.25" customHeight="1">
      <c r="A865" s="140"/>
      <c r="B865" s="140"/>
      <c r="C865" s="141"/>
      <c r="D865" s="140"/>
      <c r="E865" s="140"/>
      <c r="F865" s="140"/>
      <c r="G865" s="140"/>
      <c r="H865" s="142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1.25" customHeight="1">
      <c r="A866" s="140"/>
      <c r="B866" s="140"/>
      <c r="C866" s="141"/>
      <c r="D866" s="140"/>
      <c r="E866" s="140"/>
      <c r="F866" s="140"/>
      <c r="G866" s="140"/>
      <c r="H866" s="142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1.25" customHeight="1">
      <c r="A867" s="140"/>
      <c r="B867" s="140"/>
      <c r="C867" s="141"/>
      <c r="D867" s="140"/>
      <c r="E867" s="140"/>
      <c r="F867" s="140"/>
      <c r="G867" s="140"/>
      <c r="H867" s="142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1.25" customHeight="1">
      <c r="A868" s="140"/>
      <c r="B868" s="140"/>
      <c r="C868" s="141"/>
      <c r="D868" s="140"/>
      <c r="E868" s="140"/>
      <c r="F868" s="140"/>
      <c r="G868" s="140"/>
      <c r="H868" s="142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1.25" customHeight="1">
      <c r="A869" s="140"/>
      <c r="B869" s="140"/>
      <c r="C869" s="141"/>
      <c r="D869" s="140"/>
      <c r="E869" s="140"/>
      <c r="F869" s="140"/>
      <c r="G869" s="140"/>
      <c r="H869" s="142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1.25" customHeight="1">
      <c r="A870" s="140"/>
      <c r="B870" s="140"/>
      <c r="C870" s="141"/>
      <c r="D870" s="140"/>
      <c r="E870" s="140"/>
      <c r="F870" s="140"/>
      <c r="G870" s="140"/>
      <c r="H870" s="142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1.25" customHeight="1">
      <c r="A871" s="140"/>
      <c r="B871" s="140"/>
      <c r="C871" s="141"/>
      <c r="D871" s="140"/>
      <c r="E871" s="140"/>
      <c r="F871" s="140"/>
      <c r="G871" s="140"/>
      <c r="H871" s="142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1.25" customHeight="1">
      <c r="A872" s="140"/>
      <c r="B872" s="140"/>
      <c r="C872" s="141"/>
      <c r="D872" s="140"/>
      <c r="E872" s="140"/>
      <c r="F872" s="140"/>
      <c r="G872" s="140"/>
      <c r="H872" s="142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1.25" customHeight="1">
      <c r="A873" s="140"/>
      <c r="B873" s="140"/>
      <c r="C873" s="141"/>
      <c r="D873" s="140"/>
      <c r="E873" s="140"/>
      <c r="F873" s="140"/>
      <c r="G873" s="140"/>
      <c r="H873" s="142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1.25" customHeight="1">
      <c r="A874" s="140"/>
      <c r="B874" s="140"/>
      <c r="C874" s="141"/>
      <c r="D874" s="140"/>
      <c r="E874" s="140"/>
      <c r="F874" s="140"/>
      <c r="G874" s="140"/>
      <c r="H874" s="142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1.25" customHeight="1">
      <c r="A875" s="140"/>
      <c r="B875" s="140"/>
      <c r="C875" s="141"/>
      <c r="D875" s="140"/>
      <c r="E875" s="140"/>
      <c r="F875" s="140"/>
      <c r="G875" s="140"/>
      <c r="H875" s="142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1.25" customHeight="1">
      <c r="A876" s="140"/>
      <c r="B876" s="140"/>
      <c r="C876" s="141"/>
      <c r="D876" s="140"/>
      <c r="E876" s="140"/>
      <c r="F876" s="140"/>
      <c r="G876" s="140"/>
      <c r="H876" s="142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1.25" customHeight="1">
      <c r="A877" s="140"/>
      <c r="B877" s="140"/>
      <c r="C877" s="141"/>
      <c r="D877" s="140"/>
      <c r="E877" s="140"/>
      <c r="F877" s="140"/>
      <c r="G877" s="140"/>
      <c r="H877" s="142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1.25" customHeight="1">
      <c r="A878" s="140"/>
      <c r="B878" s="140"/>
      <c r="C878" s="141"/>
      <c r="D878" s="140"/>
      <c r="E878" s="140"/>
      <c r="F878" s="140"/>
      <c r="G878" s="140"/>
      <c r="H878" s="142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1.25" customHeight="1">
      <c r="A879" s="140"/>
      <c r="B879" s="140"/>
      <c r="C879" s="141"/>
      <c r="D879" s="140"/>
      <c r="E879" s="140"/>
      <c r="F879" s="140"/>
      <c r="G879" s="140"/>
      <c r="H879" s="142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1.25" customHeight="1">
      <c r="A880" s="140"/>
      <c r="B880" s="140"/>
      <c r="C880" s="141"/>
      <c r="D880" s="140"/>
      <c r="E880" s="140"/>
      <c r="F880" s="140"/>
      <c r="G880" s="140"/>
      <c r="H880" s="142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1.25" customHeight="1">
      <c r="A881" s="140"/>
      <c r="B881" s="140"/>
      <c r="C881" s="141"/>
      <c r="D881" s="140"/>
      <c r="E881" s="140"/>
      <c r="F881" s="140"/>
      <c r="G881" s="140"/>
      <c r="H881" s="142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1.25" customHeight="1">
      <c r="A882" s="140"/>
      <c r="B882" s="140"/>
      <c r="C882" s="141"/>
      <c r="D882" s="140"/>
      <c r="E882" s="140"/>
      <c r="F882" s="140"/>
      <c r="G882" s="140"/>
      <c r="H882" s="142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1.25" customHeight="1">
      <c r="A883" s="140"/>
      <c r="B883" s="140"/>
      <c r="C883" s="141"/>
      <c r="D883" s="140"/>
      <c r="E883" s="140"/>
      <c r="F883" s="140"/>
      <c r="G883" s="140"/>
      <c r="H883" s="142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1.25" customHeight="1">
      <c r="A884" s="140"/>
      <c r="B884" s="140"/>
      <c r="C884" s="141"/>
      <c r="D884" s="140"/>
      <c r="E884" s="140"/>
      <c r="F884" s="140"/>
      <c r="G884" s="140"/>
      <c r="H884" s="142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1.25" customHeight="1">
      <c r="A885" s="140"/>
      <c r="B885" s="140"/>
      <c r="C885" s="141"/>
      <c r="D885" s="140"/>
      <c r="E885" s="140"/>
      <c r="F885" s="140"/>
      <c r="G885" s="140"/>
      <c r="H885" s="142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1.25" customHeight="1">
      <c r="A886" s="140"/>
      <c r="B886" s="140"/>
      <c r="C886" s="141"/>
      <c r="D886" s="140"/>
      <c r="E886" s="140"/>
      <c r="F886" s="140"/>
      <c r="G886" s="140"/>
      <c r="H886" s="142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1.25" customHeight="1">
      <c r="A887" s="140"/>
      <c r="B887" s="140"/>
      <c r="C887" s="141"/>
      <c r="D887" s="140"/>
      <c r="E887" s="140"/>
      <c r="F887" s="140"/>
      <c r="G887" s="140"/>
      <c r="H887" s="142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1.25" customHeight="1">
      <c r="A888" s="140"/>
      <c r="B888" s="140"/>
      <c r="C888" s="141"/>
      <c r="D888" s="140"/>
      <c r="E888" s="140"/>
      <c r="F888" s="140"/>
      <c r="G888" s="140"/>
      <c r="H888" s="142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1.25" customHeight="1">
      <c r="A889" s="140"/>
      <c r="B889" s="140"/>
      <c r="C889" s="141"/>
      <c r="D889" s="140"/>
      <c r="E889" s="140"/>
      <c r="F889" s="140"/>
      <c r="G889" s="140"/>
      <c r="H889" s="142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1.25" customHeight="1">
      <c r="A890" s="140"/>
      <c r="B890" s="140"/>
      <c r="C890" s="141"/>
      <c r="D890" s="140"/>
      <c r="E890" s="140"/>
      <c r="F890" s="140"/>
      <c r="G890" s="140"/>
      <c r="H890" s="142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1.25" customHeight="1">
      <c r="A891" s="140"/>
      <c r="B891" s="140"/>
      <c r="C891" s="141"/>
      <c r="D891" s="140"/>
      <c r="E891" s="140"/>
      <c r="F891" s="140"/>
      <c r="G891" s="140"/>
      <c r="H891" s="142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1.25" customHeight="1">
      <c r="A892" s="140"/>
      <c r="B892" s="140"/>
      <c r="C892" s="141"/>
      <c r="D892" s="140"/>
      <c r="E892" s="140"/>
      <c r="F892" s="140"/>
      <c r="G892" s="140"/>
      <c r="H892" s="142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1.25" customHeight="1">
      <c r="A893" s="140"/>
      <c r="B893" s="140"/>
      <c r="C893" s="141"/>
      <c r="D893" s="140"/>
      <c r="E893" s="140"/>
      <c r="F893" s="140"/>
      <c r="G893" s="140"/>
      <c r="H893" s="142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1.25" customHeight="1">
      <c r="A894" s="140"/>
      <c r="B894" s="140"/>
      <c r="C894" s="141"/>
      <c r="D894" s="140"/>
      <c r="E894" s="140"/>
      <c r="F894" s="140"/>
      <c r="G894" s="140"/>
      <c r="H894" s="142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1.25" customHeight="1">
      <c r="A895" s="140"/>
      <c r="B895" s="140"/>
      <c r="C895" s="141"/>
      <c r="D895" s="140"/>
      <c r="E895" s="140"/>
      <c r="F895" s="140"/>
      <c r="G895" s="140"/>
      <c r="H895" s="142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1.25" customHeight="1">
      <c r="A896" s="140"/>
      <c r="B896" s="140"/>
      <c r="C896" s="141"/>
      <c r="D896" s="140"/>
      <c r="E896" s="140"/>
      <c r="F896" s="140"/>
      <c r="G896" s="140"/>
      <c r="H896" s="142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1.25" customHeight="1">
      <c r="A897" s="140"/>
      <c r="B897" s="140"/>
      <c r="C897" s="141"/>
      <c r="D897" s="140"/>
      <c r="E897" s="140"/>
      <c r="F897" s="140"/>
      <c r="G897" s="140"/>
      <c r="H897" s="142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1.25" customHeight="1">
      <c r="A898" s="140"/>
      <c r="B898" s="140"/>
      <c r="C898" s="141"/>
      <c r="D898" s="140"/>
      <c r="E898" s="140"/>
      <c r="F898" s="140"/>
      <c r="G898" s="140"/>
      <c r="H898" s="142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1.25" customHeight="1">
      <c r="A899" s="140"/>
      <c r="B899" s="140"/>
      <c r="C899" s="141"/>
      <c r="D899" s="140"/>
      <c r="E899" s="140"/>
      <c r="F899" s="140"/>
      <c r="G899" s="140"/>
      <c r="H899" s="142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1.25" customHeight="1">
      <c r="A900" s="140"/>
      <c r="B900" s="140"/>
      <c r="C900" s="141"/>
      <c r="D900" s="140"/>
      <c r="E900" s="140"/>
      <c r="F900" s="140"/>
      <c r="G900" s="140"/>
      <c r="H900" s="142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1.25" customHeight="1">
      <c r="A901" s="140"/>
      <c r="B901" s="140"/>
      <c r="C901" s="141"/>
      <c r="D901" s="140"/>
      <c r="E901" s="140"/>
      <c r="F901" s="140"/>
      <c r="G901" s="140"/>
      <c r="H901" s="142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1.25" customHeight="1">
      <c r="A902" s="140"/>
      <c r="B902" s="140"/>
      <c r="C902" s="141"/>
      <c r="D902" s="140"/>
      <c r="E902" s="140"/>
      <c r="F902" s="140"/>
      <c r="G902" s="140"/>
      <c r="H902" s="142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1.25" customHeight="1">
      <c r="A903" s="140"/>
      <c r="B903" s="140"/>
      <c r="C903" s="141"/>
      <c r="D903" s="140"/>
      <c r="E903" s="140"/>
      <c r="F903" s="140"/>
      <c r="G903" s="140"/>
      <c r="H903" s="142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1.25" customHeight="1">
      <c r="A904" s="140"/>
      <c r="B904" s="140"/>
      <c r="C904" s="141"/>
      <c r="D904" s="140"/>
      <c r="E904" s="140"/>
      <c r="F904" s="140"/>
      <c r="G904" s="140"/>
      <c r="H904" s="142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1.25" customHeight="1">
      <c r="A905" s="140"/>
      <c r="B905" s="140"/>
      <c r="C905" s="141"/>
      <c r="D905" s="140"/>
      <c r="E905" s="140"/>
      <c r="F905" s="140"/>
      <c r="G905" s="140"/>
      <c r="H905" s="142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1.25" customHeight="1">
      <c r="A906" s="140"/>
      <c r="B906" s="140"/>
      <c r="C906" s="141"/>
      <c r="D906" s="140"/>
      <c r="E906" s="140"/>
      <c r="F906" s="140"/>
      <c r="G906" s="140"/>
      <c r="H906" s="142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1.25" customHeight="1">
      <c r="A907" s="140"/>
      <c r="B907" s="140"/>
      <c r="C907" s="141"/>
      <c r="D907" s="140"/>
      <c r="E907" s="140"/>
      <c r="F907" s="140"/>
      <c r="G907" s="140"/>
      <c r="H907" s="142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1.25" customHeight="1">
      <c r="A908" s="140"/>
      <c r="B908" s="140"/>
      <c r="C908" s="141"/>
      <c r="D908" s="140"/>
      <c r="E908" s="140"/>
      <c r="F908" s="140"/>
      <c r="G908" s="140"/>
      <c r="H908" s="142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1.25" customHeight="1">
      <c r="A909" s="140"/>
      <c r="B909" s="140"/>
      <c r="C909" s="141"/>
      <c r="D909" s="140"/>
      <c r="E909" s="140"/>
      <c r="F909" s="140"/>
      <c r="G909" s="140"/>
      <c r="H909" s="142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1.25" customHeight="1">
      <c r="A910" s="140"/>
      <c r="B910" s="140"/>
      <c r="C910" s="141"/>
      <c r="D910" s="140"/>
      <c r="E910" s="140"/>
      <c r="F910" s="140"/>
      <c r="G910" s="140"/>
      <c r="H910" s="142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1.25" customHeight="1">
      <c r="A911" s="140"/>
      <c r="B911" s="140"/>
      <c r="C911" s="141"/>
      <c r="D911" s="140"/>
      <c r="E911" s="140"/>
      <c r="F911" s="140"/>
      <c r="G911" s="140"/>
      <c r="H911" s="142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1.25" customHeight="1">
      <c r="A912" s="140"/>
      <c r="B912" s="140"/>
      <c r="C912" s="141"/>
      <c r="D912" s="140"/>
      <c r="E912" s="140"/>
      <c r="F912" s="140"/>
      <c r="G912" s="140"/>
      <c r="H912" s="142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1.25" customHeight="1">
      <c r="A913" s="140"/>
      <c r="B913" s="140"/>
      <c r="C913" s="141"/>
      <c r="D913" s="140"/>
      <c r="E913" s="140"/>
      <c r="F913" s="140"/>
      <c r="G913" s="140"/>
      <c r="H913" s="142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1.25" customHeight="1">
      <c r="A914" s="140"/>
      <c r="B914" s="140"/>
      <c r="C914" s="141"/>
      <c r="D914" s="140"/>
      <c r="E914" s="140"/>
      <c r="F914" s="140"/>
      <c r="G914" s="140"/>
      <c r="H914" s="142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1.25" customHeight="1">
      <c r="A915" s="140"/>
      <c r="B915" s="140"/>
      <c r="C915" s="141"/>
      <c r="D915" s="140"/>
      <c r="E915" s="140"/>
      <c r="F915" s="140"/>
      <c r="G915" s="140"/>
      <c r="H915" s="142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1.25" customHeight="1">
      <c r="A916" s="140"/>
      <c r="B916" s="140"/>
      <c r="C916" s="141"/>
      <c r="D916" s="140"/>
      <c r="E916" s="140"/>
      <c r="F916" s="140"/>
      <c r="G916" s="140"/>
      <c r="H916" s="142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1.25" customHeight="1">
      <c r="A917" s="140"/>
      <c r="B917" s="140"/>
      <c r="C917" s="141"/>
      <c r="D917" s="140"/>
      <c r="E917" s="140"/>
      <c r="F917" s="140"/>
      <c r="G917" s="140"/>
      <c r="H917" s="142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1.25" customHeight="1">
      <c r="A918" s="140"/>
      <c r="B918" s="140"/>
      <c r="C918" s="141"/>
      <c r="D918" s="140"/>
      <c r="E918" s="140"/>
      <c r="F918" s="140"/>
      <c r="G918" s="140"/>
      <c r="H918" s="142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1.25" customHeight="1">
      <c r="A919" s="140"/>
      <c r="B919" s="140"/>
      <c r="C919" s="141"/>
      <c r="D919" s="140"/>
      <c r="E919" s="140"/>
      <c r="F919" s="140"/>
      <c r="G919" s="140"/>
      <c r="H919" s="142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1.25" customHeight="1">
      <c r="A920" s="140"/>
      <c r="B920" s="140"/>
      <c r="C920" s="141"/>
      <c r="D920" s="140"/>
      <c r="E920" s="140"/>
      <c r="F920" s="140"/>
      <c r="G920" s="140"/>
      <c r="H920" s="142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1.25" customHeight="1">
      <c r="A921" s="140"/>
      <c r="B921" s="140"/>
      <c r="C921" s="141"/>
      <c r="D921" s="140"/>
      <c r="E921" s="140"/>
      <c r="F921" s="140"/>
      <c r="G921" s="140"/>
      <c r="H921" s="142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1.25" customHeight="1">
      <c r="A922" s="140"/>
      <c r="B922" s="140"/>
      <c r="C922" s="141"/>
      <c r="D922" s="140"/>
      <c r="E922" s="140"/>
      <c r="F922" s="140"/>
      <c r="G922" s="140"/>
      <c r="H922" s="142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1.25" customHeight="1">
      <c r="A923" s="140"/>
      <c r="B923" s="140"/>
      <c r="C923" s="141"/>
      <c r="D923" s="140"/>
      <c r="E923" s="140"/>
      <c r="F923" s="140"/>
      <c r="G923" s="140"/>
      <c r="H923" s="142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1.25" customHeight="1">
      <c r="A924" s="140"/>
      <c r="B924" s="140"/>
      <c r="C924" s="141"/>
      <c r="D924" s="140"/>
      <c r="E924" s="140"/>
      <c r="F924" s="140"/>
      <c r="G924" s="140"/>
      <c r="H924" s="142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1.25" customHeight="1">
      <c r="A925" s="140"/>
      <c r="B925" s="140"/>
      <c r="C925" s="141"/>
      <c r="D925" s="140"/>
      <c r="E925" s="140"/>
      <c r="F925" s="140"/>
      <c r="G925" s="140"/>
      <c r="H925" s="142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1.25" customHeight="1">
      <c r="A926" s="140"/>
      <c r="B926" s="140"/>
      <c r="C926" s="141"/>
      <c r="D926" s="140"/>
      <c r="E926" s="140"/>
      <c r="F926" s="140"/>
      <c r="G926" s="140"/>
      <c r="H926" s="142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1.25" customHeight="1">
      <c r="A927" s="140"/>
      <c r="B927" s="140"/>
      <c r="C927" s="141"/>
      <c r="D927" s="140"/>
      <c r="E927" s="140"/>
      <c r="F927" s="140"/>
      <c r="G927" s="140"/>
      <c r="H927" s="142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1.25" customHeight="1">
      <c r="A928" s="140"/>
      <c r="B928" s="140"/>
      <c r="C928" s="141"/>
      <c r="D928" s="140"/>
      <c r="E928" s="140"/>
      <c r="F928" s="140"/>
      <c r="G928" s="140"/>
      <c r="H928" s="142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1.25" customHeight="1">
      <c r="A929" s="140"/>
      <c r="B929" s="140"/>
      <c r="C929" s="141"/>
      <c r="D929" s="140"/>
      <c r="E929" s="140"/>
      <c r="F929" s="140"/>
      <c r="G929" s="140"/>
      <c r="H929" s="142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1.25" customHeight="1">
      <c r="A930" s="140"/>
      <c r="B930" s="140"/>
      <c r="C930" s="141"/>
      <c r="D930" s="140"/>
      <c r="E930" s="140"/>
      <c r="F930" s="140"/>
      <c r="G930" s="140"/>
      <c r="H930" s="142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1.25" customHeight="1">
      <c r="A931" s="140"/>
      <c r="B931" s="140"/>
      <c r="C931" s="141"/>
      <c r="D931" s="140"/>
      <c r="E931" s="140"/>
      <c r="F931" s="140"/>
      <c r="G931" s="140"/>
      <c r="H931" s="142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1.25" customHeight="1">
      <c r="A932" s="140"/>
      <c r="B932" s="140"/>
      <c r="C932" s="141"/>
      <c r="D932" s="140"/>
      <c r="E932" s="140"/>
      <c r="F932" s="140"/>
      <c r="G932" s="140"/>
      <c r="H932" s="142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1.25" customHeight="1">
      <c r="A933" s="140"/>
      <c r="B933" s="140"/>
      <c r="C933" s="141"/>
      <c r="D933" s="140"/>
      <c r="E933" s="140"/>
      <c r="F933" s="140"/>
      <c r="G933" s="140"/>
      <c r="H933" s="142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1.25" customHeight="1">
      <c r="A934" s="140"/>
      <c r="B934" s="140"/>
      <c r="C934" s="141"/>
      <c r="D934" s="140"/>
      <c r="E934" s="140"/>
      <c r="F934" s="140"/>
      <c r="G934" s="140"/>
      <c r="H934" s="142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1.25" customHeight="1">
      <c r="A935" s="140"/>
      <c r="B935" s="140"/>
      <c r="C935" s="141"/>
      <c r="D935" s="140"/>
      <c r="E935" s="140"/>
      <c r="F935" s="140"/>
      <c r="G935" s="140"/>
      <c r="H935" s="142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1.25" customHeight="1">
      <c r="A936" s="140"/>
      <c r="B936" s="140"/>
      <c r="C936" s="141"/>
      <c r="D936" s="140"/>
      <c r="E936" s="140"/>
      <c r="F936" s="140"/>
      <c r="G936" s="140"/>
      <c r="H936" s="142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1.25" customHeight="1">
      <c r="A937" s="140"/>
      <c r="B937" s="140"/>
      <c r="C937" s="141"/>
      <c r="D937" s="140"/>
      <c r="E937" s="140"/>
      <c r="F937" s="140"/>
      <c r="G937" s="140"/>
      <c r="H937" s="142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1.25" customHeight="1">
      <c r="A938" s="140"/>
      <c r="B938" s="140"/>
      <c r="C938" s="141"/>
      <c r="D938" s="140"/>
      <c r="E938" s="140"/>
      <c r="F938" s="140"/>
      <c r="G938" s="140"/>
      <c r="H938" s="142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1.25" customHeight="1">
      <c r="A939" s="140"/>
      <c r="B939" s="140"/>
      <c r="C939" s="141"/>
      <c r="D939" s="140"/>
      <c r="E939" s="140"/>
      <c r="F939" s="140"/>
      <c r="G939" s="140"/>
      <c r="H939" s="142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1.25" customHeight="1">
      <c r="A940" s="140"/>
      <c r="B940" s="140"/>
      <c r="C940" s="141"/>
      <c r="D940" s="140"/>
      <c r="E940" s="140"/>
      <c r="F940" s="140"/>
      <c r="G940" s="140"/>
      <c r="H940" s="142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1.25" customHeight="1">
      <c r="A941" s="140"/>
      <c r="B941" s="140"/>
      <c r="C941" s="141"/>
      <c r="D941" s="140"/>
      <c r="E941" s="140"/>
      <c r="F941" s="140"/>
      <c r="G941" s="140"/>
      <c r="H941" s="142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1.25" customHeight="1">
      <c r="A942" s="140"/>
      <c r="B942" s="140"/>
      <c r="C942" s="141"/>
      <c r="D942" s="140"/>
      <c r="E942" s="140"/>
      <c r="F942" s="140"/>
      <c r="G942" s="140"/>
      <c r="H942" s="142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1.25" customHeight="1">
      <c r="A943" s="140"/>
      <c r="B943" s="140"/>
      <c r="C943" s="141"/>
      <c r="D943" s="140"/>
      <c r="E943" s="140"/>
      <c r="F943" s="140"/>
      <c r="G943" s="140"/>
      <c r="H943" s="142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1.25" customHeight="1">
      <c r="A944" s="140"/>
      <c r="B944" s="140"/>
      <c r="C944" s="141"/>
      <c r="D944" s="140"/>
      <c r="E944" s="140"/>
      <c r="F944" s="140"/>
      <c r="G944" s="140"/>
      <c r="H944" s="142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1.25" customHeight="1">
      <c r="A945" s="140"/>
      <c r="B945" s="140"/>
      <c r="C945" s="141"/>
      <c r="D945" s="140"/>
      <c r="E945" s="140"/>
      <c r="F945" s="140"/>
      <c r="G945" s="140"/>
      <c r="H945" s="142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1.25" customHeight="1">
      <c r="A946" s="140"/>
      <c r="B946" s="140"/>
      <c r="C946" s="141"/>
      <c r="D946" s="140"/>
      <c r="E946" s="140"/>
      <c r="F946" s="140"/>
      <c r="G946" s="140"/>
      <c r="H946" s="142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1.25" customHeight="1">
      <c r="A947" s="140"/>
      <c r="B947" s="140"/>
      <c r="C947" s="141"/>
      <c r="D947" s="140"/>
      <c r="E947" s="140"/>
      <c r="F947" s="140"/>
      <c r="G947" s="140"/>
      <c r="H947" s="142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1.25" customHeight="1">
      <c r="A948" s="140"/>
      <c r="B948" s="140"/>
      <c r="C948" s="141"/>
      <c r="D948" s="140"/>
      <c r="E948" s="140"/>
      <c r="F948" s="140"/>
      <c r="G948" s="140"/>
      <c r="H948" s="142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1.25" customHeight="1">
      <c r="A949" s="140"/>
      <c r="B949" s="140"/>
      <c r="C949" s="141"/>
      <c r="D949" s="140"/>
      <c r="E949" s="140"/>
      <c r="F949" s="140"/>
      <c r="G949" s="140"/>
      <c r="H949" s="142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1.25" customHeight="1">
      <c r="A950" s="140"/>
      <c r="B950" s="140"/>
      <c r="C950" s="141"/>
      <c r="D950" s="140"/>
      <c r="E950" s="140"/>
      <c r="F950" s="140"/>
      <c r="G950" s="140"/>
      <c r="H950" s="142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1.25" customHeight="1">
      <c r="A951" s="140"/>
      <c r="B951" s="140"/>
      <c r="C951" s="141"/>
      <c r="D951" s="140"/>
      <c r="E951" s="140"/>
      <c r="F951" s="140"/>
      <c r="G951" s="140"/>
      <c r="H951" s="142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1.25" customHeight="1">
      <c r="A952" s="140"/>
      <c r="B952" s="140"/>
      <c r="C952" s="141"/>
      <c r="D952" s="140"/>
      <c r="E952" s="140"/>
      <c r="F952" s="140"/>
      <c r="G952" s="140"/>
      <c r="H952" s="142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1.25" customHeight="1">
      <c r="A953" s="140"/>
      <c r="B953" s="140"/>
      <c r="C953" s="141"/>
      <c r="D953" s="140"/>
      <c r="E953" s="140"/>
      <c r="F953" s="140"/>
      <c r="G953" s="140"/>
      <c r="H953" s="142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1.25" customHeight="1">
      <c r="A954" s="140"/>
      <c r="B954" s="140"/>
      <c r="C954" s="141"/>
      <c r="D954" s="140"/>
      <c r="E954" s="140"/>
      <c r="F954" s="140"/>
      <c r="G954" s="140"/>
      <c r="H954" s="142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1.25" customHeight="1">
      <c r="A955" s="140"/>
      <c r="B955" s="140"/>
      <c r="C955" s="141"/>
      <c r="D955" s="140"/>
      <c r="E955" s="140"/>
      <c r="F955" s="140"/>
      <c r="G955" s="140"/>
      <c r="H955" s="142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1.25" customHeight="1">
      <c r="A956" s="140"/>
      <c r="B956" s="140"/>
      <c r="C956" s="141"/>
      <c r="D956" s="140"/>
      <c r="E956" s="140"/>
      <c r="F956" s="140"/>
      <c r="G956" s="140"/>
      <c r="H956" s="142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1.25" customHeight="1">
      <c r="A957" s="140"/>
      <c r="B957" s="140"/>
      <c r="C957" s="141"/>
      <c r="D957" s="140"/>
      <c r="E957" s="140"/>
      <c r="F957" s="140"/>
      <c r="G957" s="140"/>
      <c r="H957" s="142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1.25" customHeight="1">
      <c r="A958" s="140"/>
      <c r="B958" s="140"/>
      <c r="C958" s="141"/>
      <c r="D958" s="140"/>
      <c r="E958" s="140"/>
      <c r="F958" s="140"/>
      <c r="G958" s="140"/>
      <c r="H958" s="142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1.25" customHeight="1">
      <c r="A959" s="140"/>
      <c r="B959" s="140"/>
      <c r="C959" s="141"/>
      <c r="D959" s="140"/>
      <c r="E959" s="140"/>
      <c r="F959" s="140"/>
      <c r="G959" s="140"/>
      <c r="H959" s="142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1.25" customHeight="1">
      <c r="A960" s="140"/>
      <c r="B960" s="140"/>
      <c r="C960" s="141"/>
      <c r="D960" s="140"/>
      <c r="E960" s="140"/>
      <c r="F960" s="140"/>
      <c r="G960" s="140"/>
      <c r="H960" s="142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1.25" customHeight="1">
      <c r="A961" s="140"/>
      <c r="B961" s="140"/>
      <c r="C961" s="141"/>
      <c r="D961" s="140"/>
      <c r="E961" s="140"/>
      <c r="F961" s="140"/>
      <c r="G961" s="140"/>
      <c r="H961" s="142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1.25" customHeight="1">
      <c r="A962" s="140"/>
      <c r="B962" s="140"/>
      <c r="C962" s="141"/>
      <c r="D962" s="140"/>
      <c r="E962" s="140"/>
      <c r="F962" s="140"/>
      <c r="G962" s="140"/>
      <c r="H962" s="142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1.25" customHeight="1">
      <c r="A963" s="140"/>
      <c r="B963" s="140"/>
      <c r="C963" s="141"/>
      <c r="D963" s="140"/>
      <c r="E963" s="140"/>
      <c r="F963" s="140"/>
      <c r="G963" s="140"/>
      <c r="H963" s="142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1.25" customHeight="1">
      <c r="A964" s="140"/>
      <c r="B964" s="140"/>
      <c r="C964" s="141"/>
      <c r="D964" s="140"/>
      <c r="E964" s="140"/>
      <c r="F964" s="140"/>
      <c r="G964" s="140"/>
      <c r="H964" s="142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1.25" customHeight="1">
      <c r="A965" s="140"/>
      <c r="B965" s="140"/>
      <c r="C965" s="141"/>
      <c r="D965" s="140"/>
      <c r="E965" s="140"/>
      <c r="F965" s="140"/>
      <c r="G965" s="140"/>
      <c r="H965" s="142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1.25" customHeight="1">
      <c r="A966" s="140"/>
      <c r="B966" s="140"/>
      <c r="C966" s="141"/>
      <c r="D966" s="140"/>
      <c r="E966" s="140"/>
      <c r="F966" s="140"/>
      <c r="G966" s="140"/>
      <c r="H966" s="142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1.25" customHeight="1">
      <c r="A967" s="140"/>
      <c r="B967" s="140"/>
      <c r="C967" s="141"/>
      <c r="D967" s="140"/>
      <c r="E967" s="140"/>
      <c r="F967" s="140"/>
      <c r="G967" s="140"/>
      <c r="H967" s="142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1.25" customHeight="1">
      <c r="A968" s="140"/>
      <c r="B968" s="140"/>
      <c r="C968" s="141"/>
      <c r="D968" s="140"/>
      <c r="E968" s="140"/>
      <c r="F968" s="140"/>
      <c r="G968" s="140"/>
      <c r="H968" s="142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1.25" customHeight="1">
      <c r="A969" s="140"/>
      <c r="B969" s="140"/>
      <c r="C969" s="141"/>
      <c r="D969" s="140"/>
      <c r="E969" s="140"/>
      <c r="F969" s="140"/>
      <c r="G969" s="140"/>
      <c r="H969" s="142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1.25" customHeight="1">
      <c r="A970" s="140"/>
      <c r="B970" s="140"/>
      <c r="C970" s="141"/>
      <c r="D970" s="140"/>
      <c r="E970" s="140"/>
      <c r="F970" s="140"/>
      <c r="G970" s="140"/>
      <c r="H970" s="142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1.25" customHeight="1">
      <c r="A971" s="140"/>
      <c r="B971" s="140"/>
      <c r="C971" s="141"/>
      <c r="D971" s="140"/>
      <c r="E971" s="140"/>
      <c r="F971" s="140"/>
      <c r="G971" s="140"/>
      <c r="H971" s="142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1.25" customHeight="1">
      <c r="A972" s="140"/>
      <c r="B972" s="140"/>
      <c r="C972" s="141"/>
      <c r="D972" s="140"/>
      <c r="E972" s="140"/>
      <c r="F972" s="140"/>
      <c r="G972" s="140"/>
      <c r="H972" s="142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1.25" customHeight="1">
      <c r="A973" s="140"/>
      <c r="B973" s="140"/>
      <c r="C973" s="141"/>
      <c r="D973" s="140"/>
      <c r="E973" s="140"/>
      <c r="F973" s="140"/>
      <c r="G973" s="140"/>
      <c r="H973" s="142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1.25" customHeight="1">
      <c r="A974" s="140"/>
      <c r="B974" s="140"/>
      <c r="C974" s="141"/>
      <c r="D974" s="140"/>
      <c r="E974" s="140"/>
      <c r="F974" s="140"/>
      <c r="G974" s="140"/>
      <c r="H974" s="142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1.25" customHeight="1">
      <c r="A975" s="140"/>
      <c r="B975" s="140"/>
      <c r="C975" s="141"/>
      <c r="D975" s="140"/>
      <c r="E975" s="140"/>
      <c r="F975" s="140"/>
      <c r="G975" s="140"/>
      <c r="H975" s="142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1.25" customHeight="1">
      <c r="A976" s="140"/>
      <c r="B976" s="140"/>
      <c r="C976" s="141"/>
      <c r="D976" s="140"/>
      <c r="E976" s="140"/>
      <c r="F976" s="140"/>
      <c r="G976" s="140"/>
      <c r="H976" s="142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1.25" customHeight="1">
      <c r="A977" s="140"/>
      <c r="B977" s="140"/>
      <c r="C977" s="141"/>
      <c r="D977" s="140"/>
      <c r="E977" s="140"/>
      <c r="F977" s="140"/>
      <c r="G977" s="140"/>
      <c r="H977" s="142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1.25" customHeight="1">
      <c r="A978" s="140"/>
      <c r="B978" s="140"/>
      <c r="C978" s="141"/>
      <c r="D978" s="140"/>
      <c r="E978" s="140"/>
      <c r="F978" s="140"/>
      <c r="G978" s="140"/>
      <c r="H978" s="142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1.25" customHeight="1">
      <c r="A979" s="140"/>
      <c r="B979" s="140"/>
      <c r="C979" s="141"/>
      <c r="D979" s="140"/>
      <c r="E979" s="140"/>
      <c r="F979" s="140"/>
      <c r="G979" s="140"/>
      <c r="H979" s="142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1.25" customHeight="1">
      <c r="A980" s="140"/>
      <c r="B980" s="140"/>
      <c r="C980" s="141"/>
      <c r="D980" s="140"/>
      <c r="E980" s="140"/>
      <c r="F980" s="140"/>
      <c r="G980" s="140"/>
      <c r="H980" s="142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1.25" customHeight="1">
      <c r="A981" s="140"/>
      <c r="B981" s="140"/>
      <c r="C981" s="141"/>
      <c r="D981" s="140"/>
      <c r="E981" s="140"/>
      <c r="F981" s="140"/>
      <c r="G981" s="140"/>
      <c r="H981" s="142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1.25" customHeight="1">
      <c r="A982" s="140"/>
      <c r="B982" s="140"/>
      <c r="C982" s="141"/>
      <c r="D982" s="140"/>
      <c r="E982" s="140"/>
      <c r="F982" s="140"/>
      <c r="G982" s="140"/>
      <c r="H982" s="142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1.25" customHeight="1">
      <c r="A983" s="140"/>
      <c r="B983" s="140"/>
      <c r="C983" s="141"/>
      <c r="D983" s="140"/>
      <c r="E983" s="140"/>
      <c r="F983" s="140"/>
      <c r="G983" s="140"/>
      <c r="H983" s="142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1.25" customHeight="1">
      <c r="A984" s="140"/>
      <c r="B984" s="140"/>
      <c r="C984" s="141"/>
      <c r="D984" s="140"/>
      <c r="E984" s="140"/>
      <c r="F984" s="140"/>
      <c r="G984" s="140"/>
      <c r="H984" s="142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1.25" customHeight="1">
      <c r="A985" s="140"/>
      <c r="B985" s="140"/>
      <c r="C985" s="141"/>
      <c r="D985" s="140"/>
      <c r="E985" s="140"/>
      <c r="F985" s="140"/>
      <c r="G985" s="140"/>
      <c r="H985" s="142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1.25" customHeight="1">
      <c r="A986" s="140"/>
      <c r="B986" s="140"/>
      <c r="C986" s="141"/>
      <c r="D986" s="140"/>
      <c r="E986" s="140"/>
      <c r="F986" s="140"/>
      <c r="G986" s="140"/>
      <c r="H986" s="142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1.25" customHeight="1">
      <c r="A987" s="140"/>
      <c r="B987" s="140"/>
      <c r="C987" s="141"/>
      <c r="D987" s="140"/>
      <c r="E987" s="140"/>
      <c r="F987" s="140"/>
      <c r="G987" s="140"/>
      <c r="H987" s="142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1.25" customHeight="1">
      <c r="A988" s="140"/>
      <c r="B988" s="140"/>
      <c r="C988" s="141"/>
      <c r="D988" s="140"/>
      <c r="E988" s="140"/>
      <c r="F988" s="140"/>
      <c r="G988" s="140"/>
      <c r="H988" s="142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1.25" customHeight="1">
      <c r="A989" s="140"/>
      <c r="B989" s="140"/>
      <c r="C989" s="141"/>
      <c r="D989" s="140"/>
      <c r="E989" s="140"/>
      <c r="F989" s="140"/>
      <c r="G989" s="140"/>
      <c r="H989" s="142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1.25" customHeight="1">
      <c r="A990" s="140"/>
      <c r="B990" s="140"/>
      <c r="C990" s="141"/>
      <c r="D990" s="140"/>
      <c r="E990" s="140"/>
      <c r="F990" s="140"/>
      <c r="G990" s="140"/>
      <c r="H990" s="142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1.25" customHeight="1">
      <c r="A991" s="140"/>
      <c r="B991" s="140"/>
      <c r="C991" s="141"/>
      <c r="D991" s="140"/>
      <c r="E991" s="140"/>
      <c r="F991" s="140"/>
      <c r="G991" s="140"/>
      <c r="H991" s="142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1.25" customHeight="1">
      <c r="A992" s="140"/>
      <c r="B992" s="140"/>
      <c r="C992" s="141"/>
      <c r="D992" s="140"/>
      <c r="E992" s="140"/>
      <c r="F992" s="140"/>
      <c r="G992" s="140"/>
      <c r="H992" s="142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1.25" customHeight="1">
      <c r="A993" s="140"/>
      <c r="B993" s="140"/>
      <c r="C993" s="141"/>
      <c r="D993" s="140"/>
      <c r="E993" s="140"/>
      <c r="F993" s="140"/>
      <c r="G993" s="140"/>
      <c r="H993" s="142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1.25" customHeight="1">
      <c r="A994" s="140"/>
      <c r="B994" s="140"/>
      <c r="C994" s="141"/>
      <c r="D994" s="140"/>
      <c r="E994" s="140"/>
      <c r="F994" s="140"/>
      <c r="G994" s="140"/>
      <c r="H994" s="142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ht="11.25" customHeight="1">
      <c r="A995" s="140"/>
      <c r="B995" s="140"/>
      <c r="C995" s="141"/>
      <c r="D995" s="140"/>
      <c r="E995" s="140"/>
      <c r="F995" s="140"/>
      <c r="G995" s="140"/>
      <c r="H995" s="142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ht="11.25" customHeight="1">
      <c r="A996" s="140"/>
      <c r="B996" s="140"/>
      <c r="C996" s="141"/>
      <c r="D996" s="140"/>
      <c r="E996" s="140"/>
      <c r="F996" s="140"/>
      <c r="G996" s="140"/>
      <c r="H996" s="142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ht="11.25" customHeight="1">
      <c r="A997" s="140"/>
      <c r="B997" s="140"/>
      <c r="C997" s="141"/>
      <c r="D997" s="140"/>
      <c r="E997" s="140"/>
      <c r="F997" s="140"/>
      <c r="G997" s="140"/>
      <c r="H997" s="142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ht="11.25" customHeight="1">
      <c r="A998" s="140"/>
      <c r="B998" s="140"/>
      <c r="C998" s="141"/>
      <c r="D998" s="140"/>
      <c r="E998" s="140"/>
      <c r="F998" s="140"/>
      <c r="G998" s="140"/>
      <c r="H998" s="142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ht="11.25" customHeight="1">
      <c r="A999" s="140"/>
      <c r="B999" s="140"/>
      <c r="C999" s="141"/>
      <c r="D999" s="140"/>
      <c r="E999" s="140"/>
      <c r="F999" s="140"/>
      <c r="G999" s="140"/>
      <c r="H999" s="142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ht="11.25" customHeight="1">
      <c r="A1000" s="140"/>
      <c r="B1000" s="140"/>
      <c r="C1000" s="141"/>
      <c r="D1000" s="140"/>
      <c r="E1000" s="140"/>
      <c r="F1000" s="140"/>
      <c r="G1000" s="140"/>
      <c r="H1000" s="142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14">
    <mergeCell ref="D151:H151"/>
    <mergeCell ref="A220:H220"/>
    <mergeCell ref="A221:H221"/>
    <mergeCell ref="D224:H224"/>
    <mergeCell ref="A294:H294"/>
    <mergeCell ref="D297:H297"/>
    <mergeCell ref="A446:H446"/>
    <mergeCell ref="A2:H2"/>
    <mergeCell ref="D5:H5"/>
    <mergeCell ref="A74:H74"/>
    <mergeCell ref="A75:H75"/>
    <mergeCell ref="D78:H78"/>
    <mergeCell ref="A147:H147"/>
    <mergeCell ref="A148:H148"/>
  </mergeCells>
  <printOptions/>
  <pageMargins bottom="0.984251969" footer="0.0" header="0.0" left="0.787401575" right="0.787401575" top="0.984251969"/>
  <pageSetup paperSize="9" orientation="portrait"/>
  <rowBreaks count="4" manualBreakCount="4">
    <brk id="146" man="1"/>
    <brk id="292" man="1"/>
    <brk id="73" man="1"/>
    <brk id="219" man="1"/>
  </rowBreaks>
  <colBreaks count="1" manualBreakCount="1">
    <brk id="8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17.43"/>
    <col customWidth="1" min="4" max="4" width="10.71"/>
    <col customWidth="1" min="5" max="5" width="10.14"/>
    <col customWidth="1" min="6" max="8" width="10.71"/>
    <col customWidth="1" min="9" max="14" width="9.14"/>
    <col customWidth="1" min="15" max="26" width="8.71"/>
  </cols>
  <sheetData>
    <row r="1" ht="6.75" customHeight="1">
      <c r="A1" s="140"/>
      <c r="B1" s="140"/>
      <c r="C1" s="141"/>
      <c r="D1" s="140"/>
      <c r="E1" s="140"/>
      <c r="F1" s="140"/>
      <c r="G1" s="140"/>
      <c r="H1" s="142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16.5" customHeight="1">
      <c r="A2" s="143" t="s">
        <v>110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0" customHeight="1">
      <c r="A3" s="145"/>
      <c r="B3" s="145"/>
      <c r="C3" s="146"/>
      <c r="D3" s="145"/>
      <c r="E3" s="145"/>
      <c r="F3" s="145"/>
      <c r="G3" s="145"/>
      <c r="H3" s="147" t="s">
        <v>85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11.25" customHeight="1">
      <c r="A4" s="148"/>
      <c r="B4" s="148"/>
      <c r="C4" s="149"/>
      <c r="D4" s="150"/>
      <c r="E4" s="151"/>
      <c r="F4" s="151" t="s">
        <v>86</v>
      </c>
      <c r="G4" s="151"/>
      <c r="H4" s="152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11.25" customHeight="1">
      <c r="A5" s="154" t="s">
        <v>87</v>
      </c>
      <c r="B5" s="155" t="s">
        <v>88</v>
      </c>
      <c r="C5" s="156" t="s">
        <v>89</v>
      </c>
      <c r="D5" s="157" t="s">
        <v>90</v>
      </c>
      <c r="E5" s="90"/>
      <c r="F5" s="90"/>
      <c r="G5" s="90"/>
      <c r="H5" s="90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13.5" customHeight="1">
      <c r="A6" s="154"/>
      <c r="B6" s="155"/>
      <c r="C6" s="158" t="s">
        <v>91</v>
      </c>
      <c r="D6" s="159" t="s">
        <v>92</v>
      </c>
      <c r="E6" s="159">
        <v>3.0</v>
      </c>
      <c r="F6" s="159">
        <v>6.0</v>
      </c>
      <c r="G6" s="159" t="s">
        <v>92</v>
      </c>
      <c r="H6" s="160">
        <v>12.0</v>
      </c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14.25" customHeight="1">
      <c r="A7" s="161"/>
      <c r="B7" s="161"/>
      <c r="C7" s="162"/>
      <c r="D7" s="163" t="s">
        <v>88</v>
      </c>
      <c r="E7" s="164" t="s">
        <v>93</v>
      </c>
      <c r="F7" s="164" t="s">
        <v>93</v>
      </c>
      <c r="G7" s="164" t="s">
        <v>87</v>
      </c>
      <c r="H7" s="165" t="s">
        <v>93</v>
      </c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6.75" customHeight="1">
      <c r="A8" s="166"/>
      <c r="B8" s="166"/>
      <c r="C8" s="167"/>
      <c r="D8" s="168"/>
      <c r="E8" s="169"/>
      <c r="F8" s="169"/>
      <c r="G8" s="169"/>
      <c r="H8" s="17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1.25" customHeight="1">
      <c r="A9" s="168">
        <v>1994.0</v>
      </c>
      <c r="B9" s="171" t="s">
        <v>94</v>
      </c>
      <c r="C9" s="172">
        <v>141.31</v>
      </c>
      <c r="D9" s="172">
        <v>41.31</v>
      </c>
      <c r="E9" s="172">
        <v>162.13</v>
      </c>
      <c r="F9" s="172">
        <v>533.33</v>
      </c>
      <c r="G9" s="172">
        <v>41.31</v>
      </c>
      <c r="H9" s="173">
        <v>2693.84</v>
      </c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1.25" customHeight="1">
      <c r="A10" s="140"/>
      <c r="B10" s="171" t="s">
        <v>95</v>
      </c>
      <c r="C10" s="172">
        <v>198.22</v>
      </c>
      <c r="D10" s="172">
        <v>40.27</v>
      </c>
      <c r="E10" s="172">
        <v>171.24</v>
      </c>
      <c r="F10" s="172">
        <v>568.17</v>
      </c>
      <c r="G10" s="172">
        <v>98.22</v>
      </c>
      <c r="H10" s="173">
        <v>3035.71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1.25" customHeight="1">
      <c r="A11" s="140"/>
      <c r="B11" s="171" t="s">
        <v>96</v>
      </c>
      <c r="C11" s="172">
        <v>282.96</v>
      </c>
      <c r="D11" s="172">
        <v>42.75</v>
      </c>
      <c r="E11" s="172">
        <v>182.96</v>
      </c>
      <c r="F11" s="172">
        <v>602.93</v>
      </c>
      <c r="G11" s="172">
        <v>182.96</v>
      </c>
      <c r="H11" s="173">
        <v>3417.39</v>
      </c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1.25" customHeight="1">
      <c r="A12" s="140"/>
      <c r="B12" s="171" t="s">
        <v>97</v>
      </c>
      <c r="C12" s="172">
        <v>403.73</v>
      </c>
      <c r="D12" s="172">
        <v>42.68</v>
      </c>
      <c r="E12" s="172">
        <v>185.71</v>
      </c>
      <c r="F12" s="172">
        <v>648.92</v>
      </c>
      <c r="G12" s="172">
        <v>303.73</v>
      </c>
      <c r="H12" s="173">
        <v>3828.49</v>
      </c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11.25" customHeight="1">
      <c r="A13" s="140"/>
      <c r="B13" s="171" t="s">
        <v>98</v>
      </c>
      <c r="C13" s="172">
        <v>581.49</v>
      </c>
      <c r="D13" s="172">
        <v>44.03</v>
      </c>
      <c r="E13" s="172">
        <v>193.36</v>
      </c>
      <c r="F13" s="172">
        <v>695.71</v>
      </c>
      <c r="G13" s="172">
        <v>481.49</v>
      </c>
      <c r="H13" s="173">
        <v>4331.19</v>
      </c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1.25" customHeight="1">
      <c r="A14" s="140"/>
      <c r="B14" s="171" t="s">
        <v>99</v>
      </c>
      <c r="C14" s="172">
        <v>857.29</v>
      </c>
      <c r="D14" s="172">
        <v>47.43</v>
      </c>
      <c r="E14" s="172">
        <v>202.97</v>
      </c>
      <c r="F14" s="172">
        <v>757.29</v>
      </c>
      <c r="G14" s="172">
        <v>757.29</v>
      </c>
      <c r="H14" s="173">
        <v>4922.6</v>
      </c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1.25" customHeight="1">
      <c r="A15" s="140"/>
      <c r="B15" s="171" t="s">
        <v>100</v>
      </c>
      <c r="C15" s="172">
        <v>915.93</v>
      </c>
      <c r="D15" s="172">
        <v>6.84</v>
      </c>
      <c r="E15" s="172">
        <v>126.87</v>
      </c>
      <c r="F15" s="172">
        <v>548.17</v>
      </c>
      <c r="G15" s="172">
        <v>815.93</v>
      </c>
      <c r="H15" s="173">
        <v>4005.08</v>
      </c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1.25" customHeight="1">
      <c r="A16" s="140"/>
      <c r="B16" s="171" t="s">
        <v>101</v>
      </c>
      <c r="C16" s="172">
        <v>932.97</v>
      </c>
      <c r="D16" s="172">
        <v>1.86</v>
      </c>
      <c r="E16" s="172">
        <v>60.44</v>
      </c>
      <c r="F16" s="172">
        <v>370.67</v>
      </c>
      <c r="G16" s="172">
        <v>832.97</v>
      </c>
      <c r="H16" s="173">
        <v>3044.89</v>
      </c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1.25" customHeight="1">
      <c r="A17" s="140"/>
      <c r="B17" s="171" t="s">
        <v>102</v>
      </c>
      <c r="C17" s="172">
        <v>947.24</v>
      </c>
      <c r="D17" s="172">
        <v>1.53</v>
      </c>
      <c r="E17" s="172">
        <v>10.49</v>
      </c>
      <c r="F17" s="172">
        <v>234.76</v>
      </c>
      <c r="G17" s="172">
        <v>847.24</v>
      </c>
      <c r="H17" s="173">
        <v>2253.15</v>
      </c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1.25" customHeight="1">
      <c r="A18" s="140"/>
      <c r="B18" s="171" t="s">
        <v>103</v>
      </c>
      <c r="C18" s="172">
        <v>972.06</v>
      </c>
      <c r="D18" s="172">
        <v>2.62</v>
      </c>
      <c r="E18" s="172">
        <v>6.13</v>
      </c>
      <c r="F18" s="172">
        <v>140.77</v>
      </c>
      <c r="G18" s="172">
        <v>872.06</v>
      </c>
      <c r="H18" s="173">
        <v>1703.17</v>
      </c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1.25" customHeight="1">
      <c r="A19" s="140"/>
      <c r="B19" s="171" t="s">
        <v>104</v>
      </c>
      <c r="C19" s="172">
        <v>999.37</v>
      </c>
      <c r="D19" s="172">
        <v>2.81</v>
      </c>
      <c r="E19" s="172">
        <v>7.12</v>
      </c>
      <c r="F19" s="172">
        <v>71.86</v>
      </c>
      <c r="G19" s="172">
        <v>899.37</v>
      </c>
      <c r="H19" s="173">
        <v>1267.54</v>
      </c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1.25" customHeight="1">
      <c r="A20" s="174"/>
      <c r="B20" s="171" t="s">
        <v>105</v>
      </c>
      <c r="C20" s="172">
        <v>1016.46</v>
      </c>
      <c r="D20" s="172">
        <v>1.71</v>
      </c>
      <c r="E20" s="172">
        <v>7.31</v>
      </c>
      <c r="F20" s="172">
        <v>18.57</v>
      </c>
      <c r="G20" s="172">
        <v>916.46</v>
      </c>
      <c r="H20" s="173">
        <v>916.46</v>
      </c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6.75" customHeight="1">
      <c r="A21" s="166"/>
      <c r="B21" s="166"/>
      <c r="C21" s="175"/>
      <c r="D21" s="176"/>
      <c r="E21" s="177"/>
      <c r="F21" s="177"/>
      <c r="G21" s="177"/>
      <c r="H21" s="178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1.25" customHeight="1">
      <c r="A22" s="168">
        <v>1995.0</v>
      </c>
      <c r="B22" s="171" t="s">
        <v>94</v>
      </c>
      <c r="C22" s="172">
        <v>1033.74</v>
      </c>
      <c r="D22" s="172">
        <v>1.7</v>
      </c>
      <c r="E22" s="172">
        <v>6.35</v>
      </c>
      <c r="F22" s="172">
        <v>12.86</v>
      </c>
      <c r="G22" s="172">
        <v>1.7</v>
      </c>
      <c r="H22" s="173">
        <v>631.54</v>
      </c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1.25" customHeight="1">
      <c r="A23" s="140"/>
      <c r="B23" s="171" t="s">
        <v>95</v>
      </c>
      <c r="C23" s="172">
        <v>1044.28</v>
      </c>
      <c r="D23" s="172">
        <v>1.02</v>
      </c>
      <c r="E23" s="172">
        <v>4.49</v>
      </c>
      <c r="F23" s="172">
        <v>11.93</v>
      </c>
      <c r="G23" s="172">
        <v>2.74</v>
      </c>
      <c r="H23" s="173">
        <v>426.83</v>
      </c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1.25" customHeight="1">
      <c r="A24" s="140"/>
      <c r="B24" s="171" t="s">
        <v>96</v>
      </c>
      <c r="C24" s="172">
        <v>1060.47</v>
      </c>
      <c r="D24" s="172">
        <v>1.55</v>
      </c>
      <c r="E24" s="172">
        <v>4.33</v>
      </c>
      <c r="F24" s="172">
        <v>11.95</v>
      </c>
      <c r="G24" s="172">
        <v>4.33</v>
      </c>
      <c r="H24" s="173">
        <v>274.78</v>
      </c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1.25" customHeight="1">
      <c r="A25" s="140"/>
      <c r="B25" s="171" t="s">
        <v>97</v>
      </c>
      <c r="C25" s="172">
        <v>1086.24</v>
      </c>
      <c r="D25" s="172">
        <v>2.43</v>
      </c>
      <c r="E25" s="172">
        <v>5.08</v>
      </c>
      <c r="F25" s="172">
        <v>11.75</v>
      </c>
      <c r="G25" s="172">
        <v>6.87</v>
      </c>
      <c r="H25" s="173">
        <v>169.05</v>
      </c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1.25" customHeight="1">
      <c r="A26" s="140"/>
      <c r="B26" s="171" t="s">
        <v>98</v>
      </c>
      <c r="C26" s="172">
        <v>1115.24</v>
      </c>
      <c r="D26" s="172">
        <v>2.67</v>
      </c>
      <c r="E26" s="172">
        <v>6.8</v>
      </c>
      <c r="F26" s="172">
        <v>11.59</v>
      </c>
      <c r="G26" s="172">
        <v>9.72</v>
      </c>
      <c r="H26" s="173">
        <v>91.79</v>
      </c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1.25" customHeight="1">
      <c r="A27" s="140"/>
      <c r="B27" s="171" t="s">
        <v>99</v>
      </c>
      <c r="C27" s="172">
        <v>1140.44</v>
      </c>
      <c r="D27" s="172">
        <v>2.26</v>
      </c>
      <c r="E27" s="172">
        <v>7.54</v>
      </c>
      <c r="F27" s="172">
        <v>12.2</v>
      </c>
      <c r="G27" s="172">
        <v>12.2</v>
      </c>
      <c r="H27" s="173">
        <v>33.03</v>
      </c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1.25" customHeight="1">
      <c r="A28" s="140"/>
      <c r="B28" s="171" t="s">
        <v>100</v>
      </c>
      <c r="C28" s="172">
        <v>1167.35</v>
      </c>
      <c r="D28" s="172">
        <v>2.36</v>
      </c>
      <c r="E28" s="172">
        <v>7.47</v>
      </c>
      <c r="F28" s="172">
        <v>12.92</v>
      </c>
      <c r="G28" s="172">
        <v>14.84</v>
      </c>
      <c r="H28" s="173">
        <v>27.45</v>
      </c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1.25" customHeight="1">
      <c r="A29" s="140"/>
      <c r="B29" s="171" t="s">
        <v>101</v>
      </c>
      <c r="C29" s="172">
        <v>1178.91</v>
      </c>
      <c r="D29" s="172">
        <v>0.99</v>
      </c>
      <c r="E29" s="172">
        <v>5.71</v>
      </c>
      <c r="F29" s="172">
        <v>12.89</v>
      </c>
      <c r="G29" s="172">
        <v>15.98</v>
      </c>
      <c r="H29" s="173">
        <v>26.36</v>
      </c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1.25" customHeight="1">
      <c r="A30" s="140"/>
      <c r="B30" s="171" t="s">
        <v>102</v>
      </c>
      <c r="C30" s="172">
        <v>1190.58</v>
      </c>
      <c r="D30" s="172">
        <v>0.99</v>
      </c>
      <c r="E30" s="172">
        <v>4.4</v>
      </c>
      <c r="F30" s="172">
        <v>12.27</v>
      </c>
      <c r="G30" s="172">
        <v>17.13</v>
      </c>
      <c r="H30" s="173">
        <v>25.69</v>
      </c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1.25" customHeight="1">
      <c r="A31" s="140"/>
      <c r="B31" s="171" t="s">
        <v>103</v>
      </c>
      <c r="C31" s="172">
        <v>1207.37</v>
      </c>
      <c r="D31" s="172">
        <v>1.41</v>
      </c>
      <c r="E31" s="172">
        <v>3.43</v>
      </c>
      <c r="F31" s="172">
        <v>11.15</v>
      </c>
      <c r="G31" s="172">
        <v>18.78</v>
      </c>
      <c r="H31" s="173">
        <v>24.21</v>
      </c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1.25" customHeight="1">
      <c r="A32" s="140"/>
      <c r="B32" s="171" t="s">
        <v>104</v>
      </c>
      <c r="C32" s="172">
        <v>1225.12</v>
      </c>
      <c r="D32" s="172">
        <v>1.47</v>
      </c>
      <c r="E32" s="172">
        <v>3.92</v>
      </c>
      <c r="F32" s="172">
        <v>9.85</v>
      </c>
      <c r="G32" s="172">
        <v>20.53</v>
      </c>
      <c r="H32" s="173">
        <v>22.59</v>
      </c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1.25" customHeight="1">
      <c r="A33" s="174"/>
      <c r="B33" s="179" t="s">
        <v>105</v>
      </c>
      <c r="C33" s="180">
        <v>1244.23</v>
      </c>
      <c r="D33" s="180">
        <v>1.56</v>
      </c>
      <c r="E33" s="180">
        <v>4.51</v>
      </c>
      <c r="F33" s="180">
        <v>9.1</v>
      </c>
      <c r="G33" s="180">
        <v>22.41</v>
      </c>
      <c r="H33" s="181">
        <v>22.41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6.75" customHeight="1">
      <c r="A34" s="166"/>
      <c r="B34" s="166"/>
      <c r="C34" s="175"/>
      <c r="D34" s="176"/>
      <c r="E34" s="177"/>
      <c r="F34" s="177"/>
      <c r="G34" s="177"/>
      <c r="H34" s="178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1.25" customHeight="1">
      <c r="A35" s="168">
        <v>1996.0</v>
      </c>
      <c r="B35" s="171" t="s">
        <v>94</v>
      </c>
      <c r="C35" s="172">
        <v>1260.9</v>
      </c>
      <c r="D35" s="183">
        <v>1.34</v>
      </c>
      <c r="E35" s="172">
        <v>4.43</v>
      </c>
      <c r="F35" s="183">
        <v>8.01</v>
      </c>
      <c r="G35" s="183">
        <v>1.34</v>
      </c>
      <c r="H35" s="173">
        <v>21.97</v>
      </c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1.25" customHeight="1">
      <c r="A36" s="140"/>
      <c r="B36" s="171" t="s">
        <v>95</v>
      </c>
      <c r="C36" s="172">
        <v>1273.89</v>
      </c>
      <c r="D36" s="183">
        <v>1.03</v>
      </c>
      <c r="E36" s="172">
        <v>3.98</v>
      </c>
      <c r="F36" s="183">
        <v>8.06</v>
      </c>
      <c r="G36" s="183">
        <v>2.38</v>
      </c>
      <c r="H36" s="173">
        <v>21.99</v>
      </c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1.25" customHeight="1">
      <c r="A37" s="140"/>
      <c r="B37" s="171" t="s">
        <v>96</v>
      </c>
      <c r="C37" s="172">
        <v>1278.35</v>
      </c>
      <c r="D37" s="183">
        <v>0.35</v>
      </c>
      <c r="E37" s="172">
        <v>2.74</v>
      </c>
      <c r="F37" s="183">
        <v>7.37</v>
      </c>
      <c r="G37" s="183">
        <v>2.74</v>
      </c>
      <c r="H37" s="173">
        <v>20.55</v>
      </c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1.25" customHeight="1">
      <c r="A38" s="140"/>
      <c r="B38" s="171" t="s">
        <v>97</v>
      </c>
      <c r="C38" s="172">
        <v>1294.46</v>
      </c>
      <c r="D38" s="183">
        <v>1.26</v>
      </c>
      <c r="E38" s="172">
        <v>2.66</v>
      </c>
      <c r="F38" s="183">
        <v>7.21</v>
      </c>
      <c r="G38" s="183">
        <v>4.04</v>
      </c>
      <c r="H38" s="173">
        <v>19.17</v>
      </c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1.25" customHeight="1">
      <c r="A39" s="140"/>
      <c r="B39" s="171" t="s">
        <v>98</v>
      </c>
      <c r="C39" s="172">
        <v>1310.25</v>
      </c>
      <c r="D39" s="183">
        <v>1.22</v>
      </c>
      <c r="E39" s="172">
        <v>2.85</v>
      </c>
      <c r="F39" s="172">
        <v>6.95</v>
      </c>
      <c r="G39" s="172">
        <v>5.31</v>
      </c>
      <c r="H39" s="173">
        <v>17.49</v>
      </c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1.25" customHeight="1">
      <c r="A40" s="140"/>
      <c r="B40" s="171" t="s">
        <v>99</v>
      </c>
      <c r="C40" s="172">
        <v>1325.84</v>
      </c>
      <c r="D40" s="183">
        <v>1.19</v>
      </c>
      <c r="E40" s="172">
        <v>3.71</v>
      </c>
      <c r="F40" s="172">
        <v>6.56</v>
      </c>
      <c r="G40" s="172">
        <v>6.56</v>
      </c>
      <c r="H40" s="173">
        <v>16.26</v>
      </c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1.25" customHeight="1">
      <c r="A41" s="140"/>
      <c r="B41" s="171" t="s">
        <v>100</v>
      </c>
      <c r="C41" s="172">
        <v>1340.56</v>
      </c>
      <c r="D41" s="183">
        <v>1.11</v>
      </c>
      <c r="E41" s="172">
        <v>3.56</v>
      </c>
      <c r="F41" s="172">
        <v>6.32</v>
      </c>
      <c r="G41" s="172">
        <v>7.74</v>
      </c>
      <c r="H41" s="173">
        <v>14.84</v>
      </c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1.25" customHeight="1">
      <c r="A42" s="140"/>
      <c r="B42" s="171" t="s">
        <v>101</v>
      </c>
      <c r="C42" s="172">
        <v>1346.46</v>
      </c>
      <c r="D42" s="183">
        <v>0.44</v>
      </c>
      <c r="E42" s="172">
        <v>2.76</v>
      </c>
      <c r="F42" s="172">
        <v>5.7</v>
      </c>
      <c r="G42" s="172">
        <v>8.22</v>
      </c>
      <c r="H42" s="173">
        <v>14.21</v>
      </c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1.25" customHeight="1">
      <c r="A43" s="140"/>
      <c r="B43" s="171" t="s">
        <v>102</v>
      </c>
      <c r="C43" s="172">
        <v>1348.48</v>
      </c>
      <c r="D43" s="183">
        <v>0.15</v>
      </c>
      <c r="E43" s="172">
        <v>1.71</v>
      </c>
      <c r="F43" s="172">
        <v>5.49</v>
      </c>
      <c r="G43" s="172">
        <v>8.38</v>
      </c>
      <c r="H43" s="173">
        <v>13.26</v>
      </c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1.25" customHeight="1">
      <c r="A44" s="140"/>
      <c r="B44" s="171" t="s">
        <v>103</v>
      </c>
      <c r="C44" s="172">
        <v>1352.53</v>
      </c>
      <c r="D44" s="172">
        <v>0.3</v>
      </c>
      <c r="E44" s="172">
        <v>0.89</v>
      </c>
      <c r="F44" s="172">
        <v>4.49</v>
      </c>
      <c r="G44" s="172">
        <v>8.7</v>
      </c>
      <c r="H44" s="173">
        <v>12.02</v>
      </c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1.25" customHeight="1">
      <c r="A45" s="140"/>
      <c r="B45" s="171" t="s">
        <v>104</v>
      </c>
      <c r="C45" s="172">
        <v>1356.86</v>
      </c>
      <c r="D45" s="183">
        <v>0.32</v>
      </c>
      <c r="E45" s="172">
        <v>0.77</v>
      </c>
      <c r="F45" s="183">
        <v>3.56</v>
      </c>
      <c r="G45" s="183">
        <v>9.05</v>
      </c>
      <c r="H45" s="173">
        <v>10.75</v>
      </c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1.25" customHeight="1">
      <c r="A46" s="174"/>
      <c r="B46" s="179" t="s">
        <v>105</v>
      </c>
      <c r="C46" s="180">
        <v>1363.24</v>
      </c>
      <c r="D46" s="193">
        <v>0.47</v>
      </c>
      <c r="E46" s="180">
        <v>1.09</v>
      </c>
      <c r="F46" s="180">
        <v>2.82</v>
      </c>
      <c r="G46" s="180">
        <v>9.56</v>
      </c>
      <c r="H46" s="181">
        <v>9.56</v>
      </c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6.75" customHeight="1">
      <c r="A47" s="166"/>
      <c r="B47" s="166"/>
      <c r="C47" s="175"/>
      <c r="D47" s="176"/>
      <c r="E47" s="177"/>
      <c r="F47" s="177"/>
      <c r="G47" s="177"/>
      <c r="H47" s="178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1.25" customHeight="1">
      <c r="A48" s="168">
        <v>1997.0</v>
      </c>
      <c r="B48" s="171" t="s">
        <v>94</v>
      </c>
      <c r="C48" s="172">
        <v>1379.33</v>
      </c>
      <c r="D48" s="183">
        <v>1.18</v>
      </c>
      <c r="E48" s="172">
        <v>1.98</v>
      </c>
      <c r="F48" s="172">
        <v>2.89</v>
      </c>
      <c r="G48" s="172">
        <v>1.18</v>
      </c>
      <c r="H48" s="173">
        <v>9.39</v>
      </c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1.25" customHeight="1">
      <c r="A49" s="140"/>
      <c r="B49" s="171" t="s">
        <v>95</v>
      </c>
      <c r="C49" s="172">
        <v>1386.23</v>
      </c>
      <c r="D49" s="172">
        <v>0.5</v>
      </c>
      <c r="E49" s="172">
        <v>2.16</v>
      </c>
      <c r="F49" s="172">
        <v>2.95</v>
      </c>
      <c r="G49" s="172">
        <v>1.69</v>
      </c>
      <c r="H49" s="173">
        <v>8.82</v>
      </c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11.25" customHeight="1">
      <c r="A50" s="140"/>
      <c r="B50" s="171" t="s">
        <v>96</v>
      </c>
      <c r="C50" s="172">
        <v>1393.3</v>
      </c>
      <c r="D50" s="183">
        <v>0.51</v>
      </c>
      <c r="E50" s="172">
        <v>2.21</v>
      </c>
      <c r="F50" s="172">
        <v>3.32</v>
      </c>
      <c r="G50" s="172">
        <v>2.21</v>
      </c>
      <c r="H50" s="173">
        <v>8.99</v>
      </c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1.25" customHeight="1">
      <c r="A51" s="140"/>
      <c r="B51" s="171" t="s">
        <v>97</v>
      </c>
      <c r="C51" s="172">
        <v>1405.56</v>
      </c>
      <c r="D51" s="183">
        <v>0.88</v>
      </c>
      <c r="E51" s="172">
        <v>1.9</v>
      </c>
      <c r="F51" s="172">
        <v>3.92</v>
      </c>
      <c r="G51" s="172">
        <v>3.1</v>
      </c>
      <c r="H51" s="173">
        <v>8.58</v>
      </c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1.25" customHeight="1">
      <c r="A52" s="140"/>
      <c r="B52" s="171" t="s">
        <v>98</v>
      </c>
      <c r="C52" s="172">
        <v>1411.32</v>
      </c>
      <c r="D52" s="183">
        <v>0.41</v>
      </c>
      <c r="E52" s="172">
        <v>1.81</v>
      </c>
      <c r="F52" s="172">
        <v>4.01</v>
      </c>
      <c r="G52" s="172">
        <v>3.53</v>
      </c>
      <c r="H52" s="173">
        <v>7.71</v>
      </c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1.25" customHeight="1">
      <c r="A53" s="140"/>
      <c r="B53" s="171" t="s">
        <v>99</v>
      </c>
      <c r="C53" s="172">
        <v>1418.94</v>
      </c>
      <c r="D53" s="183">
        <v>0.54</v>
      </c>
      <c r="E53" s="172">
        <v>1.84</v>
      </c>
      <c r="F53" s="172">
        <v>4.09</v>
      </c>
      <c r="G53" s="172">
        <v>4.09</v>
      </c>
      <c r="H53" s="173">
        <v>7.02</v>
      </c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1.25" customHeight="1">
      <c r="A54" s="140"/>
      <c r="B54" s="171" t="s">
        <v>100</v>
      </c>
      <c r="C54" s="172">
        <v>1422.06</v>
      </c>
      <c r="D54" s="183">
        <v>0.22</v>
      </c>
      <c r="E54" s="172">
        <v>1.17</v>
      </c>
      <c r="F54" s="172">
        <v>3.1</v>
      </c>
      <c r="G54" s="172">
        <v>4.31</v>
      </c>
      <c r="H54" s="173">
        <v>6.08</v>
      </c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1.25" customHeight="1">
      <c r="A55" s="140"/>
      <c r="B55" s="171" t="s">
        <v>101</v>
      </c>
      <c r="C55" s="172">
        <v>1421.78</v>
      </c>
      <c r="D55" s="183">
        <v>-0.02</v>
      </c>
      <c r="E55" s="172">
        <v>0.74</v>
      </c>
      <c r="F55" s="172">
        <v>2.56</v>
      </c>
      <c r="G55" s="172">
        <v>4.29</v>
      </c>
      <c r="H55" s="173">
        <v>5.59</v>
      </c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11.25" customHeight="1">
      <c r="A56" s="140"/>
      <c r="B56" s="171" t="s">
        <v>102</v>
      </c>
      <c r="C56" s="172">
        <v>1422.63</v>
      </c>
      <c r="D56" s="183">
        <v>0.06</v>
      </c>
      <c r="E56" s="172">
        <v>0.26</v>
      </c>
      <c r="F56" s="172">
        <v>2.11</v>
      </c>
      <c r="G56" s="172">
        <v>4.36</v>
      </c>
      <c r="H56" s="173">
        <v>5.5</v>
      </c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11.25" customHeight="1">
      <c r="A57" s="140"/>
      <c r="B57" s="171" t="s">
        <v>103</v>
      </c>
      <c r="C57" s="172">
        <v>1425.9</v>
      </c>
      <c r="D57" s="172">
        <v>0.23</v>
      </c>
      <c r="E57" s="172">
        <v>0.27</v>
      </c>
      <c r="F57" s="172">
        <v>1.45</v>
      </c>
      <c r="G57" s="172">
        <v>4.6</v>
      </c>
      <c r="H57" s="173">
        <v>5.42</v>
      </c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11.25" customHeight="1">
      <c r="A58" s="140"/>
      <c r="B58" s="171" t="s">
        <v>104</v>
      </c>
      <c r="C58" s="172">
        <v>1428.32</v>
      </c>
      <c r="D58" s="183">
        <v>0.17</v>
      </c>
      <c r="E58" s="172">
        <v>0.46</v>
      </c>
      <c r="F58" s="172">
        <v>1.2</v>
      </c>
      <c r="G58" s="172">
        <v>4.77</v>
      </c>
      <c r="H58" s="173">
        <v>5.27</v>
      </c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11.25" customHeight="1">
      <c r="A59" s="174"/>
      <c r="B59" s="179" t="s">
        <v>105</v>
      </c>
      <c r="C59" s="180">
        <v>1434.46</v>
      </c>
      <c r="D59" s="193">
        <v>0.43</v>
      </c>
      <c r="E59" s="180">
        <v>0.83</v>
      </c>
      <c r="F59" s="180">
        <v>1.09</v>
      </c>
      <c r="G59" s="180">
        <v>5.22</v>
      </c>
      <c r="H59" s="181">
        <v>5.22</v>
      </c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6.75" customHeight="1">
      <c r="A60" s="166"/>
      <c r="B60" s="166"/>
      <c r="C60" s="175"/>
      <c r="D60" s="176"/>
      <c r="E60" s="177"/>
      <c r="F60" s="177"/>
      <c r="G60" s="177"/>
      <c r="H60" s="178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11.25" customHeight="1">
      <c r="A61" s="168">
        <v>1998.0</v>
      </c>
      <c r="B61" s="171" t="s">
        <v>94</v>
      </c>
      <c r="C61" s="172">
        <v>1444.64</v>
      </c>
      <c r="D61" s="172">
        <v>0.71</v>
      </c>
      <c r="E61" s="172">
        <v>1.31</v>
      </c>
      <c r="F61" s="172">
        <v>1.59</v>
      </c>
      <c r="G61" s="172">
        <v>0.71</v>
      </c>
      <c r="H61" s="173">
        <v>4.73</v>
      </c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11.25" customHeight="1">
      <c r="A62" s="140"/>
      <c r="B62" s="171" t="s">
        <v>95</v>
      </c>
      <c r="C62" s="172">
        <v>1451.29</v>
      </c>
      <c r="D62" s="172">
        <v>0.46</v>
      </c>
      <c r="E62" s="172">
        <v>1.61</v>
      </c>
      <c r="F62" s="172">
        <v>2.08</v>
      </c>
      <c r="G62" s="172">
        <v>1.17</v>
      </c>
      <c r="H62" s="173">
        <v>4.69</v>
      </c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1.25" customHeight="1">
      <c r="A63" s="140"/>
      <c r="B63" s="171" t="s">
        <v>96</v>
      </c>
      <c r="C63" s="172">
        <v>1456.22</v>
      </c>
      <c r="D63" s="172">
        <v>0.34</v>
      </c>
      <c r="E63" s="172">
        <v>1.52</v>
      </c>
      <c r="F63" s="172">
        <v>2.36</v>
      </c>
      <c r="G63" s="172">
        <v>1.52</v>
      </c>
      <c r="H63" s="173">
        <v>4.52</v>
      </c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11.25" customHeight="1">
      <c r="A64" s="140"/>
      <c r="B64" s="171" t="s">
        <v>97</v>
      </c>
      <c r="C64" s="172">
        <v>1459.71</v>
      </c>
      <c r="D64" s="172">
        <v>0.24</v>
      </c>
      <c r="E64" s="172">
        <v>1.04</v>
      </c>
      <c r="F64" s="172">
        <v>2.37</v>
      </c>
      <c r="G64" s="172">
        <v>1.76</v>
      </c>
      <c r="H64" s="173">
        <v>3.85</v>
      </c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11.25" customHeight="1">
      <c r="A65" s="140"/>
      <c r="B65" s="171" t="s">
        <v>98</v>
      </c>
      <c r="C65" s="172">
        <v>1467.01</v>
      </c>
      <c r="D65" s="172">
        <v>0.5</v>
      </c>
      <c r="E65" s="172">
        <v>1.08</v>
      </c>
      <c r="F65" s="172">
        <v>2.71</v>
      </c>
      <c r="G65" s="172">
        <v>2.27</v>
      </c>
      <c r="H65" s="173">
        <v>3.95</v>
      </c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11.25" customHeight="1">
      <c r="A66" s="140"/>
      <c r="B66" s="171" t="s">
        <v>99</v>
      </c>
      <c r="C66" s="172">
        <v>1467.3</v>
      </c>
      <c r="D66" s="172">
        <v>0.02</v>
      </c>
      <c r="E66" s="172">
        <v>0.76</v>
      </c>
      <c r="F66" s="172">
        <v>2.29</v>
      </c>
      <c r="G66" s="172">
        <v>2.29</v>
      </c>
      <c r="H66" s="173">
        <v>3.41</v>
      </c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11.25" customHeight="1">
      <c r="A67" s="140"/>
      <c r="B67" s="171" t="s">
        <v>100</v>
      </c>
      <c r="C67" s="172">
        <v>1465.54</v>
      </c>
      <c r="D67" s="172">
        <v>-0.12</v>
      </c>
      <c r="E67" s="172">
        <v>0.4</v>
      </c>
      <c r="F67" s="172">
        <v>1.45</v>
      </c>
      <c r="G67" s="172">
        <v>2.17</v>
      </c>
      <c r="H67" s="173">
        <v>3.06</v>
      </c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1.25" customHeight="1">
      <c r="A68" s="140"/>
      <c r="B68" s="171" t="s">
        <v>101</v>
      </c>
      <c r="C68" s="172">
        <v>1458.07</v>
      </c>
      <c r="D68" s="172">
        <v>-0.51</v>
      </c>
      <c r="E68" s="172">
        <v>-0.61</v>
      </c>
      <c r="F68" s="172">
        <v>0.47</v>
      </c>
      <c r="G68" s="172">
        <v>1.65</v>
      </c>
      <c r="H68" s="173">
        <v>2.55</v>
      </c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11.25" customHeight="1">
      <c r="A69" s="174"/>
      <c r="B69" s="179" t="s">
        <v>102</v>
      </c>
      <c r="C69" s="180">
        <v>1454.86</v>
      </c>
      <c r="D69" s="180">
        <v>-0.22</v>
      </c>
      <c r="E69" s="180">
        <v>-0.85</v>
      </c>
      <c r="F69" s="180">
        <v>-0.09</v>
      </c>
      <c r="G69" s="172">
        <v>1.42</v>
      </c>
      <c r="H69" s="173">
        <v>2.27</v>
      </c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11.25" customHeight="1">
      <c r="A70" s="174"/>
      <c r="B70" s="179" t="s">
        <v>103</v>
      </c>
      <c r="C70" s="180">
        <v>1455.15</v>
      </c>
      <c r="D70" s="180">
        <v>0.02</v>
      </c>
      <c r="E70" s="180">
        <v>-0.71</v>
      </c>
      <c r="F70" s="180">
        <v>-0.31</v>
      </c>
      <c r="G70" s="172">
        <v>1.44</v>
      </c>
      <c r="H70" s="173">
        <v>2.05</v>
      </c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11.25" customHeight="1">
      <c r="A71" s="140"/>
      <c r="B71" s="171" t="s">
        <v>104</v>
      </c>
      <c r="C71" s="172">
        <v>1453.4</v>
      </c>
      <c r="D71" s="184">
        <v>-0.12</v>
      </c>
      <c r="E71" s="180">
        <v>-0.32</v>
      </c>
      <c r="F71" s="180">
        <v>-0.93</v>
      </c>
      <c r="G71" s="172">
        <v>1.32</v>
      </c>
      <c r="H71" s="173">
        <v>1.76</v>
      </c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11.25" customHeight="1">
      <c r="A72" s="185"/>
      <c r="B72" s="186" t="s">
        <v>105</v>
      </c>
      <c r="C72" s="187">
        <v>1458.2</v>
      </c>
      <c r="D72" s="187">
        <v>0.33</v>
      </c>
      <c r="E72" s="187">
        <v>0.23</v>
      </c>
      <c r="F72" s="187">
        <v>-0.62</v>
      </c>
      <c r="G72" s="187">
        <v>1.65</v>
      </c>
      <c r="H72" s="188">
        <v>1.65</v>
      </c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6.75" customHeight="1">
      <c r="A73" s="140"/>
      <c r="B73" s="189"/>
      <c r="C73" s="190"/>
      <c r="D73" s="190"/>
      <c r="E73" s="190"/>
      <c r="F73" s="190"/>
      <c r="G73" s="190"/>
      <c r="H73" s="181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6.75" customHeight="1">
      <c r="A74" s="191" t="s">
        <v>106</v>
      </c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6.5" customHeight="1">
      <c r="A75" s="143" t="s">
        <v>110</v>
      </c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1.25" customHeight="1">
      <c r="A76" s="145"/>
      <c r="B76" s="145"/>
      <c r="C76" s="146"/>
      <c r="D76" s="145"/>
      <c r="E76" s="145"/>
      <c r="F76" s="145"/>
      <c r="G76" s="145"/>
      <c r="H76" s="147" t="s">
        <v>107</v>
      </c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11.25" customHeight="1">
      <c r="A77" s="148"/>
      <c r="B77" s="148"/>
      <c r="C77" s="149"/>
      <c r="D77" s="150"/>
      <c r="E77" s="151"/>
      <c r="F77" s="151" t="s">
        <v>86</v>
      </c>
      <c r="G77" s="151"/>
      <c r="H77" s="152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11.25" customHeight="1">
      <c r="A78" s="154" t="s">
        <v>87</v>
      </c>
      <c r="B78" s="155" t="s">
        <v>88</v>
      </c>
      <c r="C78" s="156" t="s">
        <v>89</v>
      </c>
      <c r="D78" s="157" t="s">
        <v>90</v>
      </c>
      <c r="E78" s="90"/>
      <c r="F78" s="90"/>
      <c r="G78" s="90"/>
      <c r="H78" s="90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13.5" customHeight="1">
      <c r="A79" s="154"/>
      <c r="B79" s="155"/>
      <c r="C79" s="158" t="s">
        <v>91</v>
      </c>
      <c r="D79" s="159" t="s">
        <v>92</v>
      </c>
      <c r="E79" s="159">
        <v>3.0</v>
      </c>
      <c r="F79" s="159">
        <v>6.0</v>
      </c>
      <c r="G79" s="159" t="s">
        <v>92</v>
      </c>
      <c r="H79" s="160">
        <v>12.0</v>
      </c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14.25" customHeight="1">
      <c r="A80" s="161"/>
      <c r="B80" s="161"/>
      <c r="C80" s="162"/>
      <c r="D80" s="163" t="s">
        <v>88</v>
      </c>
      <c r="E80" s="164" t="s">
        <v>93</v>
      </c>
      <c r="F80" s="164" t="s">
        <v>93</v>
      </c>
      <c r="G80" s="164" t="s">
        <v>87</v>
      </c>
      <c r="H80" s="165" t="s">
        <v>93</v>
      </c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6.75" customHeight="1">
      <c r="A81" s="166"/>
      <c r="B81" s="166"/>
      <c r="C81" s="167"/>
      <c r="D81" s="168"/>
      <c r="E81" s="169"/>
      <c r="F81" s="169"/>
      <c r="G81" s="169"/>
      <c r="H81" s="17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1.25" customHeight="1">
      <c r="A82" s="168">
        <v>1999.0</v>
      </c>
      <c r="B82" s="171" t="s">
        <v>94</v>
      </c>
      <c r="C82" s="172">
        <v>1468.41</v>
      </c>
      <c r="D82" s="184">
        <v>0.7</v>
      </c>
      <c r="E82" s="180">
        <v>0.91</v>
      </c>
      <c r="F82" s="180">
        <v>0.2</v>
      </c>
      <c r="G82" s="180">
        <v>0.7</v>
      </c>
      <c r="H82" s="181">
        <v>1.65</v>
      </c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11.25" customHeight="1">
      <c r="A83" s="140"/>
      <c r="B83" s="171" t="s">
        <v>95</v>
      </c>
      <c r="C83" s="172">
        <v>1483.83</v>
      </c>
      <c r="D83" s="172">
        <v>1.05</v>
      </c>
      <c r="E83" s="172">
        <v>2.09</v>
      </c>
      <c r="F83" s="172">
        <v>1.77</v>
      </c>
      <c r="G83" s="172">
        <v>1.76</v>
      </c>
      <c r="H83" s="173">
        <v>2.24</v>
      </c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11.25" customHeight="1">
      <c r="A84" s="140"/>
      <c r="B84" s="171" t="s">
        <v>96</v>
      </c>
      <c r="C84" s="172">
        <v>1500.15</v>
      </c>
      <c r="D84" s="172">
        <v>1.1</v>
      </c>
      <c r="E84" s="172">
        <v>2.88</v>
      </c>
      <c r="F84" s="172">
        <v>3.11</v>
      </c>
      <c r="G84" s="172">
        <v>2.88</v>
      </c>
      <c r="H84" s="173">
        <v>3.02</v>
      </c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11.25" customHeight="1">
      <c r="A85" s="140"/>
      <c r="B85" s="171" t="s">
        <v>97</v>
      </c>
      <c r="C85" s="172">
        <v>1508.55</v>
      </c>
      <c r="D85" s="172">
        <v>0.56</v>
      </c>
      <c r="E85" s="172">
        <v>2.73</v>
      </c>
      <c r="F85" s="172">
        <v>3.67</v>
      </c>
      <c r="G85" s="172">
        <v>3.45</v>
      </c>
      <c r="H85" s="173">
        <v>3.35</v>
      </c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11.25" customHeight="1">
      <c r="A86" s="140"/>
      <c r="B86" s="171" t="s">
        <v>98</v>
      </c>
      <c r="C86" s="172">
        <v>1513.08</v>
      </c>
      <c r="D86" s="172">
        <v>0.3</v>
      </c>
      <c r="E86" s="172">
        <v>1.97</v>
      </c>
      <c r="F86" s="172">
        <v>4.11</v>
      </c>
      <c r="G86" s="172">
        <v>3.76</v>
      </c>
      <c r="H86" s="173">
        <v>3.14</v>
      </c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11.25" customHeight="1">
      <c r="A87" s="140"/>
      <c r="B87" s="171" t="s">
        <v>99</v>
      </c>
      <c r="C87" s="172">
        <v>1515.95</v>
      </c>
      <c r="D87" s="172">
        <v>0.19</v>
      </c>
      <c r="E87" s="172">
        <v>1.05</v>
      </c>
      <c r="F87" s="172">
        <v>3.96</v>
      </c>
      <c r="G87" s="172">
        <v>3.96</v>
      </c>
      <c r="H87" s="173">
        <v>3.32</v>
      </c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11.25" customHeight="1">
      <c r="A88" s="140"/>
      <c r="B88" s="171" t="s">
        <v>100</v>
      </c>
      <c r="C88" s="172">
        <v>1532.47</v>
      </c>
      <c r="D88" s="184">
        <v>1.09</v>
      </c>
      <c r="E88" s="180">
        <v>1.59</v>
      </c>
      <c r="F88" s="180">
        <v>4.36</v>
      </c>
      <c r="G88" s="180">
        <v>5.09</v>
      </c>
      <c r="H88" s="181">
        <v>4.57</v>
      </c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11.25" customHeight="1">
      <c r="A89" s="140"/>
      <c r="B89" s="171" t="s">
        <v>101</v>
      </c>
      <c r="C89" s="172">
        <v>1541.05</v>
      </c>
      <c r="D89" s="172">
        <v>0.56</v>
      </c>
      <c r="E89" s="172">
        <v>1.85</v>
      </c>
      <c r="F89" s="172">
        <v>3.86</v>
      </c>
      <c r="G89" s="172">
        <v>5.68</v>
      </c>
      <c r="H89" s="173">
        <v>5.69</v>
      </c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11.25" customHeight="1">
      <c r="A90" s="140"/>
      <c r="B90" s="192" t="s">
        <v>102</v>
      </c>
      <c r="C90" s="180">
        <v>1545.83</v>
      </c>
      <c r="D90" s="180">
        <v>0.31</v>
      </c>
      <c r="E90" s="180">
        <v>1.97</v>
      </c>
      <c r="F90" s="180">
        <v>3.05</v>
      </c>
      <c r="G90" s="180">
        <v>6.01</v>
      </c>
      <c r="H90" s="181">
        <v>6.25</v>
      </c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11.25" customHeight="1">
      <c r="A91" s="140"/>
      <c r="B91" s="171" t="s">
        <v>103</v>
      </c>
      <c r="C91" s="172">
        <v>1564.23</v>
      </c>
      <c r="D91" s="172">
        <v>1.19</v>
      </c>
      <c r="E91" s="172">
        <v>2.07</v>
      </c>
      <c r="F91" s="172">
        <v>3.69</v>
      </c>
      <c r="G91" s="172">
        <v>7.27</v>
      </c>
      <c r="H91" s="173">
        <v>7.5</v>
      </c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11.25" customHeight="1">
      <c r="A92" s="140"/>
      <c r="B92" s="171" t="s">
        <v>104</v>
      </c>
      <c r="C92" s="172">
        <v>1579.09</v>
      </c>
      <c r="D92" s="172">
        <v>0.95</v>
      </c>
      <c r="E92" s="172">
        <v>2.47</v>
      </c>
      <c r="F92" s="172">
        <v>4.36</v>
      </c>
      <c r="G92" s="172">
        <v>8.29</v>
      </c>
      <c r="H92" s="173">
        <v>8.65</v>
      </c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11.25" customHeight="1">
      <c r="A93" s="174"/>
      <c r="B93" s="179" t="s">
        <v>105</v>
      </c>
      <c r="C93" s="180">
        <v>1588.56</v>
      </c>
      <c r="D93" s="180">
        <v>0.6</v>
      </c>
      <c r="E93" s="180">
        <v>2.76</v>
      </c>
      <c r="F93" s="180">
        <v>4.79</v>
      </c>
      <c r="G93" s="180">
        <v>8.94</v>
      </c>
      <c r="H93" s="181">
        <v>8.94</v>
      </c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6.75" customHeight="1">
      <c r="A94" s="166"/>
      <c r="B94" s="166"/>
      <c r="C94" s="175"/>
      <c r="D94" s="176"/>
      <c r="E94" s="177"/>
      <c r="F94" s="177"/>
      <c r="G94" s="177"/>
      <c r="H94" s="178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11.25" customHeight="1">
      <c r="A95" s="168">
        <v>2000.0</v>
      </c>
      <c r="B95" s="171" t="s">
        <v>94</v>
      </c>
      <c r="C95" s="172">
        <v>1598.41</v>
      </c>
      <c r="D95" s="184">
        <v>0.62</v>
      </c>
      <c r="E95" s="180">
        <v>2.19</v>
      </c>
      <c r="F95" s="180">
        <v>4.3</v>
      </c>
      <c r="G95" s="180">
        <v>0.62</v>
      </c>
      <c r="H95" s="181">
        <v>8.85</v>
      </c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11.25" customHeight="1">
      <c r="A96" s="140"/>
      <c r="B96" s="171" t="s">
        <v>95</v>
      </c>
      <c r="C96" s="184">
        <v>1600.49</v>
      </c>
      <c r="D96" s="184">
        <v>0.13</v>
      </c>
      <c r="E96" s="180">
        <v>1.36</v>
      </c>
      <c r="F96" s="193">
        <v>3.86</v>
      </c>
      <c r="G96" s="180">
        <v>0.75</v>
      </c>
      <c r="H96" s="181">
        <v>7.86</v>
      </c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11.25" customHeight="1">
      <c r="A97" s="140"/>
      <c r="B97" s="171" t="s">
        <v>96</v>
      </c>
      <c r="C97" s="172">
        <v>1604.01</v>
      </c>
      <c r="D97" s="184">
        <v>0.22</v>
      </c>
      <c r="E97" s="184">
        <v>0.97</v>
      </c>
      <c r="F97" s="194">
        <v>3.76</v>
      </c>
      <c r="G97" s="184">
        <v>0.97</v>
      </c>
      <c r="H97" s="181">
        <v>6.92</v>
      </c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11.25" customHeight="1">
      <c r="A98" s="140"/>
      <c r="B98" s="171" t="s">
        <v>97</v>
      </c>
      <c r="C98" s="172">
        <v>1610.75</v>
      </c>
      <c r="D98" s="172">
        <v>0.42</v>
      </c>
      <c r="E98" s="172">
        <v>0.77</v>
      </c>
      <c r="F98" s="183">
        <v>2.97</v>
      </c>
      <c r="G98" s="172">
        <v>1.4</v>
      </c>
      <c r="H98" s="173">
        <v>6.77</v>
      </c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11.25" customHeight="1">
      <c r="A99" s="140"/>
      <c r="B99" s="171" t="s">
        <v>98</v>
      </c>
      <c r="C99" s="172">
        <v>1610.91</v>
      </c>
      <c r="D99" s="172">
        <v>0.01</v>
      </c>
      <c r="E99" s="172">
        <v>0.65</v>
      </c>
      <c r="F99" s="183">
        <v>2.02</v>
      </c>
      <c r="G99" s="172">
        <v>1.41</v>
      </c>
      <c r="H99" s="173">
        <v>6.47</v>
      </c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11.25" customHeight="1">
      <c r="A100" s="140"/>
      <c r="B100" s="171" t="s">
        <v>99</v>
      </c>
      <c r="C100" s="172">
        <v>1614.62</v>
      </c>
      <c r="D100" s="172">
        <v>0.23</v>
      </c>
      <c r="E100" s="172">
        <v>0.66</v>
      </c>
      <c r="F100" s="183">
        <v>1.64</v>
      </c>
      <c r="G100" s="172">
        <v>1.64</v>
      </c>
      <c r="H100" s="173">
        <v>6.51</v>
      </c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11.25" customHeight="1">
      <c r="A101" s="140"/>
      <c r="B101" s="171" t="s">
        <v>100</v>
      </c>
      <c r="C101" s="172">
        <v>1640.62</v>
      </c>
      <c r="D101" s="184">
        <v>1.61</v>
      </c>
      <c r="E101" s="180">
        <v>1.85</v>
      </c>
      <c r="F101" s="180">
        <v>2.64</v>
      </c>
      <c r="G101" s="180">
        <v>3.28</v>
      </c>
      <c r="H101" s="181">
        <v>7.06</v>
      </c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11.25" customHeight="1">
      <c r="A102" s="140"/>
      <c r="B102" s="171" t="s">
        <v>101</v>
      </c>
      <c r="C102" s="172">
        <v>1662.11</v>
      </c>
      <c r="D102" s="172">
        <v>1.31</v>
      </c>
      <c r="E102" s="172">
        <v>3.18</v>
      </c>
      <c r="F102" s="172">
        <v>3.85</v>
      </c>
      <c r="G102" s="172">
        <v>4.63</v>
      </c>
      <c r="H102" s="173">
        <v>7.86</v>
      </c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11.25" customHeight="1">
      <c r="A103" s="174"/>
      <c r="B103" s="179" t="s">
        <v>102</v>
      </c>
      <c r="C103" s="180">
        <v>1665.93</v>
      </c>
      <c r="D103" s="180">
        <v>0.23</v>
      </c>
      <c r="E103" s="180">
        <v>3.18</v>
      </c>
      <c r="F103" s="180">
        <v>3.86</v>
      </c>
      <c r="G103" s="180">
        <v>4.87</v>
      </c>
      <c r="H103" s="181">
        <v>7.77</v>
      </c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11.25" customHeight="1">
      <c r="A104" s="174"/>
      <c r="B104" s="179" t="s">
        <v>103</v>
      </c>
      <c r="C104" s="180">
        <v>1668.26</v>
      </c>
      <c r="D104" s="180">
        <v>0.14</v>
      </c>
      <c r="E104" s="180">
        <v>1.68</v>
      </c>
      <c r="F104" s="180">
        <v>3.57</v>
      </c>
      <c r="G104" s="180">
        <v>5.02</v>
      </c>
      <c r="H104" s="181">
        <v>6.65</v>
      </c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11.25" customHeight="1">
      <c r="A105" s="174"/>
      <c r="B105" s="179" t="s">
        <v>104</v>
      </c>
      <c r="C105" s="180">
        <v>1673.6</v>
      </c>
      <c r="D105" s="180">
        <v>0.32</v>
      </c>
      <c r="E105" s="180">
        <v>0.69</v>
      </c>
      <c r="F105" s="180">
        <v>3.89</v>
      </c>
      <c r="G105" s="180">
        <v>5.35</v>
      </c>
      <c r="H105" s="181">
        <v>5.99</v>
      </c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11.25" customHeight="1">
      <c r="A106" s="174"/>
      <c r="B106" s="179" t="s">
        <v>105</v>
      </c>
      <c r="C106" s="180">
        <v>1683.47</v>
      </c>
      <c r="D106" s="180">
        <v>0.59</v>
      </c>
      <c r="E106" s="180">
        <v>1.05</v>
      </c>
      <c r="F106" s="180">
        <v>4.26</v>
      </c>
      <c r="G106" s="180">
        <v>5.97</v>
      </c>
      <c r="H106" s="181">
        <v>5.97</v>
      </c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6.75" customHeight="1">
      <c r="A107" s="166"/>
      <c r="B107" s="166"/>
      <c r="C107" s="175"/>
      <c r="D107" s="176"/>
      <c r="E107" s="177"/>
      <c r="F107" s="177"/>
      <c r="G107" s="177"/>
      <c r="H107" s="178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11.25" customHeight="1">
      <c r="A108" s="168">
        <v>2001.0</v>
      </c>
      <c r="B108" s="171" t="s">
        <v>94</v>
      </c>
      <c r="C108" s="172">
        <v>1693.07</v>
      </c>
      <c r="D108" s="184">
        <v>0.57</v>
      </c>
      <c r="E108" s="180">
        <v>1.49</v>
      </c>
      <c r="F108" s="180">
        <v>3.2</v>
      </c>
      <c r="G108" s="180">
        <v>0.57</v>
      </c>
      <c r="H108" s="190">
        <v>5.92</v>
      </c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11.25" customHeight="1">
      <c r="A109" s="140"/>
      <c r="B109" s="171" t="s">
        <v>95</v>
      </c>
      <c r="C109" s="184">
        <v>1700.86</v>
      </c>
      <c r="D109" s="184">
        <v>0.46</v>
      </c>
      <c r="E109" s="180">
        <v>1.63</v>
      </c>
      <c r="F109" s="180">
        <v>2.33</v>
      </c>
      <c r="G109" s="180">
        <v>1.03</v>
      </c>
      <c r="H109" s="195">
        <v>6.27</v>
      </c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11.25" customHeight="1">
      <c r="A110" s="140"/>
      <c r="B110" s="171" t="s">
        <v>96</v>
      </c>
      <c r="C110" s="172">
        <v>1707.32</v>
      </c>
      <c r="D110" s="184">
        <v>0.38</v>
      </c>
      <c r="E110" s="180">
        <v>1.42</v>
      </c>
      <c r="F110" s="180">
        <v>2.48</v>
      </c>
      <c r="G110" s="180">
        <v>1.42</v>
      </c>
      <c r="H110" s="195">
        <v>6.44</v>
      </c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11.25" customHeight="1">
      <c r="A111" s="140"/>
      <c r="B111" s="171" t="s">
        <v>97</v>
      </c>
      <c r="C111" s="172">
        <v>1717.22</v>
      </c>
      <c r="D111" s="184">
        <v>0.58</v>
      </c>
      <c r="E111" s="180">
        <v>1.43</v>
      </c>
      <c r="F111" s="180">
        <v>2.93</v>
      </c>
      <c r="G111" s="180">
        <v>2.0</v>
      </c>
      <c r="H111" s="195">
        <v>6.61</v>
      </c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11.25" customHeight="1">
      <c r="A112" s="140"/>
      <c r="B112" s="171" t="s">
        <v>98</v>
      </c>
      <c r="C112" s="172">
        <v>1724.26</v>
      </c>
      <c r="D112" s="184">
        <v>0.41</v>
      </c>
      <c r="E112" s="180">
        <v>1.38</v>
      </c>
      <c r="F112" s="180">
        <v>3.03</v>
      </c>
      <c r="G112" s="180">
        <v>2.42</v>
      </c>
      <c r="H112" s="195">
        <v>7.04</v>
      </c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11.25" customHeight="1">
      <c r="A113" s="140"/>
      <c r="B113" s="171" t="s">
        <v>99</v>
      </c>
      <c r="C113" s="172">
        <v>1733.23</v>
      </c>
      <c r="D113" s="184">
        <v>0.52</v>
      </c>
      <c r="E113" s="180">
        <v>1.52</v>
      </c>
      <c r="F113" s="180">
        <v>2.96</v>
      </c>
      <c r="G113" s="180">
        <v>2.96</v>
      </c>
      <c r="H113" s="195">
        <v>7.35</v>
      </c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11.25" customHeight="1">
      <c r="A114" s="140"/>
      <c r="B114" s="171" t="s">
        <v>100</v>
      </c>
      <c r="C114" s="172">
        <v>1756.28</v>
      </c>
      <c r="D114" s="184">
        <v>1.33</v>
      </c>
      <c r="E114" s="180">
        <v>2.27</v>
      </c>
      <c r="F114" s="180">
        <v>3.73</v>
      </c>
      <c r="G114" s="180">
        <v>4.32</v>
      </c>
      <c r="H114" s="195">
        <v>7.05</v>
      </c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11.25" customHeight="1">
      <c r="A115" s="140"/>
      <c r="B115" s="171" t="s">
        <v>101</v>
      </c>
      <c r="C115" s="172">
        <v>1768.57</v>
      </c>
      <c r="D115" s="184">
        <v>0.7</v>
      </c>
      <c r="E115" s="180">
        <v>2.57</v>
      </c>
      <c r="F115" s="180">
        <v>3.98</v>
      </c>
      <c r="G115" s="180">
        <v>5.06</v>
      </c>
      <c r="H115" s="190">
        <v>6.41</v>
      </c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11.25" customHeight="1">
      <c r="A116" s="174"/>
      <c r="B116" s="179" t="s">
        <v>102</v>
      </c>
      <c r="C116" s="180">
        <v>1773.52</v>
      </c>
      <c r="D116" s="180">
        <v>0.28</v>
      </c>
      <c r="E116" s="180">
        <v>2.32</v>
      </c>
      <c r="F116" s="180">
        <v>3.88</v>
      </c>
      <c r="G116" s="180">
        <v>5.35</v>
      </c>
      <c r="H116" s="195">
        <v>6.46</v>
      </c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11.25" customHeight="1">
      <c r="A117" s="174"/>
      <c r="B117" s="179" t="s">
        <v>103</v>
      </c>
      <c r="C117" s="180">
        <v>1788.24</v>
      </c>
      <c r="D117" s="180">
        <v>0.83</v>
      </c>
      <c r="E117" s="180">
        <v>1.82</v>
      </c>
      <c r="F117" s="180">
        <v>4.14</v>
      </c>
      <c r="G117" s="180">
        <v>6.22</v>
      </c>
      <c r="H117" s="195">
        <v>7.19</v>
      </c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11.25" customHeight="1">
      <c r="A118" s="174"/>
      <c r="B118" s="179" t="s">
        <v>104</v>
      </c>
      <c r="C118" s="180">
        <v>1800.94</v>
      </c>
      <c r="D118" s="180">
        <v>0.71</v>
      </c>
      <c r="E118" s="180">
        <v>1.83</v>
      </c>
      <c r="F118" s="180">
        <v>4.45</v>
      </c>
      <c r="G118" s="180">
        <v>6.98</v>
      </c>
      <c r="H118" s="195">
        <v>7.61</v>
      </c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11.25" customHeight="1">
      <c r="A119" s="174"/>
      <c r="B119" s="179" t="s">
        <v>105</v>
      </c>
      <c r="C119" s="180">
        <v>1812.65</v>
      </c>
      <c r="D119" s="180">
        <v>0.65</v>
      </c>
      <c r="E119" s="184">
        <v>2.21</v>
      </c>
      <c r="F119" s="180">
        <v>4.58</v>
      </c>
      <c r="G119" s="180">
        <v>7.67</v>
      </c>
      <c r="H119" s="195">
        <v>7.67</v>
      </c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6.75" customHeight="1">
      <c r="A120" s="166"/>
      <c r="B120" s="166"/>
      <c r="C120" s="175"/>
      <c r="D120" s="176"/>
      <c r="E120" s="177"/>
      <c r="F120" s="177"/>
      <c r="G120" s="177"/>
      <c r="H120" s="178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1.25" customHeight="1">
      <c r="A121" s="168">
        <v>2002.0</v>
      </c>
      <c r="B121" s="171" t="s">
        <v>94</v>
      </c>
      <c r="C121" s="172">
        <v>1822.08</v>
      </c>
      <c r="D121" s="184">
        <v>0.52</v>
      </c>
      <c r="E121" s="180">
        <v>1.89</v>
      </c>
      <c r="F121" s="180">
        <v>3.75</v>
      </c>
      <c r="G121" s="180">
        <v>0.52</v>
      </c>
      <c r="H121" s="181">
        <v>7.62</v>
      </c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11.25" customHeight="1">
      <c r="A122" s="140"/>
      <c r="B122" s="171" t="s">
        <v>95</v>
      </c>
      <c r="C122" s="172">
        <v>1828.64</v>
      </c>
      <c r="D122" s="172">
        <v>0.36</v>
      </c>
      <c r="E122" s="184">
        <v>1.54</v>
      </c>
      <c r="F122" s="180">
        <v>3.4</v>
      </c>
      <c r="G122" s="180">
        <v>0.88</v>
      </c>
      <c r="H122" s="181">
        <v>7.51</v>
      </c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11.25" customHeight="1">
      <c r="A123" s="140"/>
      <c r="B123" s="171" t="s">
        <v>96</v>
      </c>
      <c r="C123" s="172">
        <v>1839.61</v>
      </c>
      <c r="D123" s="172">
        <v>0.6</v>
      </c>
      <c r="E123" s="184">
        <v>1.49</v>
      </c>
      <c r="F123" s="180">
        <v>3.73</v>
      </c>
      <c r="G123" s="180">
        <v>1.49</v>
      </c>
      <c r="H123" s="181">
        <v>7.75</v>
      </c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11.25" customHeight="1">
      <c r="A124" s="140"/>
      <c r="B124" s="171" t="s">
        <v>97</v>
      </c>
      <c r="C124" s="172">
        <v>1854.33</v>
      </c>
      <c r="D124" s="172">
        <v>0.8</v>
      </c>
      <c r="E124" s="184">
        <v>1.77</v>
      </c>
      <c r="F124" s="180">
        <v>3.7</v>
      </c>
      <c r="G124" s="180">
        <v>2.3</v>
      </c>
      <c r="H124" s="181">
        <v>7.98</v>
      </c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11.25" customHeight="1">
      <c r="A125" s="140"/>
      <c r="B125" s="171" t="s">
        <v>98</v>
      </c>
      <c r="C125" s="172">
        <v>1858.22</v>
      </c>
      <c r="D125" s="172">
        <v>0.21</v>
      </c>
      <c r="E125" s="184">
        <v>1.62</v>
      </c>
      <c r="F125" s="180">
        <v>3.18</v>
      </c>
      <c r="G125" s="180">
        <v>2.51</v>
      </c>
      <c r="H125" s="181">
        <v>7.77</v>
      </c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11.25" customHeight="1">
      <c r="A126" s="140"/>
      <c r="B126" s="171" t="s">
        <v>99</v>
      </c>
      <c r="C126" s="172">
        <v>1866.02</v>
      </c>
      <c r="D126" s="172">
        <v>0.42</v>
      </c>
      <c r="E126" s="184">
        <v>1.44</v>
      </c>
      <c r="F126" s="180">
        <v>2.94</v>
      </c>
      <c r="G126" s="180">
        <v>2.94</v>
      </c>
      <c r="H126" s="181">
        <v>7.66</v>
      </c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11.25" customHeight="1">
      <c r="A127" s="140"/>
      <c r="B127" s="171" t="s">
        <v>100</v>
      </c>
      <c r="C127" s="172">
        <v>1888.23</v>
      </c>
      <c r="D127" s="172">
        <v>1.19</v>
      </c>
      <c r="E127" s="184">
        <v>1.83</v>
      </c>
      <c r="F127" s="180">
        <v>3.63</v>
      </c>
      <c r="G127" s="172">
        <v>4.17</v>
      </c>
      <c r="H127" s="173">
        <v>7.51</v>
      </c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11.25" customHeight="1">
      <c r="A128" s="140"/>
      <c r="B128" s="171" t="s">
        <v>101</v>
      </c>
      <c r="C128" s="172">
        <v>1900.5</v>
      </c>
      <c r="D128" s="172">
        <v>0.65</v>
      </c>
      <c r="E128" s="184">
        <v>2.28</v>
      </c>
      <c r="F128" s="180">
        <v>3.93</v>
      </c>
      <c r="G128" s="172">
        <v>4.85</v>
      </c>
      <c r="H128" s="173">
        <v>7.46</v>
      </c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11.25" customHeight="1">
      <c r="A129" s="174"/>
      <c r="B129" s="179" t="s">
        <v>102</v>
      </c>
      <c r="C129" s="180">
        <v>1914.18</v>
      </c>
      <c r="D129" s="180">
        <v>0.72</v>
      </c>
      <c r="E129" s="184">
        <v>2.58</v>
      </c>
      <c r="F129" s="180">
        <v>4.05</v>
      </c>
      <c r="G129" s="172">
        <v>5.6</v>
      </c>
      <c r="H129" s="173">
        <v>7.93</v>
      </c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11.25" customHeight="1">
      <c r="A130" s="174"/>
      <c r="B130" s="179" t="s">
        <v>103</v>
      </c>
      <c r="C130" s="180">
        <v>1939.26</v>
      </c>
      <c r="D130" s="180">
        <v>1.31</v>
      </c>
      <c r="E130" s="184">
        <v>2.7</v>
      </c>
      <c r="F130" s="180">
        <v>4.58</v>
      </c>
      <c r="G130" s="172">
        <v>6.98</v>
      </c>
      <c r="H130" s="173">
        <v>8.45</v>
      </c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11.25" customHeight="1">
      <c r="A131" s="140"/>
      <c r="B131" s="171" t="s">
        <v>104</v>
      </c>
      <c r="C131" s="172">
        <v>1997.83</v>
      </c>
      <c r="D131" s="184">
        <v>3.02</v>
      </c>
      <c r="E131" s="184">
        <v>5.12</v>
      </c>
      <c r="F131" s="180">
        <v>7.51</v>
      </c>
      <c r="G131" s="172">
        <v>10.22</v>
      </c>
      <c r="H131" s="173">
        <v>10.93</v>
      </c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11.25" customHeight="1">
      <c r="A132" s="174"/>
      <c r="B132" s="179" t="s">
        <v>105</v>
      </c>
      <c r="C132" s="180">
        <v>2039.78</v>
      </c>
      <c r="D132" s="180">
        <v>2.1</v>
      </c>
      <c r="E132" s="184">
        <v>6.56</v>
      </c>
      <c r="F132" s="180">
        <v>9.31</v>
      </c>
      <c r="G132" s="172">
        <v>12.53</v>
      </c>
      <c r="H132" s="173">
        <v>12.53</v>
      </c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6.75" customHeight="1">
      <c r="A133" s="166"/>
      <c r="B133" s="166"/>
      <c r="C133" s="175"/>
      <c r="D133" s="176"/>
      <c r="E133" s="177"/>
      <c r="F133" s="177"/>
      <c r="G133" s="177"/>
      <c r="H133" s="178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11.25" customHeight="1">
      <c r="A134" s="168">
        <v>2003.0</v>
      </c>
      <c r="B134" s="171" t="s">
        <v>94</v>
      </c>
      <c r="C134" s="172">
        <v>2085.68</v>
      </c>
      <c r="D134" s="184">
        <v>2.25</v>
      </c>
      <c r="E134" s="184">
        <v>7.55</v>
      </c>
      <c r="F134" s="180">
        <v>10.46</v>
      </c>
      <c r="G134" s="180">
        <v>2.25</v>
      </c>
      <c r="H134" s="173">
        <v>14.47</v>
      </c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11.25" customHeight="1">
      <c r="A135" s="140"/>
      <c r="B135" s="171" t="s">
        <v>95</v>
      </c>
      <c r="C135" s="172">
        <v>2118.43</v>
      </c>
      <c r="D135" s="172">
        <v>1.57</v>
      </c>
      <c r="E135" s="184">
        <v>6.04</v>
      </c>
      <c r="F135" s="180">
        <v>11.47</v>
      </c>
      <c r="G135" s="180">
        <v>3.86</v>
      </c>
      <c r="H135" s="173">
        <v>15.85</v>
      </c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11.25" customHeight="1">
      <c r="A136" s="140"/>
      <c r="B136" s="171" t="s">
        <v>96</v>
      </c>
      <c r="C136" s="172">
        <v>2144.49</v>
      </c>
      <c r="D136" s="172">
        <v>1.23</v>
      </c>
      <c r="E136" s="184">
        <v>5.13</v>
      </c>
      <c r="F136" s="180">
        <v>12.03</v>
      </c>
      <c r="G136" s="180">
        <v>5.13</v>
      </c>
      <c r="H136" s="173">
        <v>16.57</v>
      </c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11.25" customHeight="1">
      <c r="A137" s="140"/>
      <c r="B137" s="171" t="s">
        <v>97</v>
      </c>
      <c r="C137" s="172">
        <v>2165.29</v>
      </c>
      <c r="D137" s="172">
        <v>0.97</v>
      </c>
      <c r="E137" s="184">
        <v>3.82</v>
      </c>
      <c r="F137" s="180">
        <v>11.66</v>
      </c>
      <c r="G137" s="180">
        <v>6.15</v>
      </c>
      <c r="H137" s="173">
        <v>16.77</v>
      </c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11.25" customHeight="1">
      <c r="A138" s="140"/>
      <c r="B138" s="171" t="s">
        <v>98</v>
      </c>
      <c r="C138" s="172">
        <v>2178.5</v>
      </c>
      <c r="D138" s="172">
        <v>0.61</v>
      </c>
      <c r="E138" s="184">
        <v>2.84</v>
      </c>
      <c r="F138" s="180">
        <v>9.04</v>
      </c>
      <c r="G138" s="180">
        <v>6.8</v>
      </c>
      <c r="H138" s="173">
        <v>17.24</v>
      </c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11.25" customHeight="1">
      <c r="A139" s="140"/>
      <c r="B139" s="171" t="s">
        <v>99</v>
      </c>
      <c r="C139" s="172">
        <v>2175.23</v>
      </c>
      <c r="D139" s="172">
        <v>-0.15</v>
      </c>
      <c r="E139" s="184">
        <v>1.43</v>
      </c>
      <c r="F139" s="180">
        <v>6.64</v>
      </c>
      <c r="G139" s="180">
        <v>6.64</v>
      </c>
      <c r="H139" s="173">
        <v>16.57</v>
      </c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11.25" customHeight="1">
      <c r="A140" s="140"/>
      <c r="B140" s="171" t="s">
        <v>100</v>
      </c>
      <c r="C140" s="172">
        <v>2179.58</v>
      </c>
      <c r="D140" s="172">
        <v>0.2</v>
      </c>
      <c r="E140" s="184">
        <v>0.66</v>
      </c>
      <c r="F140" s="180">
        <v>4.5</v>
      </c>
      <c r="G140" s="180">
        <v>6.85</v>
      </c>
      <c r="H140" s="173">
        <v>15.43</v>
      </c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11.25" customHeight="1">
      <c r="A141" s="140"/>
      <c r="B141" s="171" t="s">
        <v>101</v>
      </c>
      <c r="C141" s="172">
        <v>2186.99</v>
      </c>
      <c r="D141" s="172">
        <v>0.34</v>
      </c>
      <c r="E141" s="184">
        <v>0.39</v>
      </c>
      <c r="F141" s="180">
        <v>3.24</v>
      </c>
      <c r="G141" s="180">
        <v>7.22</v>
      </c>
      <c r="H141" s="173">
        <v>15.07</v>
      </c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11.25" customHeight="1">
      <c r="A142" s="174"/>
      <c r="B142" s="179" t="s">
        <v>102</v>
      </c>
      <c r="C142" s="180">
        <v>2204.05</v>
      </c>
      <c r="D142" s="180">
        <v>0.78</v>
      </c>
      <c r="E142" s="184">
        <v>1.32</v>
      </c>
      <c r="F142" s="180">
        <v>2.78</v>
      </c>
      <c r="G142" s="180">
        <v>8.05</v>
      </c>
      <c r="H142" s="173">
        <v>15.14</v>
      </c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11.25" customHeight="1">
      <c r="A143" s="174"/>
      <c r="B143" s="179" t="s">
        <v>103</v>
      </c>
      <c r="C143" s="180">
        <v>2210.44</v>
      </c>
      <c r="D143" s="180">
        <v>0.29</v>
      </c>
      <c r="E143" s="184">
        <v>1.42</v>
      </c>
      <c r="F143" s="180">
        <v>2.09</v>
      </c>
      <c r="G143" s="180">
        <v>8.37</v>
      </c>
      <c r="H143" s="173">
        <v>13.98</v>
      </c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11.25" customHeight="1">
      <c r="A144" s="140"/>
      <c r="B144" s="171" t="s">
        <v>104</v>
      </c>
      <c r="C144" s="172">
        <v>2217.96</v>
      </c>
      <c r="D144" s="184">
        <v>0.34</v>
      </c>
      <c r="E144" s="184">
        <v>1.42</v>
      </c>
      <c r="F144" s="180">
        <v>1.81</v>
      </c>
      <c r="G144" s="180">
        <v>8.74</v>
      </c>
      <c r="H144" s="173">
        <v>11.02</v>
      </c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11.25" customHeight="1">
      <c r="A145" s="145"/>
      <c r="B145" s="196" t="s">
        <v>105</v>
      </c>
      <c r="C145" s="197">
        <v>2229.49</v>
      </c>
      <c r="D145" s="197">
        <v>0.52</v>
      </c>
      <c r="E145" s="197">
        <v>1.15</v>
      </c>
      <c r="F145" s="187">
        <v>2.49</v>
      </c>
      <c r="G145" s="187">
        <v>9.3</v>
      </c>
      <c r="H145" s="188">
        <v>9.3</v>
      </c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6.75" customHeight="1">
      <c r="A146" s="140"/>
      <c r="B146" s="189"/>
      <c r="C146" s="190"/>
      <c r="D146" s="190"/>
      <c r="E146" s="190"/>
      <c r="F146" s="190"/>
      <c r="G146" s="190"/>
      <c r="H146" s="181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6.75" customHeight="1">
      <c r="A147" s="191" t="s">
        <v>106</v>
      </c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6.5" customHeight="1">
      <c r="A148" s="143" t="s">
        <v>110</v>
      </c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0" customHeight="1">
      <c r="A149" s="145"/>
      <c r="B149" s="145"/>
      <c r="C149" s="146"/>
      <c r="D149" s="145"/>
      <c r="E149" s="145"/>
      <c r="F149" s="145"/>
      <c r="G149" s="145"/>
      <c r="H149" s="147" t="s">
        <v>107</v>
      </c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14.25" customHeight="1">
      <c r="A150" s="148"/>
      <c r="B150" s="148"/>
      <c r="C150" s="149"/>
      <c r="D150" s="150"/>
      <c r="E150" s="151"/>
      <c r="F150" s="151" t="s">
        <v>86</v>
      </c>
      <c r="G150" s="151"/>
      <c r="H150" s="152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13.5" customHeight="1">
      <c r="A151" s="154" t="s">
        <v>87</v>
      </c>
      <c r="B151" s="155" t="s">
        <v>88</v>
      </c>
      <c r="C151" s="156" t="s">
        <v>89</v>
      </c>
      <c r="D151" s="157" t="s">
        <v>90</v>
      </c>
      <c r="E151" s="90"/>
      <c r="F151" s="90"/>
      <c r="G151" s="90"/>
      <c r="H151" s="90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13.5" customHeight="1">
      <c r="A152" s="154"/>
      <c r="B152" s="155"/>
      <c r="C152" s="158" t="s">
        <v>91</v>
      </c>
      <c r="D152" s="159" t="s">
        <v>92</v>
      </c>
      <c r="E152" s="159">
        <v>3.0</v>
      </c>
      <c r="F152" s="159">
        <v>6.0</v>
      </c>
      <c r="G152" s="159" t="s">
        <v>92</v>
      </c>
      <c r="H152" s="160">
        <v>12.0</v>
      </c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14.25" customHeight="1">
      <c r="A153" s="161"/>
      <c r="B153" s="161"/>
      <c r="C153" s="162"/>
      <c r="D153" s="163" t="s">
        <v>88</v>
      </c>
      <c r="E153" s="164" t="s">
        <v>93</v>
      </c>
      <c r="F153" s="164" t="s">
        <v>93</v>
      </c>
      <c r="G153" s="164" t="s">
        <v>87</v>
      </c>
      <c r="H153" s="165" t="s">
        <v>93</v>
      </c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6.75" customHeight="1">
      <c r="A154" s="166"/>
      <c r="B154" s="166"/>
      <c r="C154" s="167"/>
      <c r="D154" s="168"/>
      <c r="E154" s="169"/>
      <c r="F154" s="169"/>
      <c r="G154" s="169"/>
      <c r="H154" s="17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11.25" customHeight="1">
      <c r="A155" s="168">
        <v>2004.0</v>
      </c>
      <c r="B155" s="192" t="s">
        <v>94</v>
      </c>
      <c r="C155" s="180">
        <v>2246.43</v>
      </c>
      <c r="D155" s="180">
        <v>0.76</v>
      </c>
      <c r="E155" s="184">
        <v>1.63</v>
      </c>
      <c r="F155" s="180">
        <v>3.07</v>
      </c>
      <c r="G155" s="180">
        <v>0.76</v>
      </c>
      <c r="H155" s="173">
        <v>7.71</v>
      </c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11.25" customHeight="1">
      <c r="A156" s="198"/>
      <c r="B156" s="192" t="s">
        <v>95</v>
      </c>
      <c r="C156" s="180">
        <v>2260.13</v>
      </c>
      <c r="D156" s="180">
        <v>0.61</v>
      </c>
      <c r="E156" s="184">
        <v>1.9</v>
      </c>
      <c r="F156" s="180">
        <v>3.34</v>
      </c>
      <c r="G156" s="180">
        <v>1.37</v>
      </c>
      <c r="H156" s="173">
        <v>6.69</v>
      </c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11.25" customHeight="1">
      <c r="A157" s="199"/>
      <c r="B157" s="192" t="s">
        <v>96</v>
      </c>
      <c r="C157" s="180">
        <v>2270.75</v>
      </c>
      <c r="D157" s="180">
        <v>0.47</v>
      </c>
      <c r="E157" s="184">
        <v>1.85</v>
      </c>
      <c r="F157" s="180">
        <v>3.03</v>
      </c>
      <c r="G157" s="180">
        <v>1.85</v>
      </c>
      <c r="H157" s="173">
        <v>5.89</v>
      </c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11.25" customHeight="1">
      <c r="A158" s="200"/>
      <c r="B158" s="192" t="s">
        <v>97</v>
      </c>
      <c r="C158" s="180">
        <v>2279.15</v>
      </c>
      <c r="D158" s="180">
        <v>0.37</v>
      </c>
      <c r="E158" s="184">
        <v>1.46</v>
      </c>
      <c r="F158" s="180">
        <v>3.11</v>
      </c>
      <c r="G158" s="180">
        <v>2.23</v>
      </c>
      <c r="H158" s="181">
        <v>5.26</v>
      </c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1.25" customHeight="1">
      <c r="A159" s="200"/>
      <c r="B159" s="179" t="s">
        <v>98</v>
      </c>
      <c r="C159" s="180">
        <v>2290.77</v>
      </c>
      <c r="D159" s="180">
        <v>0.51</v>
      </c>
      <c r="E159" s="184">
        <v>1.36</v>
      </c>
      <c r="F159" s="180">
        <v>3.28</v>
      </c>
      <c r="G159" s="180">
        <v>2.75</v>
      </c>
      <c r="H159" s="181">
        <v>5.15</v>
      </c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1.25" customHeight="1">
      <c r="A160" s="200"/>
      <c r="B160" s="179" t="s">
        <v>99</v>
      </c>
      <c r="C160" s="180">
        <v>2307.03</v>
      </c>
      <c r="D160" s="180">
        <v>0.71</v>
      </c>
      <c r="E160" s="184">
        <v>1.6</v>
      </c>
      <c r="F160" s="180">
        <v>3.48</v>
      </c>
      <c r="G160" s="180">
        <v>3.48</v>
      </c>
      <c r="H160" s="181">
        <v>6.06</v>
      </c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11.25" customHeight="1">
      <c r="A161" s="200"/>
      <c r="B161" s="179" t="s">
        <v>100</v>
      </c>
      <c r="C161" s="180">
        <v>2328.02</v>
      </c>
      <c r="D161" s="180">
        <v>0.91</v>
      </c>
      <c r="E161" s="184">
        <v>2.14</v>
      </c>
      <c r="F161" s="180">
        <v>3.63</v>
      </c>
      <c r="G161" s="180">
        <v>4.42</v>
      </c>
      <c r="H161" s="181">
        <v>6.81</v>
      </c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11.25" customHeight="1">
      <c r="A162" s="200"/>
      <c r="B162" s="179" t="s">
        <v>101</v>
      </c>
      <c r="C162" s="180">
        <v>2344.08</v>
      </c>
      <c r="D162" s="180">
        <v>0.69</v>
      </c>
      <c r="E162" s="184">
        <v>2.33</v>
      </c>
      <c r="F162" s="180">
        <v>3.71</v>
      </c>
      <c r="G162" s="180">
        <v>5.14</v>
      </c>
      <c r="H162" s="181">
        <v>7.18</v>
      </c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11.25" customHeight="1">
      <c r="A163" s="200"/>
      <c r="B163" s="179" t="s">
        <v>102</v>
      </c>
      <c r="C163" s="180">
        <v>2351.82</v>
      </c>
      <c r="D163" s="180">
        <v>0.33</v>
      </c>
      <c r="E163" s="184">
        <v>1.94</v>
      </c>
      <c r="F163" s="180">
        <v>3.57</v>
      </c>
      <c r="G163" s="180">
        <v>5.49</v>
      </c>
      <c r="H163" s="181">
        <v>6.7</v>
      </c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11.25" customHeight="1">
      <c r="A164" s="200"/>
      <c r="B164" s="179" t="s">
        <v>103</v>
      </c>
      <c r="C164" s="180">
        <v>2362.17</v>
      </c>
      <c r="D164" s="180">
        <v>0.44</v>
      </c>
      <c r="E164" s="184">
        <v>1.47</v>
      </c>
      <c r="F164" s="180">
        <v>3.64</v>
      </c>
      <c r="G164" s="180">
        <v>5.95</v>
      </c>
      <c r="H164" s="181">
        <v>6.86</v>
      </c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11.25" customHeight="1">
      <c r="A165" s="200"/>
      <c r="B165" s="179" t="s">
        <v>104</v>
      </c>
      <c r="C165" s="180">
        <v>2378.47</v>
      </c>
      <c r="D165" s="180">
        <v>0.69</v>
      </c>
      <c r="E165" s="184">
        <v>1.47</v>
      </c>
      <c r="F165" s="180">
        <v>3.83</v>
      </c>
      <c r="G165" s="180">
        <v>6.68</v>
      </c>
      <c r="H165" s="181">
        <v>7.24</v>
      </c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11.25" customHeight="1">
      <c r="A166" s="200"/>
      <c r="B166" s="179" t="s">
        <v>105</v>
      </c>
      <c r="C166" s="180">
        <v>2398.92</v>
      </c>
      <c r="D166" s="180">
        <v>0.86</v>
      </c>
      <c r="E166" s="184">
        <v>2.0</v>
      </c>
      <c r="F166" s="180">
        <v>3.98</v>
      </c>
      <c r="G166" s="180">
        <v>7.6</v>
      </c>
      <c r="H166" s="181">
        <v>7.6</v>
      </c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6.75" customHeight="1">
      <c r="A167" s="166"/>
      <c r="B167" s="166"/>
      <c r="C167" s="175"/>
      <c r="D167" s="176"/>
      <c r="E167" s="177"/>
      <c r="F167" s="177"/>
      <c r="G167" s="177"/>
      <c r="H167" s="178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11.25" customHeight="1">
      <c r="A168" s="168">
        <v>2005.0</v>
      </c>
      <c r="B168" s="192" t="s">
        <v>94</v>
      </c>
      <c r="C168" s="180">
        <v>2412.83</v>
      </c>
      <c r="D168" s="180">
        <v>0.58</v>
      </c>
      <c r="E168" s="184">
        <v>2.14</v>
      </c>
      <c r="F168" s="180">
        <v>3.64</v>
      </c>
      <c r="G168" s="180">
        <v>0.58</v>
      </c>
      <c r="H168" s="173">
        <v>7.41</v>
      </c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11.25" customHeight="1">
      <c r="A169" s="198"/>
      <c r="B169" s="192" t="s">
        <v>95</v>
      </c>
      <c r="C169" s="180">
        <v>2427.07</v>
      </c>
      <c r="D169" s="180">
        <v>0.59</v>
      </c>
      <c r="E169" s="184">
        <v>2.04</v>
      </c>
      <c r="F169" s="180">
        <v>3.54</v>
      </c>
      <c r="G169" s="180">
        <v>1.17</v>
      </c>
      <c r="H169" s="173">
        <v>7.39</v>
      </c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11.25" customHeight="1">
      <c r="A170" s="198"/>
      <c r="B170" s="192" t="s">
        <v>96</v>
      </c>
      <c r="C170" s="180">
        <v>2441.87</v>
      </c>
      <c r="D170" s="180">
        <v>0.61</v>
      </c>
      <c r="E170" s="184">
        <v>1.79</v>
      </c>
      <c r="F170" s="180">
        <v>3.83</v>
      </c>
      <c r="G170" s="180">
        <v>1.79</v>
      </c>
      <c r="H170" s="173">
        <v>7.54</v>
      </c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11.25" customHeight="1">
      <c r="A171" s="200"/>
      <c r="B171" s="192" t="s">
        <v>97</v>
      </c>
      <c r="C171" s="180">
        <v>2463.11</v>
      </c>
      <c r="D171" s="180">
        <v>0.87</v>
      </c>
      <c r="E171" s="184">
        <v>2.08</v>
      </c>
      <c r="F171" s="180">
        <v>4.27</v>
      </c>
      <c r="G171" s="180">
        <v>2.68</v>
      </c>
      <c r="H171" s="181">
        <v>8.07</v>
      </c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11.25" customHeight="1">
      <c r="A172" s="200"/>
      <c r="B172" s="192" t="s">
        <v>98</v>
      </c>
      <c r="C172" s="180">
        <v>2475.18</v>
      </c>
      <c r="D172" s="180">
        <v>0.49</v>
      </c>
      <c r="E172" s="184">
        <v>1.98</v>
      </c>
      <c r="F172" s="180">
        <v>4.07</v>
      </c>
      <c r="G172" s="180">
        <v>3.18</v>
      </c>
      <c r="H172" s="181">
        <v>8.05</v>
      </c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11.25" customHeight="1">
      <c r="A173" s="200"/>
      <c r="B173" s="192" t="s">
        <v>99</v>
      </c>
      <c r="C173" s="180">
        <v>2474.68</v>
      </c>
      <c r="D173" s="180">
        <v>-0.02</v>
      </c>
      <c r="E173" s="184">
        <v>1.34</v>
      </c>
      <c r="F173" s="180">
        <v>3.16</v>
      </c>
      <c r="G173" s="180">
        <v>3.16</v>
      </c>
      <c r="H173" s="181">
        <v>7.27</v>
      </c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11.25" customHeight="1">
      <c r="A174" s="200"/>
      <c r="B174" s="192" t="s">
        <v>100</v>
      </c>
      <c r="C174" s="180">
        <v>2480.87</v>
      </c>
      <c r="D174" s="180">
        <v>0.25</v>
      </c>
      <c r="E174" s="184">
        <v>0.72</v>
      </c>
      <c r="F174" s="180">
        <v>2.82</v>
      </c>
      <c r="G174" s="180">
        <v>3.42</v>
      </c>
      <c r="H174" s="181">
        <v>6.57</v>
      </c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11.25" customHeight="1">
      <c r="A175" s="200"/>
      <c r="B175" s="192" t="s">
        <v>101</v>
      </c>
      <c r="C175" s="180">
        <v>2485.09</v>
      </c>
      <c r="D175" s="180">
        <v>0.17</v>
      </c>
      <c r="E175" s="184">
        <v>0.4</v>
      </c>
      <c r="F175" s="180">
        <v>2.39</v>
      </c>
      <c r="G175" s="180">
        <v>3.59</v>
      </c>
      <c r="H175" s="181">
        <v>6.02</v>
      </c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11.25" customHeight="1">
      <c r="A176" s="200"/>
      <c r="B176" s="192" t="s">
        <v>102</v>
      </c>
      <c r="C176" s="180">
        <v>2493.79</v>
      </c>
      <c r="D176" s="180">
        <v>0.35</v>
      </c>
      <c r="E176" s="184">
        <v>0.77</v>
      </c>
      <c r="F176" s="180">
        <v>2.13</v>
      </c>
      <c r="G176" s="180">
        <v>3.95</v>
      </c>
      <c r="H176" s="181">
        <v>6.04</v>
      </c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11.25" customHeight="1">
      <c r="A177" s="200"/>
      <c r="B177" s="192" t="s">
        <v>103</v>
      </c>
      <c r="C177" s="180">
        <v>2512.49</v>
      </c>
      <c r="D177" s="180">
        <v>0.75</v>
      </c>
      <c r="E177" s="184">
        <v>1.27</v>
      </c>
      <c r="F177" s="180">
        <v>2.0</v>
      </c>
      <c r="G177" s="180">
        <v>4.73</v>
      </c>
      <c r="H177" s="181">
        <v>6.36</v>
      </c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11.25" customHeight="1">
      <c r="A178" s="200"/>
      <c r="B178" s="192" t="s">
        <v>104</v>
      </c>
      <c r="C178" s="180">
        <v>2526.31</v>
      </c>
      <c r="D178" s="180">
        <v>0.55</v>
      </c>
      <c r="E178" s="184">
        <v>1.66</v>
      </c>
      <c r="F178" s="180">
        <v>2.07</v>
      </c>
      <c r="G178" s="180">
        <v>5.31</v>
      </c>
      <c r="H178" s="181">
        <v>6.22</v>
      </c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11.25" customHeight="1">
      <c r="A179" s="200"/>
      <c r="B179" s="192" t="s">
        <v>105</v>
      </c>
      <c r="C179" s="180">
        <v>2535.4</v>
      </c>
      <c r="D179" s="180">
        <v>0.36</v>
      </c>
      <c r="E179" s="184">
        <v>1.67</v>
      </c>
      <c r="F179" s="180">
        <v>2.45</v>
      </c>
      <c r="G179" s="180">
        <v>5.69</v>
      </c>
      <c r="H179" s="181">
        <v>5.69</v>
      </c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6.75" customHeight="1">
      <c r="A180" s="166"/>
      <c r="B180" s="166"/>
      <c r="C180" s="175"/>
      <c r="D180" s="176"/>
      <c r="E180" s="177"/>
      <c r="F180" s="177"/>
      <c r="G180" s="177"/>
      <c r="H180" s="178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11.25" customHeight="1">
      <c r="A181" s="168">
        <v>2006.0</v>
      </c>
      <c r="B181" s="192" t="s">
        <v>94</v>
      </c>
      <c r="C181" s="180">
        <v>2550.36</v>
      </c>
      <c r="D181" s="180">
        <v>0.59</v>
      </c>
      <c r="E181" s="184">
        <v>1.51</v>
      </c>
      <c r="F181" s="180">
        <v>2.8</v>
      </c>
      <c r="G181" s="180">
        <v>0.59</v>
      </c>
      <c r="H181" s="173">
        <v>5.7</v>
      </c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11.25" customHeight="1">
      <c r="A182" s="198"/>
      <c r="B182" s="192" t="s">
        <v>95</v>
      </c>
      <c r="C182" s="180">
        <v>2560.82</v>
      </c>
      <c r="D182" s="180">
        <v>0.41</v>
      </c>
      <c r="E182" s="184">
        <v>1.37</v>
      </c>
      <c r="F182" s="180">
        <v>3.05</v>
      </c>
      <c r="G182" s="180">
        <v>1.0</v>
      </c>
      <c r="H182" s="173">
        <v>5.51</v>
      </c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11.25" customHeight="1">
      <c r="A183" s="198"/>
      <c r="B183" s="192" t="s">
        <v>96</v>
      </c>
      <c r="C183" s="180">
        <v>2571.83</v>
      </c>
      <c r="D183" s="180">
        <v>0.43</v>
      </c>
      <c r="E183" s="184">
        <v>1.44</v>
      </c>
      <c r="F183" s="180">
        <v>3.13</v>
      </c>
      <c r="G183" s="180">
        <v>1.44</v>
      </c>
      <c r="H183" s="173">
        <v>5.32</v>
      </c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11.25" customHeight="1">
      <c r="A184" s="200"/>
      <c r="B184" s="192" t="s">
        <v>97</v>
      </c>
      <c r="C184" s="180">
        <v>2577.23</v>
      </c>
      <c r="D184" s="180">
        <v>0.21</v>
      </c>
      <c r="E184" s="184">
        <v>1.05</v>
      </c>
      <c r="F184" s="180">
        <v>2.58</v>
      </c>
      <c r="G184" s="180">
        <v>1.65</v>
      </c>
      <c r="H184" s="173">
        <v>4.63</v>
      </c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11.25" customHeight="1">
      <c r="A185" s="200"/>
      <c r="B185" s="192" t="s">
        <v>98</v>
      </c>
      <c r="C185" s="180">
        <v>2579.81</v>
      </c>
      <c r="D185" s="180">
        <v>0.1</v>
      </c>
      <c r="E185" s="184">
        <v>0.74</v>
      </c>
      <c r="F185" s="180">
        <v>2.12</v>
      </c>
      <c r="G185" s="180">
        <v>1.75</v>
      </c>
      <c r="H185" s="181">
        <v>4.23</v>
      </c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11.25" customHeight="1">
      <c r="A186" s="200"/>
      <c r="B186" s="192" t="s">
        <v>99</v>
      </c>
      <c r="C186" s="180">
        <v>2574.39</v>
      </c>
      <c r="D186" s="180">
        <v>-0.21</v>
      </c>
      <c r="E186" s="184">
        <v>0.1</v>
      </c>
      <c r="F186" s="180">
        <v>1.54</v>
      </c>
      <c r="G186" s="180">
        <v>1.54</v>
      </c>
      <c r="H186" s="181">
        <v>4.03</v>
      </c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11.25" customHeight="1">
      <c r="A187" s="200"/>
      <c r="B187" s="192" t="s">
        <v>100</v>
      </c>
      <c r="C187" s="180">
        <v>2579.28</v>
      </c>
      <c r="D187" s="180">
        <v>0.19</v>
      </c>
      <c r="E187" s="184">
        <v>0.08</v>
      </c>
      <c r="F187" s="180">
        <v>1.13</v>
      </c>
      <c r="G187" s="180">
        <v>1.73</v>
      </c>
      <c r="H187" s="181">
        <v>3.97</v>
      </c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11.25" customHeight="1">
      <c r="A188" s="200"/>
      <c r="B188" s="192" t="s">
        <v>101</v>
      </c>
      <c r="C188" s="180">
        <v>2580.57</v>
      </c>
      <c r="D188" s="180">
        <v>0.05</v>
      </c>
      <c r="E188" s="184">
        <v>0.03</v>
      </c>
      <c r="F188" s="180">
        <v>0.77</v>
      </c>
      <c r="G188" s="180">
        <v>1.78</v>
      </c>
      <c r="H188" s="181">
        <v>3.84</v>
      </c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11.25" customHeight="1">
      <c r="A189" s="200"/>
      <c r="B189" s="192" t="s">
        <v>102</v>
      </c>
      <c r="C189" s="180">
        <v>2585.99</v>
      </c>
      <c r="D189" s="180">
        <v>0.21</v>
      </c>
      <c r="E189" s="184">
        <v>0.45</v>
      </c>
      <c r="F189" s="180">
        <v>0.55</v>
      </c>
      <c r="G189" s="180">
        <v>2.0</v>
      </c>
      <c r="H189" s="181">
        <v>3.7</v>
      </c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11.25" customHeight="1">
      <c r="A190" s="200"/>
      <c r="B190" s="192" t="s">
        <v>103</v>
      </c>
      <c r="C190" s="180">
        <v>2594.52</v>
      </c>
      <c r="D190" s="180">
        <v>0.33</v>
      </c>
      <c r="E190" s="184">
        <v>0.59</v>
      </c>
      <c r="F190" s="180">
        <v>0.67</v>
      </c>
      <c r="G190" s="180">
        <v>2.33</v>
      </c>
      <c r="H190" s="181">
        <v>3.26</v>
      </c>
      <c r="I190" s="140"/>
      <c r="J190" s="141"/>
      <c r="K190" s="141"/>
      <c r="L190" s="141"/>
      <c r="M190" s="141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11.25" customHeight="1">
      <c r="A191" s="200"/>
      <c r="B191" s="192" t="s">
        <v>104</v>
      </c>
      <c r="C191" s="180">
        <v>2602.56</v>
      </c>
      <c r="D191" s="180">
        <v>0.31</v>
      </c>
      <c r="E191" s="184">
        <v>0.85</v>
      </c>
      <c r="F191" s="180">
        <v>0.88</v>
      </c>
      <c r="G191" s="180">
        <v>2.65</v>
      </c>
      <c r="H191" s="181">
        <v>3.02</v>
      </c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11.25" customHeight="1">
      <c r="A192" s="200"/>
      <c r="B192" s="192" t="s">
        <v>105</v>
      </c>
      <c r="C192" s="180">
        <v>2615.05</v>
      </c>
      <c r="D192" s="180">
        <v>0.48</v>
      </c>
      <c r="E192" s="184">
        <v>1.12</v>
      </c>
      <c r="F192" s="180">
        <v>1.58</v>
      </c>
      <c r="G192" s="180">
        <v>3.14</v>
      </c>
      <c r="H192" s="181">
        <v>3.14</v>
      </c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6.75" customHeight="1">
      <c r="A193" s="166"/>
      <c r="B193" s="166"/>
      <c r="C193" s="175"/>
      <c r="D193" s="176"/>
      <c r="E193" s="177"/>
      <c r="F193" s="177"/>
      <c r="G193" s="177"/>
      <c r="H193" s="178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11.25" customHeight="1">
      <c r="A194" s="168">
        <v>2007.0</v>
      </c>
      <c r="B194" s="192" t="s">
        <v>94</v>
      </c>
      <c r="C194" s="180">
        <v>2626.56</v>
      </c>
      <c r="D194" s="180">
        <v>0.44</v>
      </c>
      <c r="E194" s="184">
        <v>1.23</v>
      </c>
      <c r="F194" s="180">
        <v>1.83</v>
      </c>
      <c r="G194" s="180">
        <v>0.44</v>
      </c>
      <c r="H194" s="181">
        <v>2.99</v>
      </c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11.25" customHeight="1">
      <c r="A195" s="198"/>
      <c r="B195" s="192" t="s">
        <v>95</v>
      </c>
      <c r="C195" s="180">
        <v>2638.12</v>
      </c>
      <c r="D195" s="180">
        <v>0.44</v>
      </c>
      <c r="E195" s="184">
        <v>1.37</v>
      </c>
      <c r="F195" s="180">
        <v>2.23</v>
      </c>
      <c r="G195" s="180">
        <v>0.88</v>
      </c>
      <c r="H195" s="181">
        <v>3.02</v>
      </c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11.25" customHeight="1">
      <c r="A196" s="198"/>
      <c r="B196" s="192" t="s">
        <v>96</v>
      </c>
      <c r="C196" s="180">
        <v>2647.88</v>
      </c>
      <c r="D196" s="180">
        <v>0.37</v>
      </c>
      <c r="E196" s="184">
        <v>1.26</v>
      </c>
      <c r="F196" s="180">
        <v>2.39</v>
      </c>
      <c r="G196" s="180">
        <v>1.26</v>
      </c>
      <c r="H196" s="181">
        <v>2.96</v>
      </c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11.25" customHeight="1">
      <c r="A197" s="200"/>
      <c r="B197" s="192" t="s">
        <v>97</v>
      </c>
      <c r="C197" s="180">
        <v>2654.5</v>
      </c>
      <c r="D197" s="180">
        <v>0.25</v>
      </c>
      <c r="E197" s="184">
        <v>1.06</v>
      </c>
      <c r="F197" s="180">
        <v>2.31</v>
      </c>
      <c r="G197" s="180">
        <v>1.51</v>
      </c>
      <c r="H197" s="181">
        <v>3.0</v>
      </c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11.25" customHeight="1">
      <c r="A198" s="200"/>
      <c r="B198" s="192" t="s">
        <v>98</v>
      </c>
      <c r="C198" s="180">
        <v>2661.93</v>
      </c>
      <c r="D198" s="180">
        <v>0.28</v>
      </c>
      <c r="E198" s="184">
        <v>0.9</v>
      </c>
      <c r="F198" s="180">
        <v>2.28</v>
      </c>
      <c r="G198" s="180">
        <v>1.79</v>
      </c>
      <c r="H198" s="181">
        <v>3.18</v>
      </c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11.25" customHeight="1">
      <c r="A199" s="200"/>
      <c r="B199" s="192" t="s">
        <v>99</v>
      </c>
      <c r="C199" s="180">
        <v>2669.38</v>
      </c>
      <c r="D199" s="180">
        <v>0.28</v>
      </c>
      <c r="E199" s="184">
        <v>0.81</v>
      </c>
      <c r="F199" s="180">
        <v>2.08</v>
      </c>
      <c r="G199" s="180">
        <v>2.08</v>
      </c>
      <c r="H199" s="181">
        <v>3.69</v>
      </c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11.25" customHeight="1">
      <c r="A200" s="200"/>
      <c r="B200" s="192" t="s">
        <v>100</v>
      </c>
      <c r="C200" s="180">
        <v>2675.79</v>
      </c>
      <c r="D200" s="180">
        <v>0.24</v>
      </c>
      <c r="E200" s="184">
        <v>0.8</v>
      </c>
      <c r="F200" s="180">
        <v>1.87</v>
      </c>
      <c r="G200" s="180">
        <v>2.32</v>
      </c>
      <c r="H200" s="181">
        <v>3.74</v>
      </c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11.25" customHeight="1">
      <c r="A201" s="200"/>
      <c r="B201" s="192" t="s">
        <v>101</v>
      </c>
      <c r="C201" s="180">
        <v>2688.37</v>
      </c>
      <c r="D201" s="180">
        <v>0.47</v>
      </c>
      <c r="E201" s="184">
        <v>0.99</v>
      </c>
      <c r="F201" s="180">
        <v>1.9</v>
      </c>
      <c r="G201" s="180">
        <v>2.8</v>
      </c>
      <c r="H201" s="181">
        <v>4.18</v>
      </c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11.25" customHeight="1">
      <c r="A202" s="200"/>
      <c r="B202" s="192" t="s">
        <v>102</v>
      </c>
      <c r="C202" s="180">
        <v>2693.21</v>
      </c>
      <c r="D202" s="180">
        <v>0.18</v>
      </c>
      <c r="E202" s="184">
        <v>0.89</v>
      </c>
      <c r="F202" s="180">
        <v>1.71</v>
      </c>
      <c r="G202" s="180">
        <v>2.99</v>
      </c>
      <c r="H202" s="181">
        <v>4.15</v>
      </c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11.25" customHeight="1">
      <c r="A203" s="200"/>
      <c r="B203" s="192" t="s">
        <v>103</v>
      </c>
      <c r="C203" s="180">
        <v>2701.29</v>
      </c>
      <c r="D203" s="180">
        <v>0.3</v>
      </c>
      <c r="E203" s="184">
        <v>0.95</v>
      </c>
      <c r="F203" s="180">
        <v>1.76</v>
      </c>
      <c r="G203" s="180">
        <v>3.3</v>
      </c>
      <c r="H203" s="181">
        <v>4.12</v>
      </c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11.25" customHeight="1">
      <c r="A204" s="200"/>
      <c r="B204" s="192" t="s">
        <v>104</v>
      </c>
      <c r="C204" s="180">
        <v>2711.55</v>
      </c>
      <c r="D204" s="180">
        <v>0.38</v>
      </c>
      <c r="E204" s="184">
        <v>0.86</v>
      </c>
      <c r="F204" s="180">
        <v>1.86</v>
      </c>
      <c r="G204" s="180">
        <v>3.69</v>
      </c>
      <c r="H204" s="181">
        <v>4.19</v>
      </c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11.25" customHeight="1">
      <c r="A205" s="200"/>
      <c r="B205" s="192" t="s">
        <v>105</v>
      </c>
      <c r="C205" s="180">
        <v>2731.62</v>
      </c>
      <c r="D205" s="180">
        <v>0.74</v>
      </c>
      <c r="E205" s="184">
        <v>1.43</v>
      </c>
      <c r="F205" s="180">
        <v>2.33</v>
      </c>
      <c r="G205" s="180">
        <v>4.46</v>
      </c>
      <c r="H205" s="181">
        <v>4.46</v>
      </c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6.75" customHeight="1">
      <c r="A206" s="166"/>
      <c r="B206" s="166"/>
      <c r="C206" s="175"/>
      <c r="D206" s="176"/>
      <c r="E206" s="177"/>
      <c r="F206" s="177"/>
      <c r="G206" s="177"/>
      <c r="H206" s="178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11.25" customHeight="1">
      <c r="A207" s="168">
        <v>2008.0</v>
      </c>
      <c r="B207" s="192" t="s">
        <v>94</v>
      </c>
      <c r="C207" s="180">
        <v>2746.37</v>
      </c>
      <c r="D207" s="180">
        <v>0.54</v>
      </c>
      <c r="E207" s="184">
        <v>1.67</v>
      </c>
      <c r="F207" s="180">
        <v>2.64</v>
      </c>
      <c r="G207" s="180">
        <v>0.54</v>
      </c>
      <c r="H207" s="181">
        <v>4.56</v>
      </c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11.25" customHeight="1">
      <c r="A208" s="198"/>
      <c r="B208" s="192" t="s">
        <v>95</v>
      </c>
      <c r="C208" s="180">
        <v>2759.83</v>
      </c>
      <c r="D208" s="180">
        <v>0.49</v>
      </c>
      <c r="E208" s="184">
        <v>1.78</v>
      </c>
      <c r="F208" s="180">
        <v>2.66</v>
      </c>
      <c r="G208" s="180">
        <v>1.03</v>
      </c>
      <c r="H208" s="181">
        <v>4.61</v>
      </c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11.25" customHeight="1">
      <c r="A209" s="198"/>
      <c r="B209" s="192" t="s">
        <v>96</v>
      </c>
      <c r="C209" s="180">
        <v>2773.08</v>
      </c>
      <c r="D209" s="180">
        <v>0.48</v>
      </c>
      <c r="E209" s="184">
        <v>1.52</v>
      </c>
      <c r="F209" s="180">
        <v>2.97</v>
      </c>
      <c r="G209" s="180">
        <v>1.52</v>
      </c>
      <c r="H209" s="181">
        <v>4.73</v>
      </c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11.25" customHeight="1">
      <c r="A210" s="198"/>
      <c r="B210" s="192" t="s">
        <v>97</v>
      </c>
      <c r="C210" s="180">
        <v>2788.33</v>
      </c>
      <c r="D210" s="180">
        <v>0.55</v>
      </c>
      <c r="E210" s="184">
        <v>1.53</v>
      </c>
      <c r="F210" s="180">
        <v>3.22</v>
      </c>
      <c r="G210" s="180">
        <v>2.08</v>
      </c>
      <c r="H210" s="181">
        <v>5.04</v>
      </c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11.25" customHeight="1">
      <c r="A211" s="198"/>
      <c r="B211" s="192" t="s">
        <v>98</v>
      </c>
      <c r="C211" s="180">
        <v>2810.36</v>
      </c>
      <c r="D211" s="180">
        <v>0.79</v>
      </c>
      <c r="E211" s="184">
        <v>1.83</v>
      </c>
      <c r="F211" s="180">
        <v>3.64</v>
      </c>
      <c r="G211" s="180">
        <v>2.88</v>
      </c>
      <c r="H211" s="181">
        <v>5.58</v>
      </c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1.25" customHeight="1">
      <c r="A212" s="198"/>
      <c r="B212" s="192" t="s">
        <v>99</v>
      </c>
      <c r="C212" s="180">
        <v>2831.16</v>
      </c>
      <c r="D212" s="180">
        <v>0.74</v>
      </c>
      <c r="E212" s="184">
        <v>2.09</v>
      </c>
      <c r="F212" s="180">
        <v>3.64</v>
      </c>
      <c r="G212" s="180">
        <v>3.64</v>
      </c>
      <c r="H212" s="181">
        <v>6.06</v>
      </c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1.25" customHeight="1">
      <c r="A213" s="198"/>
      <c r="B213" s="192" t="s">
        <v>100</v>
      </c>
      <c r="C213" s="180">
        <v>2846.16</v>
      </c>
      <c r="D213" s="180">
        <v>0.53</v>
      </c>
      <c r="E213" s="184">
        <v>2.07</v>
      </c>
      <c r="F213" s="180">
        <v>3.63</v>
      </c>
      <c r="G213" s="180">
        <v>4.19</v>
      </c>
      <c r="H213" s="181">
        <v>6.37</v>
      </c>
      <c r="I213" s="141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11.25" customHeight="1">
      <c r="A214" s="198"/>
      <c r="B214" s="192" t="s">
        <v>101</v>
      </c>
      <c r="C214" s="180">
        <v>2854.13</v>
      </c>
      <c r="D214" s="180">
        <v>0.28</v>
      </c>
      <c r="E214" s="184">
        <v>1.56</v>
      </c>
      <c r="F214" s="180">
        <v>3.42</v>
      </c>
      <c r="G214" s="180">
        <v>4.48</v>
      </c>
      <c r="H214" s="181">
        <v>6.17</v>
      </c>
      <c r="I214" s="141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11.25" customHeight="1">
      <c r="A215" s="198"/>
      <c r="B215" s="192" t="s">
        <v>102</v>
      </c>
      <c r="C215" s="180">
        <v>2861.55</v>
      </c>
      <c r="D215" s="180">
        <v>0.26</v>
      </c>
      <c r="E215" s="184">
        <v>1.07</v>
      </c>
      <c r="F215" s="180">
        <v>3.19</v>
      </c>
      <c r="G215" s="180">
        <v>4.76</v>
      </c>
      <c r="H215" s="181">
        <v>6.25</v>
      </c>
      <c r="I215" s="141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11.25" customHeight="1">
      <c r="A216" s="198"/>
      <c r="B216" s="192" t="s">
        <v>103</v>
      </c>
      <c r="C216" s="180">
        <v>2874.43</v>
      </c>
      <c r="D216" s="180">
        <v>0.45</v>
      </c>
      <c r="E216" s="184">
        <v>0.99</v>
      </c>
      <c r="F216" s="180">
        <v>3.09</v>
      </c>
      <c r="G216" s="180">
        <v>5.23</v>
      </c>
      <c r="H216" s="181">
        <v>6.41</v>
      </c>
      <c r="I216" s="141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11.25" customHeight="1">
      <c r="A217" s="198"/>
      <c r="B217" s="192" t="s">
        <v>104</v>
      </c>
      <c r="C217" s="180">
        <v>2884.78</v>
      </c>
      <c r="D217" s="180">
        <v>0.36</v>
      </c>
      <c r="E217" s="184">
        <v>1.07</v>
      </c>
      <c r="F217" s="180">
        <v>2.65</v>
      </c>
      <c r="G217" s="180">
        <v>5.61</v>
      </c>
      <c r="H217" s="181">
        <v>6.39</v>
      </c>
      <c r="I217" s="141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11.25" customHeight="1">
      <c r="A218" s="201"/>
      <c r="B218" s="202" t="s">
        <v>105</v>
      </c>
      <c r="C218" s="187">
        <v>2892.86</v>
      </c>
      <c r="D218" s="187">
        <v>0.28</v>
      </c>
      <c r="E218" s="197">
        <v>1.09</v>
      </c>
      <c r="F218" s="187">
        <v>2.18</v>
      </c>
      <c r="G218" s="187">
        <v>5.9</v>
      </c>
      <c r="H218" s="147">
        <v>5.9</v>
      </c>
      <c r="I218" s="141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6.75" customHeight="1">
      <c r="A219" s="198"/>
      <c r="B219" s="189"/>
      <c r="C219" s="190"/>
      <c r="D219" s="190"/>
      <c r="E219" s="190"/>
      <c r="F219" s="190"/>
      <c r="G219" s="190"/>
      <c r="H219" s="181"/>
      <c r="I219" s="141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6.75" customHeight="1">
      <c r="A220" s="191" t="s">
        <v>106</v>
      </c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6.5" customHeight="1">
      <c r="A221" s="143" t="s">
        <v>110</v>
      </c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2.0" customHeight="1">
      <c r="A222" s="145"/>
      <c r="B222" s="145"/>
      <c r="C222" s="146"/>
      <c r="D222" s="145"/>
      <c r="E222" s="145"/>
      <c r="F222" s="145"/>
      <c r="G222" s="145"/>
      <c r="H222" s="147" t="s">
        <v>107</v>
      </c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11.25" customHeight="1">
      <c r="A223" s="148"/>
      <c r="B223" s="148"/>
      <c r="C223" s="149"/>
      <c r="D223" s="150"/>
      <c r="E223" s="151"/>
      <c r="F223" s="151" t="s">
        <v>86</v>
      </c>
      <c r="G223" s="151"/>
      <c r="H223" s="152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ht="11.25" customHeight="1">
      <c r="A224" s="154" t="s">
        <v>87</v>
      </c>
      <c r="B224" s="155" t="s">
        <v>88</v>
      </c>
      <c r="C224" s="156" t="s">
        <v>89</v>
      </c>
      <c r="D224" s="157" t="s">
        <v>90</v>
      </c>
      <c r="E224" s="90"/>
      <c r="F224" s="90"/>
      <c r="G224" s="90"/>
      <c r="H224" s="90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ht="13.5" customHeight="1">
      <c r="A225" s="154"/>
      <c r="B225" s="155"/>
      <c r="C225" s="158" t="s">
        <v>91</v>
      </c>
      <c r="D225" s="159" t="s">
        <v>92</v>
      </c>
      <c r="E225" s="159">
        <v>3.0</v>
      </c>
      <c r="F225" s="159">
        <v>6.0</v>
      </c>
      <c r="G225" s="159" t="s">
        <v>92</v>
      </c>
      <c r="H225" s="160">
        <v>12.0</v>
      </c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ht="14.25" customHeight="1">
      <c r="A226" s="161"/>
      <c r="B226" s="161"/>
      <c r="C226" s="162"/>
      <c r="D226" s="163" t="s">
        <v>88</v>
      </c>
      <c r="E226" s="164" t="s">
        <v>93</v>
      </c>
      <c r="F226" s="164" t="s">
        <v>93</v>
      </c>
      <c r="G226" s="164" t="s">
        <v>87</v>
      </c>
      <c r="H226" s="165" t="s">
        <v>93</v>
      </c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ht="6.75" customHeight="1">
      <c r="A227" s="166"/>
      <c r="B227" s="166"/>
      <c r="C227" s="167"/>
      <c r="D227" s="168"/>
      <c r="E227" s="169"/>
      <c r="F227" s="169"/>
      <c r="G227" s="169"/>
      <c r="H227" s="17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ht="11.25" customHeight="1">
      <c r="A228" s="168">
        <v>2009.0</v>
      </c>
      <c r="B228" s="192" t="s">
        <v>94</v>
      </c>
      <c r="C228" s="180">
        <v>2906.74</v>
      </c>
      <c r="D228" s="180">
        <v>0.48</v>
      </c>
      <c r="E228" s="184">
        <v>1.12</v>
      </c>
      <c r="F228" s="180">
        <v>2.13</v>
      </c>
      <c r="G228" s="180">
        <v>0.48</v>
      </c>
      <c r="H228" s="181">
        <v>5.84</v>
      </c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ht="11.25" customHeight="1">
      <c r="A229" s="198"/>
      <c r="B229" s="192" t="s">
        <v>95</v>
      </c>
      <c r="C229" s="180">
        <v>2922.73</v>
      </c>
      <c r="D229" s="180">
        <v>0.55</v>
      </c>
      <c r="E229" s="184">
        <v>1.32</v>
      </c>
      <c r="F229" s="180">
        <v>2.4</v>
      </c>
      <c r="G229" s="180">
        <v>1.03</v>
      </c>
      <c r="H229" s="181">
        <v>5.9</v>
      </c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ht="11.25" customHeight="1">
      <c r="A230" s="198"/>
      <c r="B230" s="192" t="s">
        <v>96</v>
      </c>
      <c r="C230" s="180">
        <v>2928.57</v>
      </c>
      <c r="D230" s="180">
        <v>0.2</v>
      </c>
      <c r="E230" s="184">
        <v>1.23</v>
      </c>
      <c r="F230" s="180">
        <v>2.34</v>
      </c>
      <c r="G230" s="180">
        <v>1.23</v>
      </c>
      <c r="H230" s="181">
        <v>5.61</v>
      </c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ht="11.25" customHeight="1">
      <c r="A231" s="198"/>
      <c r="B231" s="192" t="s">
        <v>97</v>
      </c>
      <c r="C231" s="180">
        <v>2942.63</v>
      </c>
      <c r="D231" s="180">
        <v>0.48</v>
      </c>
      <c r="E231" s="184">
        <v>1.23</v>
      </c>
      <c r="F231" s="180">
        <v>2.37</v>
      </c>
      <c r="G231" s="180">
        <v>1.72</v>
      </c>
      <c r="H231" s="181">
        <v>5.53</v>
      </c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ht="11.25" customHeight="1">
      <c r="A232" s="198"/>
      <c r="B232" s="192" t="s">
        <v>98</v>
      </c>
      <c r="C232" s="180">
        <v>2956.46</v>
      </c>
      <c r="D232" s="180">
        <v>0.47</v>
      </c>
      <c r="E232" s="184">
        <v>1.15</v>
      </c>
      <c r="F232" s="180">
        <v>2.48</v>
      </c>
      <c r="G232" s="180">
        <v>2.2</v>
      </c>
      <c r="H232" s="181">
        <v>5.2</v>
      </c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ht="11.25" customHeight="1">
      <c r="A233" s="198"/>
      <c r="B233" s="192" t="s">
        <v>99</v>
      </c>
      <c r="C233" s="180">
        <v>2967.1</v>
      </c>
      <c r="D233" s="180">
        <v>0.36</v>
      </c>
      <c r="E233" s="184">
        <v>1.32</v>
      </c>
      <c r="F233" s="180">
        <v>2.57</v>
      </c>
      <c r="G233" s="180">
        <v>2.57</v>
      </c>
      <c r="H233" s="181">
        <v>4.8</v>
      </c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ht="11.25" customHeight="1">
      <c r="A234" s="198"/>
      <c r="B234" s="192" t="s">
        <v>100</v>
      </c>
      <c r="C234" s="180">
        <v>2974.22</v>
      </c>
      <c r="D234" s="180">
        <v>0.24</v>
      </c>
      <c r="E234" s="184">
        <v>1.07</v>
      </c>
      <c r="F234" s="180">
        <v>2.32</v>
      </c>
      <c r="G234" s="180">
        <v>2.81</v>
      </c>
      <c r="H234" s="181">
        <v>4.5</v>
      </c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ht="11.25" customHeight="1">
      <c r="A235" s="198"/>
      <c r="B235" s="192" t="s">
        <v>101</v>
      </c>
      <c r="C235" s="180">
        <v>2978.68</v>
      </c>
      <c r="D235" s="180">
        <v>0.15</v>
      </c>
      <c r="E235" s="184">
        <v>0.75</v>
      </c>
      <c r="F235" s="180">
        <v>1.91</v>
      </c>
      <c r="G235" s="180">
        <v>2.97</v>
      </c>
      <c r="H235" s="181">
        <v>4.36</v>
      </c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ht="11.25" customHeight="1">
      <c r="A236" s="198"/>
      <c r="B236" s="192" t="s">
        <v>102</v>
      </c>
      <c r="C236" s="180">
        <v>2985.83</v>
      </c>
      <c r="D236" s="180">
        <v>0.24</v>
      </c>
      <c r="E236" s="184">
        <v>0.63</v>
      </c>
      <c r="F236" s="180">
        <v>1.96</v>
      </c>
      <c r="G236" s="180">
        <v>3.21</v>
      </c>
      <c r="H236" s="181">
        <v>4.34</v>
      </c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ht="11.25" customHeight="1">
      <c r="A237" s="198"/>
      <c r="B237" s="192" t="s">
        <v>103</v>
      </c>
      <c r="C237" s="180">
        <v>2994.19</v>
      </c>
      <c r="D237" s="180">
        <v>0.28</v>
      </c>
      <c r="E237" s="184">
        <v>0.67</v>
      </c>
      <c r="F237" s="180">
        <v>1.75</v>
      </c>
      <c r="G237" s="180">
        <v>3.5</v>
      </c>
      <c r="H237" s="181">
        <v>4.17</v>
      </c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ht="11.25" customHeight="1">
      <c r="A238" s="198"/>
      <c r="B238" s="192" t="s">
        <v>104</v>
      </c>
      <c r="C238" s="180">
        <v>3006.47</v>
      </c>
      <c r="D238" s="180">
        <v>0.41</v>
      </c>
      <c r="E238" s="184">
        <v>0.93</v>
      </c>
      <c r="F238" s="180">
        <v>1.69</v>
      </c>
      <c r="G238" s="180">
        <v>3.93</v>
      </c>
      <c r="H238" s="181">
        <v>4.22</v>
      </c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ht="11.25" customHeight="1">
      <c r="A239" s="198"/>
      <c r="B239" s="192" t="s">
        <v>105</v>
      </c>
      <c r="C239" s="180">
        <v>3017.59</v>
      </c>
      <c r="D239" s="180">
        <v>0.37</v>
      </c>
      <c r="E239" s="184">
        <v>1.06</v>
      </c>
      <c r="F239" s="180">
        <v>1.7</v>
      </c>
      <c r="G239" s="180">
        <v>4.31</v>
      </c>
      <c r="H239" s="181">
        <v>4.31</v>
      </c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ht="6.75" customHeight="1">
      <c r="A240" s="166"/>
      <c r="B240" s="166"/>
      <c r="C240" s="175"/>
      <c r="D240" s="176"/>
      <c r="E240" s="177"/>
      <c r="F240" s="177"/>
      <c r="G240" s="177"/>
      <c r="H240" s="178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ht="11.25" customHeight="1">
      <c r="A241" s="168">
        <v>2010.0</v>
      </c>
      <c r="B241" s="192" t="s">
        <v>94</v>
      </c>
      <c r="C241" s="180">
        <v>3040.22</v>
      </c>
      <c r="D241" s="180">
        <v>0.75</v>
      </c>
      <c r="E241" s="184">
        <v>1.54</v>
      </c>
      <c r="F241" s="180">
        <v>2.22</v>
      </c>
      <c r="G241" s="180">
        <v>0.75</v>
      </c>
      <c r="H241" s="181">
        <v>4.59</v>
      </c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ht="11.25" customHeight="1">
      <c r="A242" s="198"/>
      <c r="B242" s="192" t="s">
        <v>95</v>
      </c>
      <c r="C242" s="180">
        <v>3063.93</v>
      </c>
      <c r="D242" s="180">
        <v>0.78</v>
      </c>
      <c r="E242" s="184">
        <v>1.91</v>
      </c>
      <c r="F242" s="180">
        <v>2.86</v>
      </c>
      <c r="G242" s="180">
        <v>1.54</v>
      </c>
      <c r="H242" s="181">
        <v>4.83</v>
      </c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ht="11.25" customHeight="1">
      <c r="A243" s="198"/>
      <c r="B243" s="192" t="s">
        <v>96</v>
      </c>
      <c r="C243" s="180">
        <v>3079.86</v>
      </c>
      <c r="D243" s="180">
        <v>0.52</v>
      </c>
      <c r="E243" s="184">
        <v>2.06</v>
      </c>
      <c r="F243" s="180">
        <v>3.15</v>
      </c>
      <c r="G243" s="180">
        <v>2.06</v>
      </c>
      <c r="H243" s="181">
        <v>5.17</v>
      </c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ht="11.25" customHeight="1">
      <c r="A244" s="198"/>
      <c r="B244" s="192" t="s">
        <v>97</v>
      </c>
      <c r="C244" s="180">
        <v>3097.42</v>
      </c>
      <c r="D244" s="180">
        <v>0.57</v>
      </c>
      <c r="E244" s="184">
        <v>1.88</v>
      </c>
      <c r="F244" s="180">
        <v>3.45</v>
      </c>
      <c r="G244" s="180">
        <v>2.65</v>
      </c>
      <c r="H244" s="181">
        <v>5.26</v>
      </c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ht="11.25" customHeight="1">
      <c r="A245" s="198"/>
      <c r="B245" s="192" t="s">
        <v>98</v>
      </c>
      <c r="C245" s="180">
        <v>3110.74</v>
      </c>
      <c r="D245" s="180">
        <v>0.43</v>
      </c>
      <c r="E245" s="184">
        <v>1.53</v>
      </c>
      <c r="F245" s="180">
        <v>3.47</v>
      </c>
      <c r="G245" s="180">
        <v>3.09</v>
      </c>
      <c r="H245" s="181">
        <v>5.22</v>
      </c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ht="11.25" customHeight="1">
      <c r="A246" s="198"/>
      <c r="B246" s="192" t="s">
        <v>99</v>
      </c>
      <c r="C246" s="180">
        <v>3110.74</v>
      </c>
      <c r="D246" s="180">
        <v>0.0</v>
      </c>
      <c r="E246" s="184">
        <v>1.0</v>
      </c>
      <c r="F246" s="180">
        <v>3.09</v>
      </c>
      <c r="G246" s="180">
        <v>3.09</v>
      </c>
      <c r="H246" s="181">
        <v>4.84</v>
      </c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ht="11.25" customHeight="1">
      <c r="A247" s="198"/>
      <c r="B247" s="192" t="s">
        <v>100</v>
      </c>
      <c r="C247" s="180">
        <v>3111.05</v>
      </c>
      <c r="D247" s="180">
        <v>0.01</v>
      </c>
      <c r="E247" s="184">
        <v>0.44</v>
      </c>
      <c r="F247" s="180">
        <v>2.33</v>
      </c>
      <c r="G247" s="180">
        <v>3.1</v>
      </c>
      <c r="H247" s="181">
        <v>4.6</v>
      </c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ht="11.25" customHeight="1">
      <c r="A248" s="198"/>
      <c r="B248" s="192" t="s">
        <v>101</v>
      </c>
      <c r="C248" s="180">
        <v>3112.29</v>
      </c>
      <c r="D248" s="180">
        <v>0.04</v>
      </c>
      <c r="E248" s="184">
        <v>0.05</v>
      </c>
      <c r="F248" s="180">
        <v>1.58</v>
      </c>
      <c r="G248" s="180">
        <v>3.14</v>
      </c>
      <c r="H248" s="181">
        <v>4.49</v>
      </c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ht="11.25" customHeight="1">
      <c r="A249" s="198"/>
      <c r="B249" s="192" t="s">
        <v>102</v>
      </c>
      <c r="C249" s="180">
        <v>3126.29</v>
      </c>
      <c r="D249" s="180">
        <v>0.45</v>
      </c>
      <c r="E249" s="184">
        <v>0.5</v>
      </c>
      <c r="F249" s="180">
        <v>1.51</v>
      </c>
      <c r="G249" s="180">
        <v>3.6</v>
      </c>
      <c r="H249" s="181">
        <v>4.7</v>
      </c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ht="11.25" customHeight="1">
      <c r="A250" s="198"/>
      <c r="B250" s="192" t="s">
        <v>103</v>
      </c>
      <c r="C250" s="180">
        <v>3149.74</v>
      </c>
      <c r="D250" s="180">
        <v>0.75</v>
      </c>
      <c r="E250" s="184">
        <v>1.24</v>
      </c>
      <c r="F250" s="180">
        <v>1.69</v>
      </c>
      <c r="G250" s="180">
        <v>4.38</v>
      </c>
      <c r="H250" s="181">
        <v>5.2</v>
      </c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ht="11.25" customHeight="1">
      <c r="A251" s="198"/>
      <c r="B251" s="192" t="s">
        <v>104</v>
      </c>
      <c r="C251" s="180">
        <v>3175.88</v>
      </c>
      <c r="D251" s="180">
        <v>0.83</v>
      </c>
      <c r="E251" s="184">
        <v>2.04</v>
      </c>
      <c r="F251" s="180">
        <v>2.09</v>
      </c>
      <c r="G251" s="180">
        <v>5.25</v>
      </c>
      <c r="H251" s="181">
        <v>5.63</v>
      </c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11.25" customHeight="1">
      <c r="A252" s="198"/>
      <c r="B252" s="192" t="s">
        <v>105</v>
      </c>
      <c r="C252" s="180">
        <v>3195.89</v>
      </c>
      <c r="D252" s="180">
        <v>0.63</v>
      </c>
      <c r="E252" s="184">
        <v>2.23</v>
      </c>
      <c r="F252" s="180">
        <v>2.74</v>
      </c>
      <c r="G252" s="180">
        <v>5.91</v>
      </c>
      <c r="H252" s="181">
        <v>5.91</v>
      </c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6.75" customHeight="1">
      <c r="A253" s="166"/>
      <c r="B253" s="166"/>
      <c r="C253" s="175"/>
      <c r="D253" s="176"/>
      <c r="E253" s="177"/>
      <c r="F253" s="177"/>
      <c r="G253" s="177"/>
      <c r="H253" s="178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ht="11.25" customHeight="1">
      <c r="A254" s="168">
        <v>2011.0</v>
      </c>
      <c r="B254" s="192" t="s">
        <v>94</v>
      </c>
      <c r="C254" s="180">
        <v>3222.42</v>
      </c>
      <c r="D254" s="180">
        <v>0.83</v>
      </c>
      <c r="E254" s="184">
        <v>2.31</v>
      </c>
      <c r="F254" s="180">
        <v>3.58</v>
      </c>
      <c r="G254" s="180">
        <v>0.83</v>
      </c>
      <c r="H254" s="181">
        <v>5.99</v>
      </c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ht="11.25" customHeight="1">
      <c r="A255" s="198"/>
      <c r="B255" s="192" t="s">
        <v>95</v>
      </c>
      <c r="C255" s="180">
        <v>3248.2</v>
      </c>
      <c r="D255" s="180">
        <v>0.8</v>
      </c>
      <c r="E255" s="184">
        <v>2.28</v>
      </c>
      <c r="F255" s="180">
        <v>4.37</v>
      </c>
      <c r="G255" s="180">
        <v>1.64</v>
      </c>
      <c r="H255" s="181">
        <v>6.01</v>
      </c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ht="11.25" customHeight="1">
      <c r="A256" s="198"/>
      <c r="B256" s="192" t="s">
        <v>96</v>
      </c>
      <c r="C256" s="180">
        <v>3273.86</v>
      </c>
      <c r="D256" s="180">
        <v>0.79</v>
      </c>
      <c r="E256" s="184">
        <v>2.44</v>
      </c>
      <c r="F256" s="180">
        <v>4.72</v>
      </c>
      <c r="G256" s="180">
        <v>2.44</v>
      </c>
      <c r="H256" s="181">
        <v>6.3</v>
      </c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ht="11.25" customHeight="1">
      <c r="A257" s="198"/>
      <c r="B257" s="192" t="s">
        <v>97</v>
      </c>
      <c r="C257" s="180">
        <v>3299.07</v>
      </c>
      <c r="D257" s="180">
        <v>0.77</v>
      </c>
      <c r="E257" s="184">
        <v>2.38</v>
      </c>
      <c r="F257" s="180">
        <v>4.74</v>
      </c>
      <c r="G257" s="180">
        <v>3.23</v>
      </c>
      <c r="H257" s="181">
        <v>6.51</v>
      </c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ht="11.25" customHeight="1">
      <c r="A258" s="198"/>
      <c r="B258" s="192" t="s">
        <v>98</v>
      </c>
      <c r="C258" s="180">
        <v>3314.58</v>
      </c>
      <c r="D258" s="180">
        <v>0.47</v>
      </c>
      <c r="E258" s="184">
        <v>2.04</v>
      </c>
      <c r="F258" s="180">
        <v>4.37</v>
      </c>
      <c r="G258" s="180">
        <v>3.71</v>
      </c>
      <c r="H258" s="181">
        <v>6.55</v>
      </c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ht="11.25" customHeight="1">
      <c r="A259" s="198"/>
      <c r="B259" s="192" t="s">
        <v>99</v>
      </c>
      <c r="C259" s="180">
        <v>3319.55</v>
      </c>
      <c r="D259" s="180">
        <v>0.15</v>
      </c>
      <c r="E259" s="184">
        <v>1.4</v>
      </c>
      <c r="F259" s="180">
        <v>3.87</v>
      </c>
      <c r="G259" s="180">
        <v>3.87</v>
      </c>
      <c r="H259" s="181">
        <v>6.71</v>
      </c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ht="11.25" customHeight="1">
      <c r="A260" s="198"/>
      <c r="B260" s="192" t="s">
        <v>100</v>
      </c>
      <c r="C260" s="180">
        <v>3324.86</v>
      </c>
      <c r="D260" s="180">
        <v>0.16</v>
      </c>
      <c r="E260" s="184">
        <v>0.78</v>
      </c>
      <c r="F260" s="180">
        <v>3.18</v>
      </c>
      <c r="G260" s="180">
        <v>4.04</v>
      </c>
      <c r="H260" s="181">
        <v>6.87</v>
      </c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ht="11.25" customHeight="1">
      <c r="A261" s="198"/>
      <c r="B261" s="192" t="s">
        <v>101</v>
      </c>
      <c r="C261" s="180">
        <v>3337.16</v>
      </c>
      <c r="D261" s="180">
        <v>0.37</v>
      </c>
      <c r="E261" s="184">
        <v>0.68</v>
      </c>
      <c r="F261" s="180">
        <v>2.74</v>
      </c>
      <c r="G261" s="180">
        <v>4.42</v>
      </c>
      <c r="H261" s="181">
        <v>7.23</v>
      </c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ht="11.25" customHeight="1">
      <c r="A262" s="198"/>
      <c r="B262" s="192" t="s">
        <v>102</v>
      </c>
      <c r="C262" s="180">
        <v>3354.85</v>
      </c>
      <c r="D262" s="180">
        <v>0.53</v>
      </c>
      <c r="E262" s="184">
        <v>1.06</v>
      </c>
      <c r="F262" s="180">
        <v>2.47</v>
      </c>
      <c r="G262" s="180">
        <v>4.97</v>
      </c>
      <c r="H262" s="181">
        <v>7.31</v>
      </c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ht="11.25" customHeight="1">
      <c r="A263" s="198"/>
      <c r="B263" s="192" t="s">
        <v>103</v>
      </c>
      <c r="C263" s="180">
        <v>3369.28</v>
      </c>
      <c r="D263" s="180">
        <v>0.43</v>
      </c>
      <c r="E263" s="184">
        <v>1.34</v>
      </c>
      <c r="F263" s="180">
        <v>2.13</v>
      </c>
      <c r="G263" s="180">
        <v>5.43</v>
      </c>
      <c r="H263" s="181">
        <v>6.97</v>
      </c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ht="11.25" customHeight="1">
      <c r="A264" s="198"/>
      <c r="B264" s="192" t="s">
        <v>104</v>
      </c>
      <c r="C264" s="180">
        <v>3386.8</v>
      </c>
      <c r="D264" s="180">
        <v>0.52</v>
      </c>
      <c r="E264" s="184">
        <v>1.49</v>
      </c>
      <c r="F264" s="180">
        <v>2.18</v>
      </c>
      <c r="G264" s="180">
        <v>5.97</v>
      </c>
      <c r="H264" s="181">
        <v>6.64</v>
      </c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ht="11.25" customHeight="1">
      <c r="A265" s="198"/>
      <c r="B265" s="192" t="s">
        <v>105</v>
      </c>
      <c r="C265" s="180">
        <v>3403.73</v>
      </c>
      <c r="D265" s="180">
        <v>0.5</v>
      </c>
      <c r="E265" s="184">
        <v>1.46</v>
      </c>
      <c r="F265" s="180">
        <v>2.54</v>
      </c>
      <c r="G265" s="180">
        <v>6.5</v>
      </c>
      <c r="H265" s="181">
        <v>6.5</v>
      </c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ht="6.75" customHeight="1">
      <c r="A266" s="198"/>
      <c r="B266" s="192"/>
      <c r="C266" s="180"/>
      <c r="D266" s="180"/>
      <c r="E266" s="184"/>
      <c r="F266" s="180"/>
      <c r="G266" s="180"/>
      <c r="H266" s="181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ht="11.25" customHeight="1">
      <c r="A267" s="168">
        <v>2012.0</v>
      </c>
      <c r="B267" s="192" t="s">
        <v>94</v>
      </c>
      <c r="C267" s="180">
        <v>3422.79</v>
      </c>
      <c r="D267" s="180">
        <v>0.56</v>
      </c>
      <c r="E267" s="184">
        <v>1.59</v>
      </c>
      <c r="F267" s="180">
        <v>2.95</v>
      </c>
      <c r="G267" s="180">
        <v>0.56</v>
      </c>
      <c r="H267" s="181">
        <v>6.22</v>
      </c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ht="11.25" customHeight="1">
      <c r="A268" s="198"/>
      <c r="B268" s="192" t="s">
        <v>95</v>
      </c>
      <c r="C268" s="180">
        <v>3438.19</v>
      </c>
      <c r="D268" s="180">
        <v>0.45</v>
      </c>
      <c r="E268" s="184">
        <v>1.52</v>
      </c>
      <c r="F268" s="180">
        <v>3.03</v>
      </c>
      <c r="G268" s="180">
        <v>1.01</v>
      </c>
      <c r="H268" s="181">
        <v>5.85</v>
      </c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ht="11.25" customHeight="1">
      <c r="A269" s="198"/>
      <c r="B269" s="192" t="s">
        <v>96</v>
      </c>
      <c r="C269" s="180">
        <v>3445.41</v>
      </c>
      <c r="D269" s="180">
        <v>0.21</v>
      </c>
      <c r="E269" s="184">
        <v>1.22</v>
      </c>
      <c r="F269" s="180">
        <v>2.7</v>
      </c>
      <c r="G269" s="180">
        <v>1.22</v>
      </c>
      <c r="H269" s="181">
        <v>5.24</v>
      </c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ht="11.25" customHeight="1">
      <c r="A270" s="198"/>
      <c r="B270" s="192" t="s">
        <v>97</v>
      </c>
      <c r="C270" s="180">
        <v>3467.46</v>
      </c>
      <c r="D270" s="180">
        <v>0.64</v>
      </c>
      <c r="E270" s="184">
        <v>1.31</v>
      </c>
      <c r="F270" s="180">
        <v>2.91</v>
      </c>
      <c r="G270" s="180">
        <v>1.87</v>
      </c>
      <c r="H270" s="181">
        <v>5.1</v>
      </c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ht="11.25" customHeight="1">
      <c r="A271" s="198"/>
      <c r="B271" s="192" t="s">
        <v>98</v>
      </c>
      <c r="C271" s="180">
        <v>3479.94</v>
      </c>
      <c r="D271" s="180">
        <v>0.36</v>
      </c>
      <c r="E271" s="184">
        <v>1.21</v>
      </c>
      <c r="F271" s="180">
        <v>2.75</v>
      </c>
      <c r="G271" s="180">
        <v>2.24</v>
      </c>
      <c r="H271" s="181">
        <v>4.99</v>
      </c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ht="11.25" customHeight="1">
      <c r="A272" s="198"/>
      <c r="B272" s="192" t="s">
        <v>99</v>
      </c>
      <c r="C272" s="180">
        <v>3482.72</v>
      </c>
      <c r="D272" s="180">
        <v>0.08</v>
      </c>
      <c r="E272" s="184">
        <v>1.08</v>
      </c>
      <c r="F272" s="180">
        <v>2.32</v>
      </c>
      <c r="G272" s="180">
        <v>2.32</v>
      </c>
      <c r="H272" s="181">
        <v>4.92</v>
      </c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ht="11.25" customHeight="1">
      <c r="A273" s="198"/>
      <c r="B273" s="192" t="s">
        <v>100</v>
      </c>
      <c r="C273" s="180">
        <v>3497.7</v>
      </c>
      <c r="D273" s="180">
        <v>0.43</v>
      </c>
      <c r="E273" s="184">
        <v>0.87</v>
      </c>
      <c r="F273" s="180">
        <v>2.19</v>
      </c>
      <c r="G273" s="180">
        <v>2.76</v>
      </c>
      <c r="H273" s="181">
        <v>5.2</v>
      </c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ht="11.25" customHeight="1">
      <c r="A274" s="198"/>
      <c r="B274" s="171" t="s">
        <v>101</v>
      </c>
      <c r="C274" s="172">
        <v>3512.04</v>
      </c>
      <c r="D274" s="172">
        <v>0.41</v>
      </c>
      <c r="E274" s="172">
        <v>0.92</v>
      </c>
      <c r="F274" s="172">
        <v>2.15</v>
      </c>
      <c r="G274" s="172">
        <v>3.18</v>
      </c>
      <c r="H274" s="173">
        <v>5.24</v>
      </c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ht="11.25" customHeight="1">
      <c r="A275" s="198"/>
      <c r="B275" s="171" t="s">
        <v>102</v>
      </c>
      <c r="C275" s="172">
        <v>3532.06</v>
      </c>
      <c r="D275" s="172">
        <v>0.57</v>
      </c>
      <c r="E275" s="172">
        <v>1.42</v>
      </c>
      <c r="F275" s="172">
        <v>2.51</v>
      </c>
      <c r="G275" s="172">
        <v>3.77</v>
      </c>
      <c r="H275" s="173">
        <v>5.28</v>
      </c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ht="11.25" customHeight="1">
      <c r="A276" s="203"/>
      <c r="B276" s="171" t="s">
        <v>103</v>
      </c>
      <c r="C276" s="172">
        <v>3552.9</v>
      </c>
      <c r="D276" s="172">
        <v>0.59</v>
      </c>
      <c r="E276" s="172">
        <v>1.58</v>
      </c>
      <c r="F276" s="172">
        <v>2.46</v>
      </c>
      <c r="G276" s="172">
        <v>4.38</v>
      </c>
      <c r="H276" s="173">
        <v>5.45</v>
      </c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ht="11.25" customHeight="1">
      <c r="A277" s="203"/>
      <c r="B277" s="171" t="s">
        <v>104</v>
      </c>
      <c r="C277" s="172">
        <v>3574.22</v>
      </c>
      <c r="D277" s="172">
        <v>0.6</v>
      </c>
      <c r="E277" s="172">
        <v>1.77</v>
      </c>
      <c r="F277" s="172">
        <v>2.71</v>
      </c>
      <c r="G277" s="172">
        <v>5.01</v>
      </c>
      <c r="H277" s="173">
        <v>5.53</v>
      </c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ht="11.25" customHeight="1">
      <c r="A278" s="203"/>
      <c r="B278" s="171" t="s">
        <v>105</v>
      </c>
      <c r="C278" s="172">
        <v>3602.46</v>
      </c>
      <c r="D278" s="172">
        <v>0.79</v>
      </c>
      <c r="E278" s="172">
        <v>1.99</v>
      </c>
      <c r="F278" s="172">
        <v>3.44</v>
      </c>
      <c r="G278" s="172">
        <v>5.84</v>
      </c>
      <c r="H278" s="173">
        <v>5.84</v>
      </c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ht="6.75" customHeight="1">
      <c r="A279" s="203"/>
      <c r="B279" s="171"/>
      <c r="C279" s="172"/>
      <c r="D279" s="172"/>
      <c r="E279" s="172"/>
      <c r="F279" s="172"/>
      <c r="G279" s="172"/>
      <c r="H279" s="173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ht="11.25" customHeight="1">
      <c r="A280" s="168">
        <v>2013.0</v>
      </c>
      <c r="B280" s="192" t="s">
        <v>94</v>
      </c>
      <c r="C280" s="172">
        <v>3633.44</v>
      </c>
      <c r="D280" s="172">
        <v>0.86</v>
      </c>
      <c r="E280" s="172">
        <v>2.27</v>
      </c>
      <c r="F280" s="172">
        <v>3.88</v>
      </c>
      <c r="G280" s="172">
        <v>0.86</v>
      </c>
      <c r="H280" s="173">
        <v>6.15</v>
      </c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ht="11.25" customHeight="1">
      <c r="A281" s="168"/>
      <c r="B281" s="192" t="s">
        <v>95</v>
      </c>
      <c r="C281" s="172">
        <v>3655.24</v>
      </c>
      <c r="D281" s="172">
        <v>0.6</v>
      </c>
      <c r="E281" s="172">
        <v>2.27</v>
      </c>
      <c r="F281" s="172">
        <v>4.08</v>
      </c>
      <c r="G281" s="172">
        <v>1.47</v>
      </c>
      <c r="H281" s="173">
        <v>6.31</v>
      </c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ht="11.25" customHeight="1">
      <c r="A282" s="168"/>
      <c r="B282" s="192" t="s">
        <v>96</v>
      </c>
      <c r="C282" s="172">
        <v>3672.42</v>
      </c>
      <c r="D282" s="172">
        <v>0.47</v>
      </c>
      <c r="E282" s="172">
        <v>1.94</v>
      </c>
      <c r="F282" s="172">
        <v>3.97</v>
      </c>
      <c r="G282" s="172">
        <v>1.94</v>
      </c>
      <c r="H282" s="173">
        <v>6.59</v>
      </c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ht="11.25" customHeight="1">
      <c r="A283" s="166"/>
      <c r="B283" s="189" t="s">
        <v>97</v>
      </c>
      <c r="C283" s="172">
        <v>3692.62</v>
      </c>
      <c r="D283" s="172">
        <v>0.55</v>
      </c>
      <c r="E283" s="172">
        <v>1.63</v>
      </c>
      <c r="F283" s="172">
        <v>3.93</v>
      </c>
      <c r="G283" s="172">
        <v>2.5</v>
      </c>
      <c r="H283" s="173">
        <v>6.49</v>
      </c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ht="11.25" customHeight="1">
      <c r="A284" s="168"/>
      <c r="B284" s="192" t="s">
        <v>98</v>
      </c>
      <c r="C284" s="172">
        <v>3706.28</v>
      </c>
      <c r="D284" s="172">
        <v>0.37</v>
      </c>
      <c r="E284" s="172">
        <v>1.4</v>
      </c>
      <c r="F284" s="172">
        <v>3.69</v>
      </c>
      <c r="G284" s="172">
        <v>2.88</v>
      </c>
      <c r="H284" s="173">
        <v>6.5</v>
      </c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ht="11.25" customHeight="1">
      <c r="A285" s="168"/>
      <c r="B285" s="192" t="s">
        <v>99</v>
      </c>
      <c r="C285" s="172">
        <v>3715.92</v>
      </c>
      <c r="D285" s="172">
        <v>0.26</v>
      </c>
      <c r="E285" s="172">
        <v>1.18</v>
      </c>
      <c r="F285" s="172">
        <v>3.15</v>
      </c>
      <c r="G285" s="172">
        <v>3.15</v>
      </c>
      <c r="H285" s="173">
        <v>6.7</v>
      </c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ht="11.25" customHeight="1">
      <c r="A286" s="166"/>
      <c r="B286" s="189" t="s">
        <v>100</v>
      </c>
      <c r="C286" s="172">
        <v>3717.03</v>
      </c>
      <c r="D286" s="172">
        <v>0.03</v>
      </c>
      <c r="E286" s="172">
        <v>0.66</v>
      </c>
      <c r="F286" s="172">
        <v>2.3</v>
      </c>
      <c r="G286" s="172">
        <v>3.18</v>
      </c>
      <c r="H286" s="173">
        <v>6.27</v>
      </c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ht="11.25" customHeight="1">
      <c r="A287" s="166"/>
      <c r="B287" s="189" t="s">
        <v>101</v>
      </c>
      <c r="C287" s="172">
        <v>3725.95</v>
      </c>
      <c r="D287" s="172">
        <v>0.24</v>
      </c>
      <c r="E287" s="172">
        <v>0.53</v>
      </c>
      <c r="F287" s="172">
        <v>1.93</v>
      </c>
      <c r="G287" s="172">
        <v>3.43</v>
      </c>
      <c r="H287" s="173">
        <v>6.09</v>
      </c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ht="11.25" customHeight="1">
      <c r="A288" s="166"/>
      <c r="B288" s="189" t="s">
        <v>102</v>
      </c>
      <c r="C288" s="172">
        <v>3738.99</v>
      </c>
      <c r="D288" s="172">
        <v>0.35</v>
      </c>
      <c r="E288" s="172">
        <v>0.62</v>
      </c>
      <c r="F288" s="172">
        <v>1.81</v>
      </c>
      <c r="G288" s="172">
        <v>3.79</v>
      </c>
      <c r="H288" s="173">
        <v>5.86</v>
      </c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ht="11.25" customHeight="1">
      <c r="A289" s="166"/>
      <c r="B289" s="189" t="s">
        <v>103</v>
      </c>
      <c r="C289" s="172">
        <v>3760.3</v>
      </c>
      <c r="D289" s="172">
        <v>0.57</v>
      </c>
      <c r="E289" s="172">
        <v>1.16</v>
      </c>
      <c r="F289" s="172">
        <v>1.83</v>
      </c>
      <c r="G289" s="172">
        <v>4.38</v>
      </c>
      <c r="H289" s="173">
        <v>5.84</v>
      </c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ht="11.25" customHeight="1">
      <c r="A290" s="166"/>
      <c r="B290" s="189" t="s">
        <v>104</v>
      </c>
      <c r="C290" s="172">
        <v>3780.61</v>
      </c>
      <c r="D290" s="172">
        <v>0.54</v>
      </c>
      <c r="E290" s="172">
        <v>1.47</v>
      </c>
      <c r="F290" s="172">
        <v>2.01</v>
      </c>
      <c r="G290" s="172">
        <v>4.95</v>
      </c>
      <c r="H290" s="173">
        <v>5.77</v>
      </c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ht="11.25" customHeight="1">
      <c r="A291" s="204"/>
      <c r="B291" s="205" t="s">
        <v>105</v>
      </c>
      <c r="C291" s="206">
        <v>3815.39</v>
      </c>
      <c r="D291" s="206">
        <v>0.92</v>
      </c>
      <c r="E291" s="206">
        <v>2.04</v>
      </c>
      <c r="F291" s="206">
        <v>2.68</v>
      </c>
      <c r="G291" s="206">
        <v>5.91</v>
      </c>
      <c r="H291" s="188">
        <v>5.91</v>
      </c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6.75" customHeight="1">
      <c r="A292" s="168"/>
      <c r="B292" s="189"/>
      <c r="C292" s="190"/>
      <c r="D292" s="190"/>
      <c r="E292" s="190"/>
      <c r="F292" s="190"/>
      <c r="G292" s="190"/>
      <c r="H292" s="181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6.75" customHeight="1">
      <c r="A293" s="168"/>
      <c r="B293" s="189"/>
      <c r="C293" s="190"/>
      <c r="D293" s="190"/>
      <c r="E293" s="190"/>
      <c r="F293" s="190"/>
      <c r="G293" s="190"/>
      <c r="H293" s="181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ht="11.25" customHeight="1">
      <c r="A294" s="143" t="s">
        <v>110</v>
      </c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ht="11.25" customHeight="1">
      <c r="A295" s="145"/>
      <c r="B295" s="145"/>
      <c r="C295" s="146"/>
      <c r="D295" s="145"/>
      <c r="E295" s="145"/>
      <c r="F295" s="145"/>
      <c r="G295" s="145"/>
      <c r="H295" s="147" t="s">
        <v>107</v>
      </c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ht="11.25" customHeight="1">
      <c r="A296" s="148"/>
      <c r="B296" s="148"/>
      <c r="C296" s="149"/>
      <c r="D296" s="150"/>
      <c r="E296" s="151"/>
      <c r="F296" s="151" t="s">
        <v>86</v>
      </c>
      <c r="G296" s="151"/>
      <c r="H296" s="152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ht="11.25" customHeight="1">
      <c r="A297" s="154" t="s">
        <v>87</v>
      </c>
      <c r="B297" s="155" t="s">
        <v>88</v>
      </c>
      <c r="C297" s="156" t="s">
        <v>89</v>
      </c>
      <c r="D297" s="157" t="s">
        <v>90</v>
      </c>
      <c r="E297" s="90"/>
      <c r="F297" s="90"/>
      <c r="G297" s="90"/>
      <c r="H297" s="9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ht="11.25" customHeight="1">
      <c r="A298" s="154"/>
      <c r="B298" s="155"/>
      <c r="C298" s="158" t="s">
        <v>91</v>
      </c>
      <c r="D298" s="159" t="s">
        <v>92</v>
      </c>
      <c r="E298" s="159">
        <v>3.0</v>
      </c>
      <c r="F298" s="159">
        <v>6.0</v>
      </c>
      <c r="G298" s="159" t="s">
        <v>92</v>
      </c>
      <c r="H298" s="160">
        <v>12.0</v>
      </c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ht="14.25" customHeight="1">
      <c r="A299" s="161"/>
      <c r="B299" s="161"/>
      <c r="C299" s="162"/>
      <c r="D299" s="163" t="s">
        <v>88</v>
      </c>
      <c r="E299" s="164" t="s">
        <v>93</v>
      </c>
      <c r="F299" s="164" t="s">
        <v>93</v>
      </c>
      <c r="G299" s="164" t="s">
        <v>87</v>
      </c>
      <c r="H299" s="165" t="s">
        <v>93</v>
      </c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ht="6.75" customHeight="1">
      <c r="A300" s="168"/>
      <c r="B300" s="192"/>
      <c r="C300" s="172"/>
      <c r="D300" s="172"/>
      <c r="E300" s="172"/>
      <c r="F300" s="172"/>
      <c r="G300" s="172"/>
      <c r="H300" s="173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ht="11.25" customHeight="1">
      <c r="A301" s="168">
        <v>2014.0</v>
      </c>
      <c r="B301" s="192" t="s">
        <v>94</v>
      </c>
      <c r="C301" s="180">
        <v>3836.37</v>
      </c>
      <c r="D301" s="180">
        <v>0.55</v>
      </c>
      <c r="E301" s="184">
        <v>2.02</v>
      </c>
      <c r="F301" s="180">
        <v>3.21</v>
      </c>
      <c r="G301" s="180">
        <v>0.55</v>
      </c>
      <c r="H301" s="181">
        <v>5.59</v>
      </c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ht="11.25" customHeight="1">
      <c r="A302" s="198"/>
      <c r="B302" s="192" t="s">
        <v>95</v>
      </c>
      <c r="C302" s="180">
        <v>3862.84</v>
      </c>
      <c r="D302" s="180">
        <v>0.69</v>
      </c>
      <c r="E302" s="184">
        <v>2.18</v>
      </c>
      <c r="F302" s="180">
        <v>3.67</v>
      </c>
      <c r="G302" s="180">
        <v>1.24</v>
      </c>
      <c r="H302" s="181">
        <v>5.68</v>
      </c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ht="11.25" customHeight="1">
      <c r="A303" s="198"/>
      <c r="B303" s="192" t="s">
        <v>96</v>
      </c>
      <c r="C303" s="180">
        <v>3898.38</v>
      </c>
      <c r="D303" s="180">
        <v>0.92</v>
      </c>
      <c r="E303" s="184">
        <v>2.18</v>
      </c>
      <c r="F303" s="180">
        <v>4.26</v>
      </c>
      <c r="G303" s="180">
        <v>2.18</v>
      </c>
      <c r="H303" s="181">
        <v>6.15</v>
      </c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ht="11.25" customHeight="1">
      <c r="A304" s="198"/>
      <c r="B304" s="192" t="s">
        <v>97</v>
      </c>
      <c r="C304" s="180">
        <v>3924.5</v>
      </c>
      <c r="D304" s="180">
        <v>0.67</v>
      </c>
      <c r="E304" s="184">
        <v>2.3</v>
      </c>
      <c r="F304" s="180">
        <v>4.37</v>
      </c>
      <c r="G304" s="180">
        <v>2.86</v>
      </c>
      <c r="H304" s="181">
        <v>6.28</v>
      </c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ht="11.25" customHeight="1">
      <c r="A305" s="198"/>
      <c r="B305" s="192" t="s">
        <v>98</v>
      </c>
      <c r="C305" s="180">
        <v>3942.55</v>
      </c>
      <c r="D305" s="180">
        <v>0.46</v>
      </c>
      <c r="E305" s="184">
        <v>2.06</v>
      </c>
      <c r="F305" s="180">
        <v>4.28</v>
      </c>
      <c r="G305" s="180">
        <v>3.33</v>
      </c>
      <c r="H305" s="181">
        <v>6.37</v>
      </c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ht="11.25" customHeight="1">
      <c r="A306" s="198"/>
      <c r="B306" s="192" t="s">
        <v>99</v>
      </c>
      <c r="C306" s="180">
        <v>3958.32</v>
      </c>
      <c r="D306" s="180">
        <v>0.4</v>
      </c>
      <c r="E306" s="184">
        <v>1.54</v>
      </c>
      <c r="F306" s="180">
        <v>3.75</v>
      </c>
      <c r="G306" s="180">
        <v>3.75</v>
      </c>
      <c r="H306" s="181">
        <v>6.52</v>
      </c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ht="11.25" customHeight="1">
      <c r="A307" s="198"/>
      <c r="B307" s="192" t="s">
        <v>100</v>
      </c>
      <c r="C307" s="180">
        <v>3958.72</v>
      </c>
      <c r="D307" s="180">
        <v>0.01</v>
      </c>
      <c r="E307" s="184">
        <v>0.87</v>
      </c>
      <c r="F307" s="180">
        <v>3.19</v>
      </c>
      <c r="G307" s="180">
        <v>3.76</v>
      </c>
      <c r="H307" s="181">
        <v>6.5</v>
      </c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ht="11.25" customHeight="1">
      <c r="A308" s="198"/>
      <c r="B308" s="192" t="s">
        <v>101</v>
      </c>
      <c r="C308" s="180">
        <v>3968.62</v>
      </c>
      <c r="D308" s="180">
        <v>0.25</v>
      </c>
      <c r="E308" s="184">
        <v>0.66</v>
      </c>
      <c r="F308" s="180">
        <v>2.74</v>
      </c>
      <c r="G308" s="180">
        <v>4.02</v>
      </c>
      <c r="H308" s="181">
        <v>6.51</v>
      </c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ht="11.25" customHeight="1">
      <c r="A309" s="198"/>
      <c r="B309" s="192" t="s">
        <v>102</v>
      </c>
      <c r="C309" s="180">
        <v>3991.24</v>
      </c>
      <c r="D309" s="180">
        <v>0.57</v>
      </c>
      <c r="E309" s="184">
        <v>0.83</v>
      </c>
      <c r="F309" s="180">
        <v>2.38</v>
      </c>
      <c r="G309" s="180">
        <v>4.61</v>
      </c>
      <c r="H309" s="181">
        <v>6.75</v>
      </c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ht="11.25" customHeight="1">
      <c r="A310" s="198"/>
      <c r="B310" s="192" t="s">
        <v>103</v>
      </c>
      <c r="C310" s="180">
        <v>4008.0</v>
      </c>
      <c r="D310" s="180">
        <v>0.42</v>
      </c>
      <c r="E310" s="184">
        <v>1.24</v>
      </c>
      <c r="F310" s="180">
        <v>2.13</v>
      </c>
      <c r="G310" s="180">
        <v>5.05</v>
      </c>
      <c r="H310" s="181">
        <v>6.59</v>
      </c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ht="11.25" customHeight="1">
      <c r="A311" s="198"/>
      <c r="B311" s="192" t="s">
        <v>104</v>
      </c>
      <c r="C311" s="180">
        <v>4028.44</v>
      </c>
      <c r="D311" s="180">
        <v>0.51</v>
      </c>
      <c r="E311" s="184">
        <v>1.51</v>
      </c>
      <c r="F311" s="180">
        <v>2.18</v>
      </c>
      <c r="G311" s="180">
        <v>5.58</v>
      </c>
      <c r="H311" s="181">
        <v>6.56</v>
      </c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ht="11.25" customHeight="1">
      <c r="A312" s="198"/>
      <c r="B312" s="192" t="s">
        <v>105</v>
      </c>
      <c r="C312" s="180">
        <v>4059.86</v>
      </c>
      <c r="D312" s="180">
        <v>0.78</v>
      </c>
      <c r="E312" s="184">
        <v>1.72</v>
      </c>
      <c r="F312" s="180">
        <v>2.57</v>
      </c>
      <c r="G312" s="180">
        <v>6.41</v>
      </c>
      <c r="H312" s="181">
        <v>6.41</v>
      </c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ht="6.75" customHeight="1">
      <c r="A313" s="166"/>
      <c r="B313" s="166"/>
      <c r="C313" s="175"/>
      <c r="D313" s="176"/>
      <c r="E313" s="177"/>
      <c r="F313" s="177"/>
      <c r="G313" s="177"/>
      <c r="H313" s="178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ht="11.25" customHeight="1">
      <c r="A314" s="168">
        <v>2015.0</v>
      </c>
      <c r="B314" s="192" t="s">
        <v>94</v>
      </c>
      <c r="C314" s="180">
        <v>4110.2</v>
      </c>
      <c r="D314" s="180">
        <v>1.24</v>
      </c>
      <c r="E314" s="184">
        <v>2.55</v>
      </c>
      <c r="F314" s="180">
        <v>3.83</v>
      </c>
      <c r="G314" s="180">
        <v>1.24</v>
      </c>
      <c r="H314" s="181">
        <v>7.14</v>
      </c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ht="11.25" customHeight="1">
      <c r="A315" s="198"/>
      <c r="B315" s="192" t="s">
        <v>95</v>
      </c>
      <c r="C315" s="180">
        <v>4160.34</v>
      </c>
      <c r="D315" s="180">
        <v>1.22</v>
      </c>
      <c r="E315" s="184">
        <v>3.27</v>
      </c>
      <c r="F315" s="180">
        <v>4.83</v>
      </c>
      <c r="G315" s="180">
        <v>2.48</v>
      </c>
      <c r="H315" s="181">
        <v>7.7</v>
      </c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ht="11.25" customHeight="1">
      <c r="A316" s="198"/>
      <c r="B316" s="192" t="s">
        <v>96</v>
      </c>
      <c r="C316" s="180">
        <v>4215.26</v>
      </c>
      <c r="D316" s="180">
        <v>1.32</v>
      </c>
      <c r="E316" s="184">
        <v>3.83</v>
      </c>
      <c r="F316" s="180">
        <v>5.61</v>
      </c>
      <c r="G316" s="180">
        <v>3.83</v>
      </c>
      <c r="H316" s="181">
        <v>8.13</v>
      </c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ht="11.25" customHeight="1">
      <c r="A317" s="198"/>
      <c r="B317" s="192" t="s">
        <v>97</v>
      </c>
      <c r="C317" s="180">
        <v>4245.19</v>
      </c>
      <c r="D317" s="180">
        <v>0.71</v>
      </c>
      <c r="E317" s="184">
        <v>3.28</v>
      </c>
      <c r="F317" s="180">
        <v>5.92</v>
      </c>
      <c r="G317" s="180">
        <v>4.56</v>
      </c>
      <c r="H317" s="181">
        <v>8.17</v>
      </c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ht="11.25" customHeight="1">
      <c r="A318" s="198"/>
      <c r="B318" s="192" t="s">
        <v>98</v>
      </c>
      <c r="C318" s="180">
        <v>4276.6</v>
      </c>
      <c r="D318" s="180">
        <v>0.74</v>
      </c>
      <c r="E318" s="184">
        <v>2.79</v>
      </c>
      <c r="F318" s="180">
        <v>6.16</v>
      </c>
      <c r="G318" s="180">
        <v>5.34</v>
      </c>
      <c r="H318" s="181">
        <v>8.47</v>
      </c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ht="11.25" customHeight="1">
      <c r="A319" s="198"/>
      <c r="B319" s="192" t="s">
        <v>99</v>
      </c>
      <c r="C319" s="180">
        <v>4310.39</v>
      </c>
      <c r="D319" s="180">
        <v>0.79</v>
      </c>
      <c r="E319" s="184">
        <v>2.26</v>
      </c>
      <c r="F319" s="180">
        <v>6.17</v>
      </c>
      <c r="G319" s="180">
        <v>6.17</v>
      </c>
      <c r="H319" s="181">
        <v>8.89</v>
      </c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ht="11.25" customHeight="1">
      <c r="A320" s="198"/>
      <c r="B320" s="192" t="s">
        <v>100</v>
      </c>
      <c r="C320" s="180">
        <v>4337.11</v>
      </c>
      <c r="D320" s="180">
        <v>0.62</v>
      </c>
      <c r="E320" s="184">
        <v>2.17</v>
      </c>
      <c r="F320" s="180">
        <v>5.52</v>
      </c>
      <c r="G320" s="180">
        <v>6.83</v>
      </c>
      <c r="H320" s="181">
        <v>9.56</v>
      </c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ht="11.25" customHeight="1">
      <c r="A321" s="198"/>
      <c r="B321" s="192" t="s">
        <v>101</v>
      </c>
      <c r="C321" s="180">
        <v>4346.65</v>
      </c>
      <c r="D321" s="180">
        <v>0.22</v>
      </c>
      <c r="E321" s="184">
        <v>1.64</v>
      </c>
      <c r="F321" s="180">
        <v>4.48</v>
      </c>
      <c r="G321" s="180">
        <v>7.06</v>
      </c>
      <c r="H321" s="181">
        <v>9.53</v>
      </c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ht="11.25" customHeight="1">
      <c r="A322" s="198"/>
      <c r="B322" s="192" t="s">
        <v>102</v>
      </c>
      <c r="C322" s="180">
        <v>4370.12</v>
      </c>
      <c r="D322" s="180">
        <v>0.54</v>
      </c>
      <c r="E322" s="184">
        <v>1.39</v>
      </c>
      <c r="F322" s="180">
        <v>3.67</v>
      </c>
      <c r="G322" s="180">
        <v>7.64</v>
      </c>
      <c r="H322" s="181">
        <v>9.49</v>
      </c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ht="11.25" customHeight="1">
      <c r="A323" s="198"/>
      <c r="B323" s="192" t="s">
        <v>103</v>
      </c>
      <c r="C323" s="180">
        <v>4405.95</v>
      </c>
      <c r="D323" s="180">
        <v>0.82</v>
      </c>
      <c r="E323" s="184">
        <v>1.59</v>
      </c>
      <c r="F323" s="180">
        <v>3.79</v>
      </c>
      <c r="G323" s="180">
        <v>8.52</v>
      </c>
      <c r="H323" s="181">
        <v>9.93</v>
      </c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ht="11.25" customHeight="1">
      <c r="A324" s="198"/>
      <c r="B324" s="192" t="s">
        <v>104</v>
      </c>
      <c r="C324" s="180">
        <v>4450.45</v>
      </c>
      <c r="D324" s="180">
        <v>1.01</v>
      </c>
      <c r="E324" s="184">
        <v>2.39</v>
      </c>
      <c r="F324" s="180">
        <v>4.07</v>
      </c>
      <c r="G324" s="180">
        <v>9.62</v>
      </c>
      <c r="H324" s="181">
        <v>10.48</v>
      </c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ht="11.25" customHeight="1">
      <c r="A325" s="198"/>
      <c r="B325" s="192" t="s">
        <v>105</v>
      </c>
      <c r="C325" s="180">
        <v>4493.17</v>
      </c>
      <c r="D325" s="180">
        <v>0.96</v>
      </c>
      <c r="E325" s="184">
        <v>2.82</v>
      </c>
      <c r="F325" s="180">
        <v>4.24</v>
      </c>
      <c r="G325" s="180">
        <v>10.67</v>
      </c>
      <c r="H325" s="181">
        <v>10.67</v>
      </c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ht="6.75" customHeight="1">
      <c r="A326" s="166"/>
      <c r="B326" s="166"/>
      <c r="C326" s="175"/>
      <c r="D326" s="176"/>
      <c r="E326" s="177"/>
      <c r="F326" s="177"/>
      <c r="G326" s="177"/>
      <c r="H326" s="178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ht="11.25" customHeight="1">
      <c r="A327" s="168">
        <v>2016.0</v>
      </c>
      <c r="B327" s="192" t="s">
        <v>94</v>
      </c>
      <c r="C327" s="180">
        <v>4550.23</v>
      </c>
      <c r="D327" s="180">
        <v>1.27</v>
      </c>
      <c r="E327" s="184">
        <v>3.27</v>
      </c>
      <c r="F327" s="180">
        <v>4.91</v>
      </c>
      <c r="G327" s="180">
        <v>1.27</v>
      </c>
      <c r="H327" s="181">
        <v>10.71</v>
      </c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ht="11.25" customHeight="1">
      <c r="A328" s="198"/>
      <c r="B328" s="192" t="s">
        <v>95</v>
      </c>
      <c r="C328" s="180">
        <v>4591.18</v>
      </c>
      <c r="D328" s="180">
        <v>0.9</v>
      </c>
      <c r="E328" s="184">
        <v>3.16</v>
      </c>
      <c r="F328" s="180">
        <v>5.63</v>
      </c>
      <c r="G328" s="180">
        <v>2.18</v>
      </c>
      <c r="H328" s="181">
        <v>10.36</v>
      </c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ht="11.25" customHeight="1">
      <c r="A329" s="198"/>
      <c r="B329" s="192" t="s">
        <v>96</v>
      </c>
      <c r="C329" s="180">
        <v>4610.92</v>
      </c>
      <c r="D329" s="180">
        <v>0.43</v>
      </c>
      <c r="E329" s="184">
        <v>2.62</v>
      </c>
      <c r="F329" s="180">
        <v>5.51</v>
      </c>
      <c r="G329" s="180">
        <v>2.62</v>
      </c>
      <c r="H329" s="181">
        <v>9.39</v>
      </c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ht="11.25" customHeight="1">
      <c r="A330" s="198"/>
      <c r="B330" s="192" t="s">
        <v>97</v>
      </c>
      <c r="C330" s="180">
        <v>4639.05</v>
      </c>
      <c r="D330" s="180">
        <v>0.61</v>
      </c>
      <c r="E330" s="184">
        <v>1.95</v>
      </c>
      <c r="F330" s="180">
        <v>5.29</v>
      </c>
      <c r="G330" s="180">
        <v>3.25</v>
      </c>
      <c r="H330" s="181">
        <v>9.28</v>
      </c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ht="11.25" customHeight="1">
      <c r="A331" s="198"/>
      <c r="B331" s="192" t="s">
        <v>98</v>
      </c>
      <c r="C331" s="180">
        <v>4675.23</v>
      </c>
      <c r="D331" s="180">
        <v>0.78</v>
      </c>
      <c r="E331" s="184">
        <v>1.83</v>
      </c>
      <c r="F331" s="180">
        <v>5.05</v>
      </c>
      <c r="G331" s="180">
        <v>4.05</v>
      </c>
      <c r="H331" s="181">
        <v>9.32</v>
      </c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1.25" customHeight="1">
      <c r="A332" s="198"/>
      <c r="B332" s="192" t="s">
        <v>99</v>
      </c>
      <c r="C332" s="180">
        <v>4691.59</v>
      </c>
      <c r="D332" s="180">
        <v>0.35</v>
      </c>
      <c r="E332" s="184">
        <v>1.75</v>
      </c>
      <c r="F332" s="180">
        <v>4.42</v>
      </c>
      <c r="G332" s="180">
        <v>4.42</v>
      </c>
      <c r="H332" s="181">
        <v>8.84</v>
      </c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1.25" customHeight="1">
      <c r="A333" s="198"/>
      <c r="B333" s="192" t="s">
        <v>100</v>
      </c>
      <c r="C333" s="180">
        <v>4715.99</v>
      </c>
      <c r="D333" s="180">
        <v>0.52</v>
      </c>
      <c r="E333" s="184">
        <v>1.66</v>
      </c>
      <c r="F333" s="180">
        <v>3.64</v>
      </c>
      <c r="G333" s="180">
        <v>4.96</v>
      </c>
      <c r="H333" s="181">
        <v>8.74</v>
      </c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ht="11.25" customHeight="1">
      <c r="A334" s="198"/>
      <c r="B334" s="192" t="s">
        <v>101</v>
      </c>
      <c r="C334" s="180">
        <v>4736.74</v>
      </c>
      <c r="D334" s="180">
        <v>0.44</v>
      </c>
      <c r="E334" s="184">
        <v>1.32</v>
      </c>
      <c r="F334" s="180">
        <v>3.17</v>
      </c>
      <c r="G334" s="180">
        <v>5.42</v>
      </c>
      <c r="H334" s="181">
        <v>8.97</v>
      </c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ht="11.25" customHeight="1">
      <c r="A335" s="198"/>
      <c r="B335" s="192" t="s">
        <v>102</v>
      </c>
      <c r="C335" s="180">
        <v>4740.53</v>
      </c>
      <c r="D335" s="180">
        <v>0.08</v>
      </c>
      <c r="E335" s="184">
        <v>1.04</v>
      </c>
      <c r="F335" s="180">
        <v>2.81</v>
      </c>
      <c r="G335" s="180">
        <v>5.51</v>
      </c>
      <c r="H335" s="181">
        <v>8.48</v>
      </c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ht="11.25" customHeight="1">
      <c r="A336" s="198"/>
      <c r="B336" s="192" t="s">
        <v>103</v>
      </c>
      <c r="C336" s="180">
        <v>4752.86</v>
      </c>
      <c r="D336" s="180">
        <v>0.26</v>
      </c>
      <c r="E336" s="184">
        <v>0.78</v>
      </c>
      <c r="F336" s="180">
        <v>2.45</v>
      </c>
      <c r="G336" s="180">
        <v>5.78</v>
      </c>
      <c r="H336" s="181">
        <v>7.87</v>
      </c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ht="11.25" customHeight="1">
      <c r="A337" s="198"/>
      <c r="B337" s="192" t="s">
        <v>104</v>
      </c>
      <c r="C337" s="180">
        <v>4761.42</v>
      </c>
      <c r="D337" s="180">
        <v>0.18</v>
      </c>
      <c r="E337" s="184">
        <v>0.52</v>
      </c>
      <c r="F337" s="180">
        <v>1.84</v>
      </c>
      <c r="G337" s="180">
        <v>5.97</v>
      </c>
      <c r="H337" s="181">
        <v>6.99</v>
      </c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ht="11.25" customHeight="1">
      <c r="A338" s="198"/>
      <c r="B338" s="192" t="s">
        <v>105</v>
      </c>
      <c r="C338" s="180">
        <v>4775.7</v>
      </c>
      <c r="D338" s="180">
        <v>0.3</v>
      </c>
      <c r="E338" s="184">
        <v>0.74</v>
      </c>
      <c r="F338" s="180">
        <v>1.79</v>
      </c>
      <c r="G338" s="180">
        <v>6.29</v>
      </c>
      <c r="H338" s="181">
        <v>6.29</v>
      </c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ht="6.75" customHeight="1">
      <c r="A339" s="198"/>
      <c r="B339" s="192"/>
      <c r="C339" s="180"/>
      <c r="D339" s="180"/>
      <c r="E339" s="184"/>
      <c r="F339" s="180"/>
      <c r="G339" s="180"/>
      <c r="H339" s="181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ht="11.25" customHeight="1">
      <c r="A340" s="168">
        <v>2017.0</v>
      </c>
      <c r="B340" s="192" t="s">
        <v>94</v>
      </c>
      <c r="C340" s="180">
        <v>4793.85</v>
      </c>
      <c r="D340" s="180">
        <v>0.38</v>
      </c>
      <c r="E340" s="184">
        <v>0.86</v>
      </c>
      <c r="F340" s="180">
        <v>1.65</v>
      </c>
      <c r="G340" s="180">
        <v>0.38</v>
      </c>
      <c r="H340" s="181">
        <v>5.35</v>
      </c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ht="11.25" customHeight="1">
      <c r="A341" s="198"/>
      <c r="B341" s="192" t="s">
        <v>95</v>
      </c>
      <c r="C341" s="180">
        <v>4809.67</v>
      </c>
      <c r="D341" s="180">
        <v>0.33</v>
      </c>
      <c r="E341" s="184">
        <v>1.01</v>
      </c>
      <c r="F341" s="180">
        <v>1.54</v>
      </c>
      <c r="G341" s="180">
        <v>0.71</v>
      </c>
      <c r="H341" s="181">
        <v>4.76</v>
      </c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ht="11.25" customHeight="1">
      <c r="A342" s="198"/>
      <c r="B342" s="192" t="s">
        <v>96</v>
      </c>
      <c r="C342" s="180">
        <v>4821.69</v>
      </c>
      <c r="D342" s="180">
        <v>0.25</v>
      </c>
      <c r="E342" s="184">
        <v>0.96</v>
      </c>
      <c r="F342" s="180">
        <v>1.71</v>
      </c>
      <c r="G342" s="180">
        <v>0.96</v>
      </c>
      <c r="H342" s="181">
        <v>4.57</v>
      </c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ht="11.25" customHeight="1">
      <c r="A343" s="198"/>
      <c r="B343" s="192" t="s">
        <v>97</v>
      </c>
      <c r="C343" s="180">
        <v>4828.44</v>
      </c>
      <c r="D343" s="180">
        <v>0.14</v>
      </c>
      <c r="E343" s="184">
        <v>0.72</v>
      </c>
      <c r="F343" s="180">
        <v>1.59</v>
      </c>
      <c r="G343" s="180">
        <v>1.1</v>
      </c>
      <c r="H343" s="181">
        <v>4.08</v>
      </c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ht="11.25" customHeight="1">
      <c r="A344" s="198"/>
      <c r="B344" s="192" t="s">
        <v>98</v>
      </c>
      <c r="C344" s="180">
        <v>4843.41</v>
      </c>
      <c r="D344" s="180">
        <v>0.31</v>
      </c>
      <c r="E344" s="184">
        <v>0.7</v>
      </c>
      <c r="F344" s="180">
        <v>1.72</v>
      </c>
      <c r="G344" s="180">
        <v>1.42</v>
      </c>
      <c r="H344" s="181">
        <v>3.6</v>
      </c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ht="11.25" customHeight="1">
      <c r="A345" s="198"/>
      <c r="B345" s="192" t="s">
        <v>99</v>
      </c>
      <c r="C345" s="180">
        <v>4832.27</v>
      </c>
      <c r="D345" s="180">
        <v>-0.23</v>
      </c>
      <c r="E345" s="184">
        <v>0.22</v>
      </c>
      <c r="F345" s="180">
        <v>1.18</v>
      </c>
      <c r="G345" s="180">
        <v>1.18</v>
      </c>
      <c r="H345" s="181">
        <v>3.0</v>
      </c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ht="11.25" customHeight="1">
      <c r="A346" s="198"/>
      <c r="B346" s="192" t="s">
        <v>100</v>
      </c>
      <c r="C346" s="180">
        <v>4843.87</v>
      </c>
      <c r="D346" s="180">
        <v>0.24</v>
      </c>
      <c r="E346" s="184">
        <v>0.32</v>
      </c>
      <c r="F346" s="180">
        <v>1.04</v>
      </c>
      <c r="G346" s="180">
        <v>1.43</v>
      </c>
      <c r="H346" s="181">
        <v>2.71</v>
      </c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ht="11.25" customHeight="1">
      <c r="A347" s="198"/>
      <c r="B347" s="171" t="s">
        <v>101</v>
      </c>
      <c r="C347" s="172">
        <v>4853.07</v>
      </c>
      <c r="D347" s="172">
        <v>0.19</v>
      </c>
      <c r="E347" s="172">
        <v>0.2</v>
      </c>
      <c r="F347" s="172">
        <v>0.9</v>
      </c>
      <c r="G347" s="172">
        <v>1.62</v>
      </c>
      <c r="H347" s="173">
        <v>2.46</v>
      </c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ht="11.25" customHeight="1">
      <c r="A348" s="198"/>
      <c r="B348" s="171" t="s">
        <v>102</v>
      </c>
      <c r="C348" s="172">
        <v>4860.83</v>
      </c>
      <c r="D348" s="172">
        <v>0.16</v>
      </c>
      <c r="E348" s="172">
        <v>0.59</v>
      </c>
      <c r="F348" s="172">
        <v>0.81</v>
      </c>
      <c r="G348" s="172">
        <v>1.78</v>
      </c>
      <c r="H348" s="173">
        <v>2.54</v>
      </c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ht="11.25" customHeight="1">
      <c r="A349" s="203"/>
      <c r="B349" s="171" t="s">
        <v>103</v>
      </c>
      <c r="C349" s="172">
        <v>4881.25</v>
      </c>
      <c r="D349" s="172">
        <v>0.42</v>
      </c>
      <c r="E349" s="172">
        <v>0.77</v>
      </c>
      <c r="F349" s="172">
        <v>1.09</v>
      </c>
      <c r="G349" s="172">
        <v>2.21</v>
      </c>
      <c r="H349" s="173">
        <v>2.7</v>
      </c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ht="11.25" customHeight="1">
      <c r="A350" s="203"/>
      <c r="B350" s="171" t="s">
        <v>104</v>
      </c>
      <c r="C350" s="172">
        <v>4894.92</v>
      </c>
      <c r="D350" s="172">
        <v>0.28</v>
      </c>
      <c r="E350" s="172">
        <v>0.86</v>
      </c>
      <c r="F350" s="172">
        <v>1.06</v>
      </c>
      <c r="G350" s="172">
        <v>2.5</v>
      </c>
      <c r="H350" s="173">
        <v>2.8</v>
      </c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ht="11.25" customHeight="1">
      <c r="A351" s="203"/>
      <c r="B351" s="171" t="s">
        <v>105</v>
      </c>
      <c r="C351" s="172">
        <v>4916.46</v>
      </c>
      <c r="D351" s="172">
        <v>0.44</v>
      </c>
      <c r="E351" s="172">
        <v>1.14</v>
      </c>
      <c r="F351" s="172">
        <v>1.74</v>
      </c>
      <c r="G351" s="172">
        <v>2.95</v>
      </c>
      <c r="H351" s="173">
        <v>2.95</v>
      </c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ht="6.75" customHeight="1">
      <c r="A352" s="203"/>
      <c r="B352" s="171"/>
      <c r="C352" s="172"/>
      <c r="D352" s="172"/>
      <c r="E352" s="172"/>
      <c r="F352" s="172"/>
      <c r="G352" s="172"/>
      <c r="H352" s="173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ht="11.25" customHeight="1">
      <c r="A353" s="168">
        <v>2018.0</v>
      </c>
      <c r="B353" s="192" t="s">
        <v>94</v>
      </c>
      <c r="C353" s="172">
        <v>4930.72</v>
      </c>
      <c r="D353" s="172">
        <v>0.29</v>
      </c>
      <c r="E353" s="172">
        <v>1.01</v>
      </c>
      <c r="F353" s="172">
        <v>1.79</v>
      </c>
      <c r="G353" s="172">
        <v>0.29</v>
      </c>
      <c r="H353" s="173">
        <v>2.86</v>
      </c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ht="11.25" customHeight="1">
      <c r="A354" s="168"/>
      <c r="B354" s="192" t="s">
        <v>95</v>
      </c>
      <c r="C354" s="172">
        <v>4946.5</v>
      </c>
      <c r="D354" s="172">
        <v>0.32</v>
      </c>
      <c r="E354" s="172">
        <v>1.05</v>
      </c>
      <c r="F354" s="172">
        <v>1.93</v>
      </c>
      <c r="G354" s="172">
        <v>0.61</v>
      </c>
      <c r="H354" s="173">
        <v>2.84</v>
      </c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ht="11.25" customHeight="1">
      <c r="A355" s="168"/>
      <c r="B355" s="192" t="s">
        <v>96</v>
      </c>
      <c r="C355" s="172">
        <v>4950.95</v>
      </c>
      <c r="D355" s="172">
        <v>0.09</v>
      </c>
      <c r="E355" s="172">
        <v>0.7</v>
      </c>
      <c r="F355" s="172">
        <v>1.85</v>
      </c>
      <c r="G355" s="172">
        <v>0.7</v>
      </c>
      <c r="H355" s="173">
        <v>2.68</v>
      </c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ht="11.25" customHeight="1">
      <c r="A356" s="166"/>
      <c r="B356" s="189" t="s">
        <v>97</v>
      </c>
      <c r="C356" s="172">
        <v>4961.84</v>
      </c>
      <c r="D356" s="172">
        <v>0.22</v>
      </c>
      <c r="E356" s="172">
        <v>0.63</v>
      </c>
      <c r="F356" s="172">
        <v>1.65</v>
      </c>
      <c r="G356" s="172">
        <v>0.92</v>
      </c>
      <c r="H356" s="173">
        <v>2.76</v>
      </c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ht="11.25" customHeight="1">
      <c r="A357" s="168"/>
      <c r="B357" s="192" t="s">
        <v>98</v>
      </c>
      <c r="C357" s="172">
        <v>4981.69</v>
      </c>
      <c r="D357" s="172">
        <v>0.4</v>
      </c>
      <c r="E357" s="172">
        <v>0.71</v>
      </c>
      <c r="F357" s="172">
        <v>1.77</v>
      </c>
      <c r="G357" s="172">
        <v>1.33</v>
      </c>
      <c r="H357" s="173">
        <v>2.86</v>
      </c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ht="11.25" customHeight="1">
      <c r="A358" s="168"/>
      <c r="B358" s="192" t="s">
        <v>99</v>
      </c>
      <c r="C358" s="172">
        <v>5044.46</v>
      </c>
      <c r="D358" s="172">
        <v>1.26</v>
      </c>
      <c r="E358" s="172">
        <v>1.89</v>
      </c>
      <c r="F358" s="172">
        <v>2.6</v>
      </c>
      <c r="G358" s="172">
        <v>2.6</v>
      </c>
      <c r="H358" s="173">
        <v>4.39</v>
      </c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ht="11.25" customHeight="1">
      <c r="A359" s="166"/>
      <c r="B359" s="189" t="s">
        <v>100</v>
      </c>
      <c r="C359" s="172">
        <v>5061.11</v>
      </c>
      <c r="D359" s="172">
        <v>0.33</v>
      </c>
      <c r="E359" s="172">
        <v>2.0</v>
      </c>
      <c r="F359" s="172">
        <v>2.64</v>
      </c>
      <c r="G359" s="172">
        <v>2.94</v>
      </c>
      <c r="H359" s="173">
        <v>4.48</v>
      </c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ht="11.25" customHeight="1">
      <c r="A360" s="166"/>
      <c r="B360" s="189" t="s">
        <v>101</v>
      </c>
      <c r="C360" s="172">
        <v>5056.56</v>
      </c>
      <c r="D360" s="172">
        <v>-0.09</v>
      </c>
      <c r="E360" s="172">
        <v>1.5</v>
      </c>
      <c r="F360" s="172">
        <v>2.23</v>
      </c>
      <c r="G360" s="172">
        <v>2.85</v>
      </c>
      <c r="H360" s="173">
        <v>4.19</v>
      </c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ht="11.25" customHeight="1">
      <c r="A361" s="166"/>
      <c r="B361" s="189" t="s">
        <v>102</v>
      </c>
      <c r="C361" s="172">
        <v>5080.83</v>
      </c>
      <c r="D361" s="172">
        <v>0.48</v>
      </c>
      <c r="E361" s="172">
        <v>0.72</v>
      </c>
      <c r="F361" s="172">
        <v>2.62</v>
      </c>
      <c r="G361" s="172">
        <v>3.34</v>
      </c>
      <c r="H361" s="173">
        <v>4.53</v>
      </c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ht="11.25" customHeight="1">
      <c r="A362" s="166"/>
      <c r="B362" s="189" t="s">
        <v>103</v>
      </c>
      <c r="C362" s="172">
        <v>5103.69</v>
      </c>
      <c r="D362" s="172">
        <v>0.45</v>
      </c>
      <c r="E362" s="172">
        <v>0.84</v>
      </c>
      <c r="F362" s="172">
        <v>2.86</v>
      </c>
      <c r="G362" s="172">
        <v>3.81</v>
      </c>
      <c r="H362" s="173">
        <v>4.56</v>
      </c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ht="11.25" customHeight="1">
      <c r="A363" s="166"/>
      <c r="B363" s="189" t="s">
        <v>104</v>
      </c>
      <c r="C363" s="172">
        <v>5092.97</v>
      </c>
      <c r="D363" s="172">
        <v>-0.21</v>
      </c>
      <c r="E363" s="172">
        <v>0.72</v>
      </c>
      <c r="F363" s="172">
        <v>2.23</v>
      </c>
      <c r="G363" s="172">
        <v>3.59</v>
      </c>
      <c r="H363" s="173">
        <v>4.05</v>
      </c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ht="11.25" customHeight="1">
      <c r="A364" s="204"/>
      <c r="B364" s="205" t="s">
        <v>105</v>
      </c>
      <c r="C364" s="206">
        <v>5100.61</v>
      </c>
      <c r="D364" s="206">
        <v>0.15</v>
      </c>
      <c r="E364" s="206">
        <v>0.39</v>
      </c>
      <c r="F364" s="206">
        <v>1.11</v>
      </c>
      <c r="G364" s="206">
        <v>3.75</v>
      </c>
      <c r="H364" s="188">
        <v>3.75</v>
      </c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ht="6.75" customHeight="1">
      <c r="A365" s="168"/>
      <c r="B365" s="189"/>
      <c r="C365" s="190"/>
      <c r="D365" s="190"/>
      <c r="E365" s="190"/>
      <c r="F365" s="190"/>
      <c r="G365" s="190"/>
      <c r="H365" s="181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ht="6.75" customHeight="1">
      <c r="A366" s="168"/>
      <c r="B366" s="189"/>
      <c r="C366" s="190"/>
      <c r="D366" s="190"/>
      <c r="E366" s="190"/>
      <c r="F366" s="190"/>
      <c r="G366" s="190"/>
      <c r="H366" s="181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ht="16.5" customHeight="1">
      <c r="A367" s="143" t="s">
        <v>110</v>
      </c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ht="12.0" customHeight="1">
      <c r="A368" s="145"/>
      <c r="B368" s="145"/>
      <c r="C368" s="146"/>
      <c r="D368" s="145"/>
      <c r="E368" s="145"/>
      <c r="F368" s="145"/>
      <c r="G368" s="145"/>
      <c r="H368" s="147" t="s">
        <v>111</v>
      </c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ht="14.25" customHeight="1">
      <c r="A369" s="148"/>
      <c r="B369" s="148"/>
      <c r="C369" s="149"/>
      <c r="D369" s="150"/>
      <c r="E369" s="151"/>
      <c r="F369" s="151" t="s">
        <v>86</v>
      </c>
      <c r="G369" s="151"/>
      <c r="H369" s="152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ht="13.5" customHeight="1">
      <c r="A370" s="154" t="s">
        <v>87</v>
      </c>
      <c r="B370" s="155" t="s">
        <v>88</v>
      </c>
      <c r="C370" s="156" t="s">
        <v>89</v>
      </c>
      <c r="D370" s="157" t="s">
        <v>90</v>
      </c>
      <c r="E370" s="90"/>
      <c r="F370" s="90"/>
      <c r="G370" s="90"/>
      <c r="H370" s="9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ht="13.5" customHeight="1">
      <c r="A371" s="154"/>
      <c r="B371" s="155"/>
      <c r="C371" s="158" t="s">
        <v>91</v>
      </c>
      <c r="D371" s="159" t="s">
        <v>92</v>
      </c>
      <c r="E371" s="159">
        <v>3.0</v>
      </c>
      <c r="F371" s="159">
        <v>6.0</v>
      </c>
      <c r="G371" s="159" t="s">
        <v>92</v>
      </c>
      <c r="H371" s="160">
        <v>12.0</v>
      </c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4.25" customHeight="1">
      <c r="A372" s="161"/>
      <c r="B372" s="161"/>
      <c r="C372" s="162"/>
      <c r="D372" s="163" t="s">
        <v>88</v>
      </c>
      <c r="E372" s="164" t="s">
        <v>93</v>
      </c>
      <c r="F372" s="164" t="s">
        <v>93</v>
      </c>
      <c r="G372" s="164" t="s">
        <v>87</v>
      </c>
      <c r="H372" s="165" t="s">
        <v>93</v>
      </c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6.75" customHeight="1">
      <c r="A373" s="166"/>
      <c r="B373" s="189"/>
      <c r="C373" s="172"/>
      <c r="D373" s="172"/>
      <c r="E373" s="172"/>
      <c r="F373" s="172"/>
      <c r="G373" s="172"/>
      <c r="H373" s="173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ht="11.25" customHeight="1">
      <c r="A374" s="166">
        <v>2019.0</v>
      </c>
      <c r="B374" s="189" t="s">
        <v>94</v>
      </c>
      <c r="C374" s="172">
        <v>5116.93</v>
      </c>
      <c r="D374" s="172">
        <v>0.32</v>
      </c>
      <c r="E374" s="172">
        <v>0.26</v>
      </c>
      <c r="F374" s="172">
        <v>1.1</v>
      </c>
      <c r="G374" s="172">
        <v>0.32</v>
      </c>
      <c r="H374" s="173">
        <v>3.78</v>
      </c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ht="11.25" customHeight="1">
      <c r="A375" s="166"/>
      <c r="B375" s="189" t="s">
        <v>95</v>
      </c>
      <c r="C375" s="172">
        <v>5138.93</v>
      </c>
      <c r="D375" s="172">
        <v>0.43</v>
      </c>
      <c r="E375" s="172">
        <v>0.9</v>
      </c>
      <c r="F375" s="172">
        <v>1.63</v>
      </c>
      <c r="G375" s="172">
        <v>0.75</v>
      </c>
      <c r="H375" s="173">
        <v>3.89</v>
      </c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ht="11.25" customHeight="1">
      <c r="A376" s="168"/>
      <c r="B376" s="192" t="s">
        <v>96</v>
      </c>
      <c r="C376" s="172">
        <v>5177.47</v>
      </c>
      <c r="D376" s="172">
        <v>0.75</v>
      </c>
      <c r="E376" s="172">
        <v>1.51</v>
      </c>
      <c r="F376" s="172">
        <v>1.9</v>
      </c>
      <c r="G376" s="172">
        <v>1.51</v>
      </c>
      <c r="H376" s="173">
        <v>4.58</v>
      </c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ht="11.25" customHeight="1">
      <c r="A377" s="168"/>
      <c r="B377" s="192" t="s">
        <v>97</v>
      </c>
      <c r="C377" s="172">
        <v>5206.98</v>
      </c>
      <c r="D377" s="172">
        <v>0.57</v>
      </c>
      <c r="E377" s="172">
        <v>1.76</v>
      </c>
      <c r="F377" s="172">
        <v>2.02</v>
      </c>
      <c r="G377" s="172">
        <v>2.09</v>
      </c>
      <c r="H377" s="173">
        <v>4.94</v>
      </c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ht="11.25" customHeight="1">
      <c r="A378" s="168"/>
      <c r="B378" s="192" t="s">
        <v>98</v>
      </c>
      <c r="C378" s="172">
        <v>5213.75</v>
      </c>
      <c r="D378" s="172">
        <v>0.13</v>
      </c>
      <c r="E378" s="172">
        <v>1.46</v>
      </c>
      <c r="F378" s="172">
        <v>2.37</v>
      </c>
      <c r="G378" s="172">
        <v>2.22</v>
      </c>
      <c r="H378" s="172">
        <v>4.66</v>
      </c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ht="11.25" customHeight="1">
      <c r="A379" s="168"/>
      <c r="B379" s="192" t="s">
        <v>99</v>
      </c>
      <c r="C379" s="172">
        <v>5214.27</v>
      </c>
      <c r="D379" s="172">
        <v>0.01</v>
      </c>
      <c r="E379" s="172">
        <v>0.71</v>
      </c>
      <c r="F379" s="172">
        <v>2.23</v>
      </c>
      <c r="G379" s="172">
        <v>2.23</v>
      </c>
      <c r="H379" s="172">
        <v>3.37</v>
      </c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ht="11.25" customHeight="1">
      <c r="A380" s="168"/>
      <c r="B380" s="192" t="s">
        <v>100</v>
      </c>
      <c r="C380" s="172">
        <v>5224.18</v>
      </c>
      <c r="D380" s="172">
        <v>0.19</v>
      </c>
      <c r="E380" s="172">
        <v>0.33</v>
      </c>
      <c r="F380" s="172">
        <v>2.1</v>
      </c>
      <c r="G380" s="172">
        <v>2.42</v>
      </c>
      <c r="H380" s="172">
        <v>3.22</v>
      </c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ht="11.25" customHeight="1">
      <c r="A381" s="168"/>
      <c r="B381" s="192" t="s">
        <v>101</v>
      </c>
      <c r="C381" s="172">
        <v>5229.93</v>
      </c>
      <c r="D381" s="172">
        <v>0.11</v>
      </c>
      <c r="E381" s="172">
        <v>0.31</v>
      </c>
      <c r="F381" s="172">
        <v>1.77</v>
      </c>
      <c r="G381" s="172">
        <v>2.54</v>
      </c>
      <c r="H381" s="172">
        <v>3.43</v>
      </c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ht="11.25" customHeight="1">
      <c r="A382" s="168"/>
      <c r="B382" s="192" t="s">
        <v>102</v>
      </c>
      <c r="C382" s="172">
        <v>5227.84</v>
      </c>
      <c r="D382" s="172">
        <v>-0.04</v>
      </c>
      <c r="E382" s="172">
        <v>0.26</v>
      </c>
      <c r="F382" s="172">
        <v>0.97</v>
      </c>
      <c r="G382" s="172">
        <v>2.49</v>
      </c>
      <c r="H382" s="172">
        <v>2.89</v>
      </c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ht="11.25" customHeight="1">
      <c r="A383" s="168"/>
      <c r="B383" s="192" t="s">
        <v>103</v>
      </c>
      <c r="C383" s="172">
        <v>5233.07</v>
      </c>
      <c r="D383" s="172">
        <v>0.1</v>
      </c>
      <c r="E383" s="172">
        <v>0.17</v>
      </c>
      <c r="F383" s="172">
        <v>0.5</v>
      </c>
      <c r="G383" s="172">
        <v>2.6</v>
      </c>
      <c r="H383" s="172">
        <v>2.54</v>
      </c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ht="11.25" customHeight="1">
      <c r="A384" s="168"/>
      <c r="B384" s="192" t="s">
        <v>104</v>
      </c>
      <c r="C384" s="172">
        <v>5259.76</v>
      </c>
      <c r="D384" s="172">
        <v>0.51</v>
      </c>
      <c r="E384" s="172">
        <v>0.57</v>
      </c>
      <c r="F384" s="172">
        <v>0.88</v>
      </c>
      <c r="G384" s="172">
        <v>3.12</v>
      </c>
      <c r="H384" s="172">
        <v>3.27</v>
      </c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ht="11.25" customHeight="1">
      <c r="A385" s="168"/>
      <c r="B385" s="192" t="s">
        <v>105</v>
      </c>
      <c r="C385" s="172">
        <v>5320.25</v>
      </c>
      <c r="D385" s="172">
        <v>1.15</v>
      </c>
      <c r="E385" s="172">
        <v>1.77</v>
      </c>
      <c r="F385" s="172">
        <v>2.03</v>
      </c>
      <c r="G385" s="172">
        <v>4.31</v>
      </c>
      <c r="H385" s="172">
        <v>4.31</v>
      </c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ht="11.25" customHeight="1">
      <c r="A386" s="168"/>
      <c r="B386" s="192"/>
      <c r="C386" s="172"/>
      <c r="D386" s="172"/>
      <c r="E386" s="172"/>
      <c r="F386" s="172"/>
      <c r="G386" s="172"/>
      <c r="H386" s="172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ht="11.25" customHeight="1">
      <c r="A387" s="166">
        <v>2020.0</v>
      </c>
      <c r="B387" s="189" t="s">
        <v>94</v>
      </c>
      <c r="C387" s="172">
        <v>5331.42</v>
      </c>
      <c r="D387" s="172">
        <v>0.21</v>
      </c>
      <c r="E387" s="172">
        <v>1.88</v>
      </c>
      <c r="F387" s="172">
        <v>2.05</v>
      </c>
      <c r="G387" s="172">
        <v>0.21</v>
      </c>
      <c r="H387" s="172">
        <v>4.19</v>
      </c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ht="11.25" customHeight="1">
      <c r="A388" s="168"/>
      <c r="B388" s="192" t="s">
        <v>95</v>
      </c>
      <c r="C388" s="172">
        <v>5344.75</v>
      </c>
      <c r="D388" s="172">
        <v>0.25</v>
      </c>
      <c r="E388" s="172">
        <v>1.62</v>
      </c>
      <c r="F388" s="172">
        <v>2.2</v>
      </c>
      <c r="G388" s="172">
        <v>0.46</v>
      </c>
      <c r="H388" s="172">
        <v>4.01</v>
      </c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ht="11.25" customHeight="1">
      <c r="A389" s="168"/>
      <c r="B389" s="192" t="s">
        <v>96</v>
      </c>
      <c r="C389" s="172">
        <v>5348.49</v>
      </c>
      <c r="D389" s="172">
        <v>0.07</v>
      </c>
      <c r="E389" s="172">
        <v>0.53</v>
      </c>
      <c r="F389" s="172">
        <v>2.31</v>
      </c>
      <c r="G389" s="172">
        <v>0.53</v>
      </c>
      <c r="H389" s="172">
        <v>3.3</v>
      </c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ht="11.25" customHeight="1">
      <c r="A390" s="168"/>
      <c r="B390" s="192" t="s">
        <v>97</v>
      </c>
      <c r="C390" s="172">
        <v>5331.91</v>
      </c>
      <c r="D390" s="172">
        <v>-0.31</v>
      </c>
      <c r="E390" s="172">
        <v>0.01</v>
      </c>
      <c r="F390" s="172">
        <v>1.89</v>
      </c>
      <c r="G390" s="172">
        <v>0.22</v>
      </c>
      <c r="H390" s="172">
        <v>2.4</v>
      </c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ht="11.25" customHeight="1">
      <c r="A391" s="166"/>
      <c r="B391" s="189" t="s">
        <v>98</v>
      </c>
      <c r="C391" s="172">
        <v>5311.65</v>
      </c>
      <c r="D391" s="172">
        <v>-0.38</v>
      </c>
      <c r="E391" s="172">
        <v>-0.62</v>
      </c>
      <c r="F391" s="172">
        <v>0.99</v>
      </c>
      <c r="G391" s="172">
        <v>-0.16</v>
      </c>
      <c r="H391" s="172">
        <v>1.88</v>
      </c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ht="11.25" customHeight="1">
      <c r="A392" s="168"/>
      <c r="B392" s="192" t="s">
        <v>99</v>
      </c>
      <c r="C392" s="172">
        <v>5325.46</v>
      </c>
      <c r="D392" s="172">
        <v>0.26</v>
      </c>
      <c r="E392" s="172">
        <v>-0.43</v>
      </c>
      <c r="F392" s="172">
        <v>0.1</v>
      </c>
      <c r="G392" s="172">
        <v>0.1</v>
      </c>
      <c r="H392" s="172">
        <v>2.13</v>
      </c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ht="11.25" customHeight="1">
      <c r="A393" s="168"/>
      <c r="B393" s="192" t="s">
        <v>100</v>
      </c>
      <c r="C393" s="172">
        <v>5344.63</v>
      </c>
      <c r="D393" s="172">
        <v>0.36</v>
      </c>
      <c r="E393" s="172">
        <v>0.24</v>
      </c>
      <c r="F393" s="172">
        <v>0.25</v>
      </c>
      <c r="G393" s="172">
        <v>0.46</v>
      </c>
      <c r="H393" s="172">
        <v>2.31</v>
      </c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ht="11.25" customHeight="1">
      <c r="A394" s="168"/>
      <c r="B394" s="192" t="s">
        <v>101</v>
      </c>
      <c r="C394" s="172">
        <v>5357.46</v>
      </c>
      <c r="D394" s="172">
        <v>0.24</v>
      </c>
      <c r="E394" s="172">
        <v>0.86</v>
      </c>
      <c r="F394" s="172">
        <v>0.24</v>
      </c>
      <c r="G394" s="172">
        <v>0.7</v>
      </c>
      <c r="H394" s="172">
        <v>2.44</v>
      </c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ht="11.25" customHeight="1">
      <c r="A395" s="168"/>
      <c r="B395" s="192" t="s">
        <v>102</v>
      </c>
      <c r="C395" s="172">
        <v>5391.75</v>
      </c>
      <c r="D395" s="172">
        <v>0.64</v>
      </c>
      <c r="E395" s="172">
        <v>1.24</v>
      </c>
      <c r="F395" s="172">
        <v>0.81</v>
      </c>
      <c r="G395" s="172">
        <v>1.34</v>
      </c>
      <c r="H395" s="172">
        <v>3.14</v>
      </c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ht="11.25" customHeight="1">
      <c r="A396" s="166"/>
      <c r="B396" s="189" t="s">
        <v>103</v>
      </c>
      <c r="C396" s="172">
        <v>5438.12</v>
      </c>
      <c r="D396" s="172">
        <v>0.86</v>
      </c>
      <c r="E396" s="172">
        <v>1.75</v>
      </c>
      <c r="F396" s="172">
        <v>1.99</v>
      </c>
      <c r="G396" s="172">
        <v>2.22</v>
      </c>
      <c r="H396" s="172">
        <v>3.92</v>
      </c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ht="11.25" customHeight="1">
      <c r="A397" s="168"/>
      <c r="B397" s="192" t="s">
        <v>104</v>
      </c>
      <c r="C397" s="172">
        <v>5486.52</v>
      </c>
      <c r="D397" s="172">
        <v>0.89</v>
      </c>
      <c r="E397" s="172">
        <v>2.41</v>
      </c>
      <c r="F397" s="172">
        <v>3.29</v>
      </c>
      <c r="G397" s="172">
        <v>3.13</v>
      </c>
      <c r="H397" s="172">
        <v>4.31</v>
      </c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ht="11.25" customHeight="1">
      <c r="A398" s="168"/>
      <c r="B398" s="192" t="s">
        <v>105</v>
      </c>
      <c r="C398" s="172">
        <v>5560.59</v>
      </c>
      <c r="D398" s="172">
        <v>1.35</v>
      </c>
      <c r="E398" s="172">
        <v>3.13</v>
      </c>
      <c r="F398" s="172">
        <v>4.42</v>
      </c>
      <c r="G398" s="172">
        <v>4.52</v>
      </c>
      <c r="H398" s="172">
        <v>4.52</v>
      </c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ht="11.25" customHeight="1">
      <c r="A399" s="166"/>
      <c r="B399" s="189"/>
      <c r="C399" s="172"/>
      <c r="D399" s="172"/>
      <c r="E399" s="172"/>
      <c r="F399" s="172"/>
      <c r="G399" s="172"/>
      <c r="H399" s="172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ht="11.25" customHeight="1">
      <c r="A400" s="166">
        <v>2021.0</v>
      </c>
      <c r="B400" s="189" t="s">
        <v>94</v>
      </c>
      <c r="C400" s="172">
        <v>5574.49</v>
      </c>
      <c r="D400" s="172">
        <v>0.25</v>
      </c>
      <c r="E400" s="172">
        <v>2.51</v>
      </c>
      <c r="F400" s="172">
        <v>4.3</v>
      </c>
      <c r="G400" s="172">
        <v>0.25</v>
      </c>
      <c r="H400" s="172">
        <v>4.56</v>
      </c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ht="11.25" customHeight="1">
      <c r="A401" s="166"/>
      <c r="B401" s="189" t="s">
        <v>95</v>
      </c>
      <c r="C401" s="172">
        <v>5622.43</v>
      </c>
      <c r="D401" s="172">
        <v>0.86</v>
      </c>
      <c r="E401" s="172">
        <v>2.48</v>
      </c>
      <c r="F401" s="172">
        <v>4.95</v>
      </c>
      <c r="G401" s="172">
        <v>1.11</v>
      </c>
      <c r="H401" s="172">
        <v>5.2</v>
      </c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ht="11.25" customHeight="1">
      <c r="A402" s="166"/>
      <c r="B402" s="189" t="s">
        <v>96</v>
      </c>
      <c r="C402" s="172">
        <v>5674.72</v>
      </c>
      <c r="D402" s="172">
        <v>0.93</v>
      </c>
      <c r="E402" s="172">
        <v>2.05</v>
      </c>
      <c r="F402" s="172">
        <v>5.25</v>
      </c>
      <c r="G402" s="172">
        <v>2.05</v>
      </c>
      <c r="H402" s="172">
        <v>6.1</v>
      </c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ht="11.25" customHeight="1">
      <c r="A403" s="166"/>
      <c r="B403" s="189" t="s">
        <v>97</v>
      </c>
      <c r="C403" s="172">
        <v>5692.31</v>
      </c>
      <c r="D403" s="172">
        <v>0.31</v>
      </c>
      <c r="E403" s="172">
        <v>2.11</v>
      </c>
      <c r="F403" s="172">
        <v>4.67</v>
      </c>
      <c r="G403" s="172">
        <v>2.37</v>
      </c>
      <c r="H403" s="172">
        <v>6.76</v>
      </c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ht="11.25" customHeight="1">
      <c r="A404" s="166"/>
      <c r="B404" s="189" t="s">
        <v>98</v>
      </c>
      <c r="C404" s="172">
        <v>5739.56</v>
      </c>
      <c r="D404" s="172">
        <v>0.83</v>
      </c>
      <c r="E404" s="172">
        <v>2.08</v>
      </c>
      <c r="F404" s="172">
        <v>4.61</v>
      </c>
      <c r="G404" s="172">
        <v>3.22</v>
      </c>
      <c r="H404" s="172">
        <v>8.06</v>
      </c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ht="11.25" customHeight="1">
      <c r="A405" s="168"/>
      <c r="B405" s="192" t="s">
        <v>99</v>
      </c>
      <c r="C405" s="172">
        <v>5769.98</v>
      </c>
      <c r="D405" s="172">
        <v>0.53</v>
      </c>
      <c r="E405" s="172">
        <v>1.68</v>
      </c>
      <c r="F405" s="172">
        <v>3.77</v>
      </c>
      <c r="G405" s="172">
        <v>3.77</v>
      </c>
      <c r="H405" s="172">
        <v>8.35</v>
      </c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ht="11.25" customHeight="1">
      <c r="A406" s="168"/>
      <c r="B406" s="192" t="s">
        <v>100</v>
      </c>
      <c r="C406" s="172">
        <v>5825.37</v>
      </c>
      <c r="D406" s="172">
        <v>0.96</v>
      </c>
      <c r="E406" s="172">
        <v>2.34</v>
      </c>
      <c r="F406" s="172">
        <v>4.5</v>
      </c>
      <c r="G406" s="172">
        <v>4.76</v>
      </c>
      <c r="H406" s="172">
        <v>8.99</v>
      </c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ht="11.25" customHeight="1">
      <c r="A407" s="168"/>
      <c r="B407" s="192" t="s">
        <v>101</v>
      </c>
      <c r="C407" s="172">
        <v>5876.05</v>
      </c>
      <c r="D407" s="172">
        <v>0.87</v>
      </c>
      <c r="E407" s="172">
        <v>2.38</v>
      </c>
      <c r="F407" s="172">
        <v>4.51</v>
      </c>
      <c r="G407" s="172">
        <v>5.67</v>
      </c>
      <c r="H407" s="172">
        <v>9.68</v>
      </c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ht="11.25" customHeight="1">
      <c r="A408" s="166"/>
      <c r="B408" s="189" t="s">
        <v>102</v>
      </c>
      <c r="C408" s="172">
        <v>5944.21</v>
      </c>
      <c r="D408" s="172">
        <v>1.16</v>
      </c>
      <c r="E408" s="172">
        <v>3.02</v>
      </c>
      <c r="F408" s="172">
        <v>4.75</v>
      </c>
      <c r="G408" s="172">
        <v>6.9</v>
      </c>
      <c r="H408" s="172">
        <v>10.25</v>
      </c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ht="11.25" customHeight="1">
      <c r="A409" s="168"/>
      <c r="B409" s="192" t="s">
        <v>103</v>
      </c>
      <c r="C409" s="172">
        <v>6018.51</v>
      </c>
      <c r="D409" s="172">
        <v>1.25</v>
      </c>
      <c r="E409" s="172">
        <v>3.32</v>
      </c>
      <c r="F409" s="172">
        <v>5.73</v>
      </c>
      <c r="G409" s="172">
        <v>8.24</v>
      </c>
      <c r="H409" s="172">
        <v>10.67</v>
      </c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ht="11.25" customHeight="1">
      <c r="A410" s="166"/>
      <c r="B410" s="189" t="s">
        <v>104</v>
      </c>
      <c r="C410" s="172">
        <v>6075.69</v>
      </c>
      <c r="D410" s="172">
        <v>0.95</v>
      </c>
      <c r="E410" s="172">
        <v>3.4</v>
      </c>
      <c r="F410" s="172">
        <v>5.86</v>
      </c>
      <c r="G410" s="172">
        <v>9.26</v>
      </c>
      <c r="H410" s="172">
        <v>10.74</v>
      </c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ht="11.25" customHeight="1">
      <c r="A411" s="166"/>
      <c r="B411" s="189" t="s">
        <v>105</v>
      </c>
      <c r="C411" s="172">
        <v>6120.04</v>
      </c>
      <c r="D411" s="172">
        <v>0.73</v>
      </c>
      <c r="E411" s="172">
        <v>2.96</v>
      </c>
      <c r="F411" s="172">
        <v>6.07</v>
      </c>
      <c r="G411" s="172">
        <v>10.06</v>
      </c>
      <c r="H411" s="172">
        <v>10.06</v>
      </c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1.25" customHeight="1">
      <c r="A412" s="166"/>
      <c r="B412" s="189"/>
      <c r="C412" s="172"/>
      <c r="D412" s="172"/>
      <c r="E412" s="172"/>
      <c r="F412" s="172"/>
      <c r="G412" s="172"/>
      <c r="H412" s="172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1.25" customHeight="1">
      <c r="A413" s="166">
        <v>2022.0</v>
      </c>
      <c r="B413" s="189" t="s">
        <v>94</v>
      </c>
      <c r="C413" s="172">
        <v>6153.09</v>
      </c>
      <c r="D413" s="172">
        <v>0.54</v>
      </c>
      <c r="E413" s="172">
        <v>2.24</v>
      </c>
      <c r="F413" s="172">
        <v>5.63</v>
      </c>
      <c r="G413" s="172">
        <v>0.54</v>
      </c>
      <c r="H413" s="172">
        <v>10.38</v>
      </c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ht="11.25" customHeight="1">
      <c r="A414" s="168"/>
      <c r="B414" s="192" t="s">
        <v>95</v>
      </c>
      <c r="C414" s="172">
        <v>6215.24</v>
      </c>
      <c r="D414" s="172">
        <v>1.01</v>
      </c>
      <c r="E414" s="172">
        <v>2.3</v>
      </c>
      <c r="F414" s="172">
        <v>5.77</v>
      </c>
      <c r="G414" s="172">
        <v>1.56</v>
      </c>
      <c r="H414" s="172">
        <v>10.54</v>
      </c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1.25" customHeight="1">
      <c r="A415" s="166"/>
      <c r="B415" s="189" t="s">
        <v>96</v>
      </c>
      <c r="C415" s="172">
        <v>6315.93</v>
      </c>
      <c r="D415" s="172">
        <v>1.62</v>
      </c>
      <c r="E415" s="172">
        <v>3.2</v>
      </c>
      <c r="F415" s="172">
        <v>6.25</v>
      </c>
      <c r="G415" s="172">
        <v>3.2</v>
      </c>
      <c r="H415" s="172">
        <v>11.3</v>
      </c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1.25" customHeight="1">
      <c r="A416" s="166"/>
      <c r="B416" s="189" t="s">
        <v>97</v>
      </c>
      <c r="C416" s="172">
        <v>6382.88</v>
      </c>
      <c r="D416" s="172">
        <v>1.06</v>
      </c>
      <c r="E416" s="172">
        <v>3.73</v>
      </c>
      <c r="F416" s="172">
        <v>6.05</v>
      </c>
      <c r="G416" s="172">
        <v>4.29</v>
      </c>
      <c r="H416" s="172">
        <v>12.13</v>
      </c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1.25" customHeight="1">
      <c r="A417" s="166"/>
      <c r="B417" s="189" t="s">
        <v>98</v>
      </c>
      <c r="C417" s="172">
        <v>6412.88</v>
      </c>
      <c r="D417" s="172">
        <v>0.47</v>
      </c>
      <c r="E417" s="172">
        <v>3.18</v>
      </c>
      <c r="F417" s="172">
        <v>5.55</v>
      </c>
      <c r="G417" s="172">
        <v>4.78</v>
      </c>
      <c r="H417" s="172">
        <v>11.73</v>
      </c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1.25" customHeight="1">
      <c r="A418" s="168"/>
      <c r="B418" s="192" t="s">
        <v>99</v>
      </c>
      <c r="C418" s="172">
        <v>6455.85</v>
      </c>
      <c r="D418" s="172">
        <v>0.67</v>
      </c>
      <c r="E418" s="172">
        <v>2.22</v>
      </c>
      <c r="F418" s="172">
        <v>5.49</v>
      </c>
      <c r="G418" s="172">
        <v>5.49</v>
      </c>
      <c r="H418" s="172">
        <v>11.89</v>
      </c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1.25" customHeight="1">
      <c r="A419" s="168"/>
      <c r="B419" s="192" t="s">
        <v>100</v>
      </c>
      <c r="C419" s="172">
        <v>6411.95</v>
      </c>
      <c r="D419" s="172">
        <v>-0.68</v>
      </c>
      <c r="E419" s="172">
        <v>0.46</v>
      </c>
      <c r="F419" s="172">
        <v>4.21</v>
      </c>
      <c r="G419" s="172">
        <v>4.77</v>
      </c>
      <c r="H419" s="172">
        <v>10.07</v>
      </c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1.25" customHeight="1">
      <c r="A420" s="168"/>
      <c r="B420" s="192" t="s">
        <v>101</v>
      </c>
      <c r="C420" s="172">
        <v>6388.87</v>
      </c>
      <c r="D420" s="172">
        <v>-0.36</v>
      </c>
      <c r="E420" s="172">
        <v>-0.37</v>
      </c>
      <c r="F420" s="172">
        <v>2.79</v>
      </c>
      <c r="G420" s="172">
        <v>4.39</v>
      </c>
      <c r="H420" s="172">
        <v>8.73</v>
      </c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1.25" customHeight="1">
      <c r="A421" s="168"/>
      <c r="B421" s="192" t="s">
        <v>102</v>
      </c>
      <c r="C421" s="172">
        <v>6370.34</v>
      </c>
      <c r="D421" s="172">
        <v>-0.29</v>
      </c>
      <c r="E421" s="172">
        <v>-1.32</v>
      </c>
      <c r="F421" s="172">
        <v>0.86</v>
      </c>
      <c r="G421" s="172">
        <v>4.09</v>
      </c>
      <c r="H421" s="172">
        <v>7.17</v>
      </c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1.25" customHeight="1">
      <c r="A422" s="168"/>
      <c r="B422" s="192" t="s">
        <v>103</v>
      </c>
      <c r="C422" s="172">
        <v>6407.93</v>
      </c>
      <c r="D422" s="172">
        <v>0.59</v>
      </c>
      <c r="E422" s="172">
        <v>-0.06</v>
      </c>
      <c r="F422" s="172">
        <v>0.39</v>
      </c>
      <c r="G422" s="172">
        <v>4.7</v>
      </c>
      <c r="H422" s="172">
        <v>6.47</v>
      </c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1.25" customHeight="1">
      <c r="A423" s="166"/>
      <c r="B423" s="179" t="s">
        <v>104</v>
      </c>
      <c r="C423" s="172">
        <v>6434.2</v>
      </c>
      <c r="D423" s="172">
        <v>0.41</v>
      </c>
      <c r="E423" s="172">
        <v>0.71</v>
      </c>
      <c r="F423" s="172">
        <v>0.33</v>
      </c>
      <c r="G423" s="172">
        <v>5.13</v>
      </c>
      <c r="H423" s="172">
        <v>5.9</v>
      </c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1.25" customHeight="1">
      <c r="A424" s="166"/>
      <c r="B424" s="189" t="s">
        <v>105</v>
      </c>
      <c r="C424" s="172">
        <v>6474.09</v>
      </c>
      <c r="D424" s="172">
        <v>0.62</v>
      </c>
      <c r="E424" s="172">
        <v>1.63</v>
      </c>
      <c r="F424" s="172">
        <v>0.28</v>
      </c>
      <c r="G424" s="172">
        <v>5.79</v>
      </c>
      <c r="H424" s="172">
        <v>5.79</v>
      </c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1.25" customHeight="1">
      <c r="A425" s="166"/>
      <c r="B425" s="189"/>
      <c r="C425" s="172"/>
      <c r="D425" s="172"/>
      <c r="E425" s="172"/>
      <c r="F425" s="172"/>
      <c r="G425" s="172"/>
      <c r="H425" s="172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1.25" customHeight="1">
      <c r="A426" s="166">
        <v>2023.0</v>
      </c>
      <c r="B426" s="189" t="s">
        <v>94</v>
      </c>
      <c r="C426" s="172">
        <v>6508.4</v>
      </c>
      <c r="D426" s="172">
        <v>0.53</v>
      </c>
      <c r="E426" s="172">
        <v>1.57</v>
      </c>
      <c r="F426" s="172">
        <v>1.5</v>
      </c>
      <c r="G426" s="172">
        <v>0.53</v>
      </c>
      <c r="H426" s="172">
        <v>5.77</v>
      </c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1.25" customHeight="1">
      <c r="A427" s="166"/>
      <c r="B427" s="189" t="s">
        <v>95</v>
      </c>
      <c r="C427" s="172">
        <v>6563.07</v>
      </c>
      <c r="D427" s="172">
        <v>0.84</v>
      </c>
      <c r="E427" s="172">
        <v>2.0</v>
      </c>
      <c r="F427" s="172">
        <v>2.73</v>
      </c>
      <c r="G427" s="172">
        <v>1.37</v>
      </c>
      <c r="H427" s="172">
        <v>5.6</v>
      </c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1.25" customHeight="1">
      <c r="A428" s="168"/>
      <c r="B428" s="192" t="s">
        <v>96</v>
      </c>
      <c r="C428" s="172">
        <v>6609.67</v>
      </c>
      <c r="D428" s="172">
        <v>0.71</v>
      </c>
      <c r="E428" s="172">
        <v>2.09</v>
      </c>
      <c r="F428" s="172">
        <v>3.76</v>
      </c>
      <c r="G428" s="172">
        <v>2.09</v>
      </c>
      <c r="H428" s="172">
        <v>4.65</v>
      </c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1.25" customHeight="1">
      <c r="A429" s="168"/>
      <c r="B429" s="192" t="s">
        <v>97</v>
      </c>
      <c r="C429" s="172">
        <v>6649.99</v>
      </c>
      <c r="D429" s="172">
        <v>0.61</v>
      </c>
      <c r="E429" s="172">
        <v>2.18</v>
      </c>
      <c r="F429" s="172">
        <v>3.78</v>
      </c>
      <c r="G429" s="172">
        <v>2.72</v>
      </c>
      <c r="H429" s="172">
        <v>4.18</v>
      </c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1.25" customHeight="1">
      <c r="A430" s="168"/>
      <c r="B430" s="192" t="s">
        <v>98</v>
      </c>
      <c r="C430" s="172">
        <v>6665.28</v>
      </c>
      <c r="D430" s="172">
        <v>0.23</v>
      </c>
      <c r="E430" s="172">
        <v>1.56</v>
      </c>
      <c r="F430" s="172">
        <v>3.59</v>
      </c>
      <c r="G430" s="172">
        <v>2.95</v>
      </c>
      <c r="H430" s="172">
        <v>3.94</v>
      </c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1.25" customHeight="1">
      <c r="A431" s="168"/>
      <c r="B431" s="192" t="s">
        <v>99</v>
      </c>
      <c r="C431" s="172">
        <v>6659.95</v>
      </c>
      <c r="D431" s="172">
        <v>-0.08</v>
      </c>
      <c r="E431" s="172">
        <v>0.76</v>
      </c>
      <c r="F431" s="172">
        <v>2.87</v>
      </c>
      <c r="G431" s="172">
        <v>2.87</v>
      </c>
      <c r="H431" s="172">
        <v>3.16</v>
      </c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1.25" customHeight="1">
      <c r="A432" s="168"/>
      <c r="B432" s="192" t="s">
        <v>100</v>
      </c>
      <c r="C432" s="172">
        <v>6667.94</v>
      </c>
      <c r="D432" s="172">
        <v>0.12</v>
      </c>
      <c r="E432" s="172">
        <v>0.27</v>
      </c>
      <c r="F432" s="172">
        <v>2.45</v>
      </c>
      <c r="G432" s="172">
        <v>2.99</v>
      </c>
      <c r="H432" s="172">
        <v>3.99</v>
      </c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1.25" customHeight="1">
      <c r="A433" s="168"/>
      <c r="B433" s="192" t="s">
        <v>101</v>
      </c>
      <c r="C433" s="172">
        <v>6683.28</v>
      </c>
      <c r="D433" s="172">
        <v>0.23</v>
      </c>
      <c r="E433" s="172">
        <v>0.27</v>
      </c>
      <c r="F433" s="172">
        <v>1.83</v>
      </c>
      <c r="G433" s="172">
        <v>3.23</v>
      </c>
      <c r="H433" s="172">
        <v>4.61</v>
      </c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1.25" customHeight="1">
      <c r="A434" s="168"/>
      <c r="B434" s="192" t="s">
        <v>102</v>
      </c>
      <c r="C434" s="172">
        <v>6700.66</v>
      </c>
      <c r="D434" s="172">
        <v>0.26</v>
      </c>
      <c r="E434" s="172">
        <v>0.61</v>
      </c>
      <c r="F434" s="172">
        <v>1.38</v>
      </c>
      <c r="G434" s="172">
        <v>3.5</v>
      </c>
      <c r="H434" s="172">
        <v>5.19</v>
      </c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1.25" customHeight="1">
      <c r="A435" s="168"/>
      <c r="B435" s="192" t="s">
        <v>103</v>
      </c>
      <c r="C435" s="172">
        <v>6716.74</v>
      </c>
      <c r="D435" s="172">
        <v>0.24</v>
      </c>
      <c r="E435" s="172">
        <v>0.73</v>
      </c>
      <c r="F435" s="172">
        <v>1.0</v>
      </c>
      <c r="G435" s="172">
        <v>3.75</v>
      </c>
      <c r="H435" s="172">
        <v>4.82</v>
      </c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1.25" customHeight="1">
      <c r="A436" s="168"/>
      <c r="B436" s="192" t="s">
        <v>104</v>
      </c>
      <c r="C436" s="172">
        <v>6735.55</v>
      </c>
      <c r="D436" s="172">
        <v>0.28</v>
      </c>
      <c r="E436" s="172">
        <v>0.78</v>
      </c>
      <c r="F436" s="172">
        <v>1.05</v>
      </c>
      <c r="G436" s="172">
        <v>4.04</v>
      </c>
      <c r="H436" s="172">
        <v>4.68</v>
      </c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11.25" customHeight="1">
      <c r="A437" s="168"/>
      <c r="B437" s="192" t="s">
        <v>105</v>
      </c>
      <c r="C437" s="172">
        <v>6773.27</v>
      </c>
      <c r="D437" s="172">
        <v>0.56</v>
      </c>
      <c r="E437" s="172">
        <v>1.08</v>
      </c>
      <c r="F437" s="172">
        <v>1.7</v>
      </c>
      <c r="G437" s="172">
        <v>4.62</v>
      </c>
      <c r="H437" s="172">
        <v>4.62</v>
      </c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1.25" customHeight="1">
      <c r="A438" s="168"/>
      <c r="B438" s="192"/>
      <c r="C438" s="172"/>
      <c r="D438" s="172"/>
      <c r="E438" s="172"/>
      <c r="F438" s="172"/>
      <c r="G438" s="172"/>
      <c r="H438" s="172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1.25" customHeight="1">
      <c r="A439" s="166"/>
      <c r="B439" s="189"/>
      <c r="C439" s="172"/>
      <c r="D439" s="172"/>
      <c r="E439" s="172"/>
      <c r="F439" s="172"/>
      <c r="G439" s="172"/>
      <c r="H439" s="172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1.25" customHeight="1">
      <c r="A440" s="166">
        <v>2024.0</v>
      </c>
      <c r="B440" s="192" t="s">
        <v>94</v>
      </c>
      <c r="C440" s="172">
        <v>6801.72</v>
      </c>
      <c r="D440" s="172">
        <v>0.42</v>
      </c>
      <c r="E440" s="172">
        <v>1.27</v>
      </c>
      <c r="F440" s="172">
        <v>2.01</v>
      </c>
      <c r="G440" s="172">
        <v>0.42</v>
      </c>
      <c r="H440" s="172">
        <v>4.51</v>
      </c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1.25" customHeight="1">
      <c r="A441" s="166"/>
      <c r="B441" s="192" t="s">
        <v>95</v>
      </c>
      <c r="C441" s="172">
        <v>6858.17</v>
      </c>
      <c r="D441" s="172">
        <v>0.83</v>
      </c>
      <c r="E441" s="172">
        <v>1.82</v>
      </c>
      <c r="F441" s="172">
        <v>2.62</v>
      </c>
      <c r="G441" s="172">
        <v>1.25</v>
      </c>
      <c r="H441" s="172">
        <v>4.5</v>
      </c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1.25" customHeight="1">
      <c r="A442" s="168"/>
      <c r="B442" s="192" t="s">
        <v>96</v>
      </c>
      <c r="C442" s="172">
        <v>6869.14</v>
      </c>
      <c r="D442" s="172">
        <v>0.16</v>
      </c>
      <c r="E442" s="172">
        <v>1.42</v>
      </c>
      <c r="F442" s="172">
        <v>2.51</v>
      </c>
      <c r="G442" s="172">
        <v>1.42</v>
      </c>
      <c r="H442" s="172">
        <v>3.93</v>
      </c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1.25" customHeight="1">
      <c r="A443" s="168"/>
      <c r="B443" s="192" t="s">
        <v>97</v>
      </c>
      <c r="C443" s="172">
        <v>6895.24</v>
      </c>
      <c r="D443" s="172">
        <v>0.38</v>
      </c>
      <c r="E443" s="172">
        <v>1.37</v>
      </c>
      <c r="F443" s="172">
        <v>2.66</v>
      </c>
      <c r="G443" s="172">
        <v>1.8</v>
      </c>
      <c r="H443" s="172">
        <v>3.69</v>
      </c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1.25" customHeight="1">
      <c r="A444" s="168"/>
      <c r="B444" s="192" t="s">
        <v>98</v>
      </c>
      <c r="C444" s="172">
        <v>6926.96</v>
      </c>
      <c r="D444" s="172">
        <v>0.46</v>
      </c>
      <c r="E444" s="172">
        <v>1.0</v>
      </c>
      <c r="F444" s="172">
        <v>2.84</v>
      </c>
      <c r="G444" s="172">
        <v>2.27</v>
      </c>
      <c r="H444" s="172">
        <v>3.93</v>
      </c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1.25" customHeight="1">
      <c r="A445" s="168"/>
      <c r="B445" s="192" t="s">
        <v>99</v>
      </c>
      <c r="C445" s="172">
        <v>6941.51</v>
      </c>
      <c r="D445" s="172">
        <v>0.21</v>
      </c>
      <c r="E445" s="172">
        <v>1.05</v>
      </c>
      <c r="F445" s="172">
        <v>2.48</v>
      </c>
      <c r="G445" s="172">
        <v>2.48</v>
      </c>
      <c r="H445" s="172">
        <v>4.23</v>
      </c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1.25" customHeight="1">
      <c r="A446" s="168"/>
      <c r="B446" s="192" t="s">
        <v>100</v>
      </c>
      <c r="C446" s="172">
        <v>6967.89</v>
      </c>
      <c r="D446" s="172">
        <v>0.38</v>
      </c>
      <c r="E446" s="172">
        <v>1.05</v>
      </c>
      <c r="F446" s="172">
        <v>2.44</v>
      </c>
      <c r="G446" s="172">
        <v>2.87</v>
      </c>
      <c r="H446" s="172">
        <v>4.5</v>
      </c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ht="11.25" customHeight="1">
      <c r="A447" s="168"/>
      <c r="B447" s="192" t="s">
        <v>101</v>
      </c>
      <c r="C447" s="172">
        <v>6966.5</v>
      </c>
      <c r="D447" s="172">
        <v>-0.02</v>
      </c>
      <c r="E447" s="172">
        <v>0.57</v>
      </c>
      <c r="F447" s="172">
        <v>1.58</v>
      </c>
      <c r="G447" s="172">
        <v>2.85</v>
      </c>
      <c r="H447" s="172">
        <v>4.24</v>
      </c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1.25" customHeight="1">
      <c r="A448" s="168"/>
      <c r="B448" s="192" t="s">
        <v>102</v>
      </c>
      <c r="C448" s="172">
        <v>6997.15</v>
      </c>
      <c r="D448" s="172">
        <v>0.44</v>
      </c>
      <c r="E448" s="172">
        <v>0.8</v>
      </c>
      <c r="F448" s="172">
        <v>1.86</v>
      </c>
      <c r="G448" s="172">
        <v>3.31</v>
      </c>
      <c r="H448" s="172">
        <v>4.42</v>
      </c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1.25" customHeight="1">
      <c r="A449" s="168"/>
      <c r="B449" s="192" t="s">
        <v>103</v>
      </c>
      <c r="C449" s="172">
        <v>7036.33</v>
      </c>
      <c r="D449" s="172">
        <v>0.56</v>
      </c>
      <c r="E449" s="172">
        <v>0.98</v>
      </c>
      <c r="F449" s="172">
        <v>2.05</v>
      </c>
      <c r="G449" s="172">
        <v>3.88</v>
      </c>
      <c r="H449" s="172">
        <v>4.76</v>
      </c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1.25" customHeight="1">
      <c r="A450" s="168"/>
      <c r="B450" s="192" t="s">
        <v>104</v>
      </c>
      <c r="C450" s="172">
        <v>7063.77</v>
      </c>
      <c r="D450" s="172">
        <v>0.39</v>
      </c>
      <c r="E450" s="172">
        <v>1.4</v>
      </c>
      <c r="F450" s="172">
        <v>1.98</v>
      </c>
      <c r="G450" s="172">
        <v>4.29</v>
      </c>
      <c r="H450" s="172">
        <v>4.87</v>
      </c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1.25" customHeight="1">
      <c r="A451" s="168"/>
      <c r="B451" s="192" t="s">
        <v>105</v>
      </c>
      <c r="C451" s="172">
        <v>7100.5</v>
      </c>
      <c r="D451" s="172">
        <v>0.52</v>
      </c>
      <c r="E451" s="172">
        <v>1.48</v>
      </c>
      <c r="F451" s="172">
        <v>2.29</v>
      </c>
      <c r="G451" s="172">
        <v>4.83</v>
      </c>
      <c r="H451" s="172">
        <v>4.83</v>
      </c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1.25" customHeight="1">
      <c r="A452" s="168">
        <v>2025.0</v>
      </c>
      <c r="B452" s="192" t="s">
        <v>94</v>
      </c>
      <c r="C452" s="172">
        <v>7111.86</v>
      </c>
      <c r="D452" s="172">
        <v>0.16</v>
      </c>
      <c r="E452" s="172">
        <v>1.07</v>
      </c>
      <c r="F452" s="172">
        <v>2.07</v>
      </c>
      <c r="G452" s="172">
        <v>0.16</v>
      </c>
      <c r="H452" s="172">
        <v>4.56</v>
      </c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1.25" customHeight="1">
      <c r="A453" s="168"/>
      <c r="B453" s="192" t="s">
        <v>95</v>
      </c>
      <c r="C453" s="172">
        <v>7205.03</v>
      </c>
      <c r="D453" s="172">
        <v>1.31</v>
      </c>
      <c r="E453" s="172">
        <v>2.0</v>
      </c>
      <c r="F453" s="172">
        <v>3.42</v>
      </c>
      <c r="G453" s="172">
        <v>1.47</v>
      </c>
      <c r="H453" s="172">
        <v>5.06</v>
      </c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1.25" customHeight="1">
      <c r="A454" s="168"/>
      <c r="B454" s="192" t="s">
        <v>96</v>
      </c>
      <c r="C454" s="172">
        <v>7245.38</v>
      </c>
      <c r="D454" s="172">
        <v>0.56</v>
      </c>
      <c r="E454" s="172">
        <v>2.04</v>
      </c>
      <c r="F454" s="172">
        <v>3.55</v>
      </c>
      <c r="G454" s="172">
        <v>2.04</v>
      </c>
      <c r="H454" s="172">
        <v>5.48</v>
      </c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1.25" customHeight="1">
      <c r="A455" s="168"/>
      <c r="B455" s="192" t="s">
        <v>97</v>
      </c>
      <c r="C455" s="172">
        <v>7276.54</v>
      </c>
      <c r="D455" s="172">
        <v>0.43</v>
      </c>
      <c r="E455" s="172">
        <v>2.32</v>
      </c>
      <c r="F455" s="172">
        <v>3.41</v>
      </c>
      <c r="G455" s="172">
        <v>2.48</v>
      </c>
      <c r="H455" s="172">
        <v>5.53</v>
      </c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1.25" customHeight="1">
      <c r="A456" s="168"/>
      <c r="B456" s="192"/>
      <c r="C456" s="172"/>
      <c r="D456" s="172"/>
      <c r="E456" s="172"/>
      <c r="F456" s="172"/>
      <c r="G456" s="172"/>
      <c r="H456" s="172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4.5" customHeight="1">
      <c r="A457" s="216"/>
      <c r="B457" s="205"/>
      <c r="C457" s="206"/>
      <c r="D457" s="206"/>
      <c r="E457" s="206"/>
      <c r="F457" s="206"/>
      <c r="G457" s="206"/>
      <c r="H457" s="188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1.25" customHeight="1">
      <c r="A458" s="174" t="s">
        <v>108</v>
      </c>
      <c r="B458" s="140"/>
      <c r="C458" s="141"/>
      <c r="D458" s="140"/>
      <c r="E458" s="140"/>
      <c r="F458" s="140"/>
      <c r="G458" s="140"/>
      <c r="H458" s="142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1.25" customHeight="1">
      <c r="A459" s="140" t="s">
        <v>109</v>
      </c>
      <c r="B459" s="140"/>
      <c r="C459" s="141"/>
      <c r="D459" s="140"/>
      <c r="E459" s="141"/>
      <c r="F459" s="140"/>
      <c r="G459" s="140"/>
      <c r="H459" s="142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1.25" customHeight="1">
      <c r="A460" s="140"/>
      <c r="B460" s="140"/>
      <c r="C460" s="141"/>
      <c r="D460" s="140"/>
      <c r="E460" s="141"/>
      <c r="F460" s="140"/>
      <c r="G460" s="140"/>
      <c r="H460" s="142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1.25" customHeight="1">
      <c r="A461" s="140"/>
      <c r="B461" s="141"/>
      <c r="C461" s="141"/>
      <c r="D461" s="140"/>
      <c r="E461" s="141"/>
      <c r="F461" s="140"/>
      <c r="G461" s="140"/>
      <c r="H461" s="142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1.25" customHeight="1">
      <c r="A462" s="140"/>
      <c r="B462" s="140"/>
      <c r="C462" s="141"/>
      <c r="D462" s="141"/>
      <c r="E462" s="141"/>
      <c r="F462" s="141"/>
      <c r="G462" s="141"/>
      <c r="H462" s="141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1.25" customHeight="1">
      <c r="A463" s="140"/>
      <c r="B463" s="140"/>
      <c r="C463" s="141"/>
      <c r="D463" s="140"/>
      <c r="E463" s="141"/>
      <c r="F463" s="140"/>
      <c r="G463" s="140"/>
      <c r="H463" s="142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1.25" customHeight="1">
      <c r="A464" s="140"/>
      <c r="B464" s="140"/>
      <c r="C464" s="141"/>
      <c r="D464" s="140"/>
      <c r="E464" s="141"/>
      <c r="F464" s="140"/>
      <c r="G464" s="140"/>
      <c r="H464" s="142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1.25" customHeight="1">
      <c r="A465" s="140"/>
      <c r="B465" s="140"/>
      <c r="C465" s="141"/>
      <c r="D465" s="140"/>
      <c r="E465" s="141"/>
      <c r="F465" s="140"/>
      <c r="G465" s="140"/>
      <c r="H465" s="142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1.25" customHeight="1">
      <c r="A466" s="140"/>
      <c r="B466" s="140"/>
      <c r="C466" s="141"/>
      <c r="D466" s="140"/>
      <c r="E466" s="141"/>
      <c r="F466" s="140"/>
      <c r="G466" s="140"/>
      <c r="H466" s="142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1.25" customHeight="1">
      <c r="A467" s="191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1.25" customHeight="1">
      <c r="A468" s="140"/>
      <c r="B468" s="140"/>
      <c r="C468" s="141"/>
      <c r="D468" s="141"/>
      <c r="E468" s="141"/>
      <c r="F468" s="141"/>
      <c r="G468" s="141"/>
      <c r="H468" s="141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1.25" customHeight="1">
      <c r="A469" s="140"/>
      <c r="B469" s="140"/>
      <c r="C469" s="141"/>
      <c r="D469" s="140"/>
      <c r="E469" s="140"/>
      <c r="F469" s="140"/>
      <c r="G469" s="140"/>
      <c r="H469" s="142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1.25" customHeight="1">
      <c r="A470" s="140"/>
      <c r="B470" s="140"/>
      <c r="C470" s="141"/>
      <c r="D470" s="140"/>
      <c r="E470" s="140"/>
      <c r="F470" s="140"/>
      <c r="G470" s="140"/>
      <c r="H470" s="142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1.25" customHeight="1">
      <c r="A471" s="140"/>
      <c r="B471" s="140"/>
      <c r="C471" s="141"/>
      <c r="D471" s="140"/>
      <c r="E471" s="140"/>
      <c r="F471" s="140"/>
      <c r="G471" s="140"/>
      <c r="H471" s="142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1.25" customHeight="1">
      <c r="A472" s="140"/>
      <c r="B472" s="140"/>
      <c r="C472" s="141"/>
      <c r="D472" s="140"/>
      <c r="E472" s="140"/>
      <c r="F472" s="140"/>
      <c r="G472" s="140"/>
      <c r="H472" s="142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1.25" customHeight="1">
      <c r="A473" s="140"/>
      <c r="B473" s="140"/>
      <c r="C473" s="141"/>
      <c r="D473" s="140"/>
      <c r="E473" s="140"/>
      <c r="F473" s="140"/>
      <c r="G473" s="140"/>
      <c r="H473" s="142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1.25" customHeight="1">
      <c r="A474" s="140"/>
      <c r="B474" s="140"/>
      <c r="C474" s="141"/>
      <c r="D474" s="140"/>
      <c r="E474" s="140"/>
      <c r="F474" s="140" t="s">
        <v>106</v>
      </c>
      <c r="G474" s="140"/>
      <c r="H474" s="142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1.25" customHeight="1">
      <c r="A475" s="140"/>
      <c r="B475" s="140"/>
      <c r="C475" s="141"/>
      <c r="D475" s="140"/>
      <c r="E475" s="140"/>
      <c r="F475" s="140"/>
      <c r="G475" s="140"/>
      <c r="H475" s="142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1.25" customHeight="1">
      <c r="A476" s="140"/>
      <c r="B476" s="140"/>
      <c r="C476" s="141"/>
      <c r="D476" s="140"/>
      <c r="E476" s="140"/>
      <c r="F476" s="140"/>
      <c r="G476" s="140"/>
      <c r="H476" s="142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1.25" customHeight="1">
      <c r="A477" s="140"/>
      <c r="B477" s="140"/>
      <c r="C477" s="141"/>
      <c r="D477" s="140"/>
      <c r="E477" s="140"/>
      <c r="F477" s="140"/>
      <c r="G477" s="140"/>
      <c r="H477" s="142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1.25" customHeight="1">
      <c r="A478" s="140"/>
      <c r="B478" s="140"/>
      <c r="C478" s="141"/>
      <c r="D478" s="140"/>
      <c r="E478" s="140"/>
      <c r="F478" s="140"/>
      <c r="G478" s="140"/>
      <c r="H478" s="142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1.25" customHeight="1">
      <c r="A479" s="140"/>
      <c r="B479" s="140"/>
      <c r="C479" s="141"/>
      <c r="D479" s="140"/>
      <c r="E479" s="140"/>
      <c r="F479" s="140"/>
      <c r="G479" s="140"/>
      <c r="H479" s="142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1.25" customHeight="1">
      <c r="A480" s="140"/>
      <c r="B480" s="140"/>
      <c r="C480" s="141"/>
      <c r="D480" s="140"/>
      <c r="E480" s="140"/>
      <c r="F480" s="140"/>
      <c r="G480" s="140"/>
      <c r="H480" s="142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1.25" customHeight="1">
      <c r="A481" s="140"/>
      <c r="B481" s="140"/>
      <c r="C481" s="141"/>
      <c r="D481" s="140"/>
      <c r="E481" s="140"/>
      <c r="F481" s="140"/>
      <c r="G481" s="140"/>
      <c r="H481" s="142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1.25" customHeight="1">
      <c r="A482" s="140"/>
      <c r="B482" s="140"/>
      <c r="C482" s="141"/>
      <c r="D482" s="140"/>
      <c r="E482" s="140"/>
      <c r="F482" s="140"/>
      <c r="G482" s="140"/>
      <c r="H482" s="142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1.25" customHeight="1">
      <c r="A483" s="140"/>
      <c r="B483" s="140"/>
      <c r="C483" s="141"/>
      <c r="D483" s="140"/>
      <c r="E483" s="140"/>
      <c r="F483" s="140"/>
      <c r="G483" s="140"/>
      <c r="H483" s="142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1.25" customHeight="1">
      <c r="A484" s="140"/>
      <c r="B484" s="140"/>
      <c r="C484" s="141"/>
      <c r="D484" s="140"/>
      <c r="E484" s="140"/>
      <c r="F484" s="140"/>
      <c r="G484" s="140"/>
      <c r="H484" s="142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1.25" customHeight="1">
      <c r="A485" s="140"/>
      <c r="B485" s="140"/>
      <c r="C485" s="141"/>
      <c r="D485" s="140"/>
      <c r="E485" s="140"/>
      <c r="F485" s="140"/>
      <c r="G485" s="140"/>
      <c r="H485" s="142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1.25" customHeight="1">
      <c r="A486" s="140"/>
      <c r="B486" s="140"/>
      <c r="C486" s="141"/>
      <c r="D486" s="140"/>
      <c r="E486" s="140"/>
      <c r="F486" s="140"/>
      <c r="G486" s="140"/>
      <c r="H486" s="142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1.25" customHeight="1">
      <c r="A487" s="140"/>
      <c r="B487" s="140"/>
      <c r="C487" s="141"/>
      <c r="D487" s="140"/>
      <c r="E487" s="140"/>
      <c r="F487" s="140"/>
      <c r="G487" s="140"/>
      <c r="H487" s="142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1.25" customHeight="1">
      <c r="A488" s="140"/>
      <c r="B488" s="140"/>
      <c r="C488" s="141"/>
      <c r="D488" s="140"/>
      <c r="E488" s="140"/>
      <c r="F488" s="140"/>
      <c r="G488" s="140"/>
      <c r="H488" s="142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1.25" customHeight="1">
      <c r="A489" s="140"/>
      <c r="B489" s="140"/>
      <c r="C489" s="141"/>
      <c r="D489" s="140"/>
      <c r="E489" s="140"/>
      <c r="F489" s="140"/>
      <c r="G489" s="140"/>
      <c r="H489" s="142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1.25" customHeight="1">
      <c r="A490" s="140"/>
      <c r="B490" s="140"/>
      <c r="C490" s="141"/>
      <c r="D490" s="140"/>
      <c r="E490" s="140"/>
      <c r="F490" s="140"/>
      <c r="G490" s="140"/>
      <c r="H490" s="142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1.25" customHeight="1">
      <c r="A491" s="140"/>
      <c r="B491" s="140"/>
      <c r="C491" s="141"/>
      <c r="D491" s="140"/>
      <c r="E491" s="140"/>
      <c r="F491" s="140"/>
      <c r="G491" s="140"/>
      <c r="H491" s="142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1.25" customHeight="1">
      <c r="A492" s="140"/>
      <c r="B492" s="140"/>
      <c r="C492" s="141"/>
      <c r="D492" s="140"/>
      <c r="E492" s="140"/>
      <c r="F492" s="140"/>
      <c r="G492" s="140"/>
      <c r="H492" s="142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1.25" customHeight="1">
      <c r="A493" s="140"/>
      <c r="B493" s="140"/>
      <c r="C493" s="141"/>
      <c r="D493" s="140"/>
      <c r="E493" s="140"/>
      <c r="F493" s="140"/>
      <c r="G493" s="140"/>
      <c r="H493" s="142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1.25" customHeight="1">
      <c r="A494" s="140"/>
      <c r="B494" s="140"/>
      <c r="C494" s="141"/>
      <c r="D494" s="140"/>
      <c r="E494" s="140"/>
      <c r="F494" s="140"/>
      <c r="G494" s="140"/>
      <c r="H494" s="142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1.25" customHeight="1">
      <c r="A495" s="140"/>
      <c r="B495" s="140"/>
      <c r="C495" s="141"/>
      <c r="D495" s="140"/>
      <c r="E495" s="140"/>
      <c r="F495" s="140"/>
      <c r="G495" s="140"/>
      <c r="H495" s="142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1.25" customHeight="1">
      <c r="A496" s="140"/>
      <c r="B496" s="140"/>
      <c r="C496" s="141"/>
      <c r="D496" s="140"/>
      <c r="E496" s="140"/>
      <c r="F496" s="140"/>
      <c r="G496" s="140"/>
      <c r="H496" s="142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1.25" customHeight="1">
      <c r="A497" s="140"/>
      <c r="B497" s="140"/>
      <c r="C497" s="141"/>
      <c r="D497" s="140"/>
      <c r="E497" s="140"/>
      <c r="F497" s="140"/>
      <c r="G497" s="140"/>
      <c r="H497" s="142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1.25" customHeight="1">
      <c r="A498" s="140"/>
      <c r="B498" s="140"/>
      <c r="C498" s="141"/>
      <c r="D498" s="140"/>
      <c r="E498" s="140"/>
      <c r="F498" s="140"/>
      <c r="G498" s="140"/>
      <c r="H498" s="142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1.25" customHeight="1">
      <c r="A499" s="140"/>
      <c r="B499" s="140"/>
      <c r="C499" s="141"/>
      <c r="D499" s="140"/>
      <c r="E499" s="140"/>
      <c r="F499" s="140"/>
      <c r="G499" s="140"/>
      <c r="H499" s="142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1.25" customHeight="1">
      <c r="A500" s="140"/>
      <c r="B500" s="140"/>
      <c r="C500" s="141"/>
      <c r="D500" s="140"/>
      <c r="E500" s="140"/>
      <c r="F500" s="140"/>
      <c r="G500" s="140"/>
      <c r="H500" s="142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1.25" customHeight="1">
      <c r="A501" s="140"/>
      <c r="B501" s="140"/>
      <c r="C501" s="141"/>
      <c r="D501" s="140"/>
      <c r="E501" s="140"/>
      <c r="F501" s="140"/>
      <c r="G501" s="140"/>
      <c r="H501" s="142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1.25" customHeight="1">
      <c r="A502" s="140"/>
      <c r="B502" s="140"/>
      <c r="C502" s="141"/>
      <c r="D502" s="140"/>
      <c r="E502" s="140"/>
      <c r="F502" s="140"/>
      <c r="G502" s="140"/>
      <c r="H502" s="142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1.25" customHeight="1">
      <c r="A503" s="140"/>
      <c r="B503" s="140"/>
      <c r="C503" s="141"/>
      <c r="D503" s="140"/>
      <c r="E503" s="140"/>
      <c r="F503" s="140"/>
      <c r="G503" s="140"/>
      <c r="H503" s="142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1.25" customHeight="1">
      <c r="A504" s="140"/>
      <c r="B504" s="140"/>
      <c r="C504" s="141"/>
      <c r="D504" s="140"/>
      <c r="E504" s="140"/>
      <c r="F504" s="140"/>
      <c r="G504" s="140"/>
      <c r="H504" s="142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1.25" customHeight="1">
      <c r="A505" s="140"/>
      <c r="B505" s="140"/>
      <c r="C505" s="141"/>
      <c r="D505" s="140"/>
      <c r="E505" s="140"/>
      <c r="F505" s="140"/>
      <c r="G505" s="140"/>
      <c r="H505" s="142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1.25" customHeight="1">
      <c r="A506" s="140"/>
      <c r="B506" s="140"/>
      <c r="C506" s="141"/>
      <c r="D506" s="140"/>
      <c r="E506" s="140"/>
      <c r="F506" s="140"/>
      <c r="G506" s="140"/>
      <c r="H506" s="142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1.25" customHeight="1">
      <c r="A507" s="140"/>
      <c r="B507" s="140"/>
      <c r="C507" s="141"/>
      <c r="D507" s="140"/>
      <c r="E507" s="140"/>
      <c r="F507" s="140"/>
      <c r="G507" s="140"/>
      <c r="H507" s="142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1.25" customHeight="1">
      <c r="A508" s="140"/>
      <c r="B508" s="140"/>
      <c r="C508" s="141"/>
      <c r="D508" s="140"/>
      <c r="E508" s="140"/>
      <c r="F508" s="140"/>
      <c r="G508" s="140"/>
      <c r="H508" s="142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1.25" customHeight="1">
      <c r="A509" s="140"/>
      <c r="B509" s="140"/>
      <c r="C509" s="141"/>
      <c r="D509" s="140"/>
      <c r="E509" s="140"/>
      <c r="F509" s="140"/>
      <c r="G509" s="140"/>
      <c r="H509" s="142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1.25" customHeight="1">
      <c r="A510" s="140"/>
      <c r="B510" s="140"/>
      <c r="C510" s="141"/>
      <c r="D510" s="140"/>
      <c r="E510" s="140"/>
      <c r="F510" s="140"/>
      <c r="G510" s="140"/>
      <c r="H510" s="142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1.25" customHeight="1">
      <c r="A511" s="140"/>
      <c r="B511" s="140"/>
      <c r="C511" s="141"/>
      <c r="D511" s="140"/>
      <c r="E511" s="140"/>
      <c r="F511" s="140"/>
      <c r="G511" s="140"/>
      <c r="H511" s="142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1.25" customHeight="1">
      <c r="A512" s="140"/>
      <c r="B512" s="140"/>
      <c r="C512" s="141"/>
      <c r="D512" s="140"/>
      <c r="E512" s="140"/>
      <c r="F512" s="140"/>
      <c r="G512" s="140"/>
      <c r="H512" s="142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1.25" customHeight="1">
      <c r="A513" s="140"/>
      <c r="B513" s="140"/>
      <c r="C513" s="141"/>
      <c r="D513" s="140"/>
      <c r="E513" s="140"/>
      <c r="F513" s="140"/>
      <c r="G513" s="140"/>
      <c r="H513" s="142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1.25" customHeight="1">
      <c r="A514" s="140"/>
      <c r="B514" s="140"/>
      <c r="C514" s="141"/>
      <c r="D514" s="140"/>
      <c r="E514" s="140"/>
      <c r="F514" s="140"/>
      <c r="G514" s="140"/>
      <c r="H514" s="142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1.25" customHeight="1">
      <c r="A515" s="140"/>
      <c r="B515" s="140"/>
      <c r="C515" s="141"/>
      <c r="D515" s="140"/>
      <c r="E515" s="140"/>
      <c r="F515" s="140"/>
      <c r="G515" s="140"/>
      <c r="H515" s="142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1.25" customHeight="1">
      <c r="A516" s="140"/>
      <c r="B516" s="140"/>
      <c r="C516" s="141"/>
      <c r="D516" s="140"/>
      <c r="E516" s="140"/>
      <c r="F516" s="140"/>
      <c r="G516" s="140"/>
      <c r="H516" s="142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1.25" customHeight="1">
      <c r="A517" s="140"/>
      <c r="B517" s="140"/>
      <c r="C517" s="141"/>
      <c r="D517" s="140"/>
      <c r="E517" s="140"/>
      <c r="F517" s="140"/>
      <c r="G517" s="140"/>
      <c r="H517" s="142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1.25" customHeight="1">
      <c r="A518" s="140"/>
      <c r="B518" s="140"/>
      <c r="C518" s="141"/>
      <c r="D518" s="140"/>
      <c r="E518" s="140"/>
      <c r="F518" s="140"/>
      <c r="G518" s="140"/>
      <c r="H518" s="142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1.25" customHeight="1">
      <c r="A519" s="140"/>
      <c r="B519" s="140"/>
      <c r="C519" s="141"/>
      <c r="D519" s="140"/>
      <c r="E519" s="140"/>
      <c r="F519" s="140"/>
      <c r="G519" s="140"/>
      <c r="H519" s="142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1.25" customHeight="1">
      <c r="A520" s="140"/>
      <c r="B520" s="140"/>
      <c r="C520" s="141"/>
      <c r="D520" s="140"/>
      <c r="E520" s="140"/>
      <c r="F520" s="140"/>
      <c r="G520" s="140"/>
      <c r="H520" s="142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1.25" customHeight="1">
      <c r="A521" s="140"/>
      <c r="B521" s="140"/>
      <c r="C521" s="141"/>
      <c r="D521" s="140"/>
      <c r="E521" s="140"/>
      <c r="F521" s="140"/>
      <c r="G521" s="140"/>
      <c r="H521" s="142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1.25" customHeight="1">
      <c r="A522" s="140"/>
      <c r="B522" s="140"/>
      <c r="C522" s="141"/>
      <c r="D522" s="140"/>
      <c r="E522" s="140"/>
      <c r="F522" s="140"/>
      <c r="G522" s="140"/>
      <c r="H522" s="142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1.25" customHeight="1">
      <c r="A523" s="140"/>
      <c r="B523" s="140"/>
      <c r="C523" s="141"/>
      <c r="D523" s="140"/>
      <c r="E523" s="140"/>
      <c r="F523" s="140"/>
      <c r="G523" s="140"/>
      <c r="H523" s="142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1.25" customHeight="1">
      <c r="A524" s="140"/>
      <c r="B524" s="140"/>
      <c r="C524" s="141"/>
      <c r="D524" s="140"/>
      <c r="E524" s="140"/>
      <c r="F524" s="140"/>
      <c r="G524" s="140"/>
      <c r="H524" s="142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1.25" customHeight="1">
      <c r="A525" s="140"/>
      <c r="B525" s="140"/>
      <c r="C525" s="141"/>
      <c r="D525" s="140"/>
      <c r="E525" s="140"/>
      <c r="F525" s="140"/>
      <c r="G525" s="140"/>
      <c r="H525" s="142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1.25" customHeight="1">
      <c r="A526" s="140"/>
      <c r="B526" s="140"/>
      <c r="C526" s="141"/>
      <c r="D526" s="140"/>
      <c r="E526" s="140"/>
      <c r="F526" s="140"/>
      <c r="G526" s="140"/>
      <c r="H526" s="142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1.25" customHeight="1">
      <c r="A527" s="140"/>
      <c r="B527" s="140"/>
      <c r="C527" s="141"/>
      <c r="D527" s="140"/>
      <c r="E527" s="140"/>
      <c r="F527" s="140"/>
      <c r="G527" s="140"/>
      <c r="H527" s="142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1.25" customHeight="1">
      <c r="A528" s="140"/>
      <c r="B528" s="140"/>
      <c r="C528" s="141"/>
      <c r="D528" s="140"/>
      <c r="E528" s="140"/>
      <c r="F528" s="140"/>
      <c r="G528" s="140"/>
      <c r="H528" s="142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1.25" customHeight="1">
      <c r="A529" s="140"/>
      <c r="B529" s="140"/>
      <c r="C529" s="141"/>
      <c r="D529" s="140"/>
      <c r="E529" s="140"/>
      <c r="F529" s="140"/>
      <c r="G529" s="140"/>
      <c r="H529" s="142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1.25" customHeight="1">
      <c r="A530" s="140"/>
      <c r="B530" s="140"/>
      <c r="C530" s="141"/>
      <c r="D530" s="140"/>
      <c r="E530" s="140"/>
      <c r="F530" s="140"/>
      <c r="G530" s="140"/>
      <c r="H530" s="142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1.25" customHeight="1">
      <c r="A531" s="140"/>
      <c r="B531" s="140"/>
      <c r="C531" s="141"/>
      <c r="D531" s="140"/>
      <c r="E531" s="140"/>
      <c r="F531" s="140"/>
      <c r="G531" s="140"/>
      <c r="H531" s="142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1.25" customHeight="1">
      <c r="A532" s="140"/>
      <c r="B532" s="140"/>
      <c r="C532" s="141"/>
      <c r="D532" s="140"/>
      <c r="E532" s="140"/>
      <c r="F532" s="140"/>
      <c r="G532" s="140"/>
      <c r="H532" s="142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1.25" customHeight="1">
      <c r="A533" s="140"/>
      <c r="B533" s="140"/>
      <c r="C533" s="141"/>
      <c r="D533" s="140"/>
      <c r="E533" s="140"/>
      <c r="F533" s="140"/>
      <c r="G533" s="140"/>
      <c r="H533" s="142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1.25" customHeight="1">
      <c r="A534" s="140"/>
      <c r="B534" s="140"/>
      <c r="C534" s="141"/>
      <c r="D534" s="140"/>
      <c r="E534" s="140"/>
      <c r="F534" s="140"/>
      <c r="G534" s="140"/>
      <c r="H534" s="142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1.25" customHeight="1">
      <c r="A535" s="140"/>
      <c r="B535" s="140"/>
      <c r="C535" s="141"/>
      <c r="D535" s="140"/>
      <c r="E535" s="140"/>
      <c r="F535" s="140"/>
      <c r="G535" s="140"/>
      <c r="H535" s="142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1.25" customHeight="1">
      <c r="A536" s="140"/>
      <c r="B536" s="140"/>
      <c r="C536" s="141"/>
      <c r="D536" s="140"/>
      <c r="E536" s="140"/>
      <c r="F536" s="140"/>
      <c r="G536" s="140"/>
      <c r="H536" s="142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1.25" customHeight="1">
      <c r="A537" s="140"/>
      <c r="B537" s="140"/>
      <c r="C537" s="141"/>
      <c r="D537" s="140"/>
      <c r="E537" s="140"/>
      <c r="F537" s="140"/>
      <c r="G537" s="140"/>
      <c r="H537" s="142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1.25" customHeight="1">
      <c r="A538" s="140"/>
      <c r="B538" s="140"/>
      <c r="C538" s="141"/>
      <c r="D538" s="140"/>
      <c r="E538" s="140"/>
      <c r="F538" s="140"/>
      <c r="G538" s="140"/>
      <c r="H538" s="142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1.25" customHeight="1">
      <c r="A539" s="140"/>
      <c r="B539" s="140"/>
      <c r="C539" s="141"/>
      <c r="D539" s="140"/>
      <c r="E539" s="140"/>
      <c r="F539" s="140"/>
      <c r="G539" s="140"/>
      <c r="H539" s="142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1.25" customHeight="1">
      <c r="A540" s="140"/>
      <c r="B540" s="140"/>
      <c r="C540" s="141"/>
      <c r="D540" s="140"/>
      <c r="E540" s="140"/>
      <c r="F540" s="140"/>
      <c r="G540" s="140"/>
      <c r="H540" s="142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1.25" customHeight="1">
      <c r="A541" s="140"/>
      <c r="B541" s="140"/>
      <c r="C541" s="141"/>
      <c r="D541" s="140"/>
      <c r="E541" s="140"/>
      <c r="F541" s="140"/>
      <c r="G541" s="140"/>
      <c r="H541" s="142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1.25" customHeight="1">
      <c r="A542" s="140"/>
      <c r="B542" s="140"/>
      <c r="C542" s="141"/>
      <c r="D542" s="140"/>
      <c r="E542" s="140"/>
      <c r="F542" s="140"/>
      <c r="G542" s="140"/>
      <c r="H542" s="142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1.25" customHeight="1">
      <c r="A543" s="140"/>
      <c r="B543" s="140"/>
      <c r="C543" s="141"/>
      <c r="D543" s="140"/>
      <c r="E543" s="140"/>
      <c r="F543" s="140"/>
      <c r="G543" s="140"/>
      <c r="H543" s="142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1.25" customHeight="1">
      <c r="A544" s="140"/>
      <c r="B544" s="140"/>
      <c r="C544" s="141"/>
      <c r="D544" s="140"/>
      <c r="E544" s="140"/>
      <c r="F544" s="140"/>
      <c r="G544" s="140"/>
      <c r="H544" s="142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1.25" customHeight="1">
      <c r="A545" s="140"/>
      <c r="B545" s="140"/>
      <c r="C545" s="141"/>
      <c r="D545" s="140"/>
      <c r="E545" s="140"/>
      <c r="F545" s="140"/>
      <c r="G545" s="140"/>
      <c r="H545" s="142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1.25" customHeight="1">
      <c r="A546" s="140"/>
      <c r="B546" s="140"/>
      <c r="C546" s="141"/>
      <c r="D546" s="140"/>
      <c r="E546" s="140"/>
      <c r="F546" s="140"/>
      <c r="G546" s="140"/>
      <c r="H546" s="142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1.25" customHeight="1">
      <c r="A547" s="140"/>
      <c r="B547" s="140"/>
      <c r="C547" s="141"/>
      <c r="D547" s="140"/>
      <c r="E547" s="140"/>
      <c r="F547" s="140"/>
      <c r="G547" s="140"/>
      <c r="H547" s="142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1.25" customHeight="1">
      <c r="A548" s="140"/>
      <c r="B548" s="140"/>
      <c r="C548" s="141"/>
      <c r="D548" s="140"/>
      <c r="E548" s="140"/>
      <c r="F548" s="140"/>
      <c r="G548" s="140"/>
      <c r="H548" s="142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1.25" customHeight="1">
      <c r="A549" s="140"/>
      <c r="B549" s="140"/>
      <c r="C549" s="141"/>
      <c r="D549" s="140"/>
      <c r="E549" s="140"/>
      <c r="F549" s="140"/>
      <c r="G549" s="140"/>
      <c r="H549" s="142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1.25" customHeight="1">
      <c r="A550" s="140"/>
      <c r="B550" s="140"/>
      <c r="C550" s="141"/>
      <c r="D550" s="140"/>
      <c r="E550" s="140"/>
      <c r="F550" s="140"/>
      <c r="G550" s="140"/>
      <c r="H550" s="142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1.25" customHeight="1">
      <c r="A551" s="140"/>
      <c r="B551" s="140"/>
      <c r="C551" s="141"/>
      <c r="D551" s="140"/>
      <c r="E551" s="140"/>
      <c r="F551" s="140"/>
      <c r="G551" s="140"/>
      <c r="H551" s="142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1.25" customHeight="1">
      <c r="A552" s="140"/>
      <c r="B552" s="140"/>
      <c r="C552" s="141"/>
      <c r="D552" s="140"/>
      <c r="E552" s="140"/>
      <c r="F552" s="140"/>
      <c r="G552" s="140"/>
      <c r="H552" s="142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1.25" customHeight="1">
      <c r="A553" s="140"/>
      <c r="B553" s="140"/>
      <c r="C553" s="141"/>
      <c r="D553" s="140"/>
      <c r="E553" s="140"/>
      <c r="F553" s="140"/>
      <c r="G553" s="140"/>
      <c r="H553" s="142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1.25" customHeight="1">
      <c r="A554" s="140"/>
      <c r="B554" s="140"/>
      <c r="C554" s="141"/>
      <c r="D554" s="140"/>
      <c r="E554" s="140"/>
      <c r="F554" s="140"/>
      <c r="G554" s="140"/>
      <c r="H554" s="142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1.25" customHeight="1">
      <c r="A555" s="140"/>
      <c r="B555" s="140"/>
      <c r="C555" s="141"/>
      <c r="D555" s="140"/>
      <c r="E555" s="140"/>
      <c r="F555" s="140"/>
      <c r="G555" s="140"/>
      <c r="H555" s="142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1.25" customHeight="1">
      <c r="A556" s="140"/>
      <c r="B556" s="140"/>
      <c r="C556" s="141"/>
      <c r="D556" s="140"/>
      <c r="E556" s="140"/>
      <c r="F556" s="140"/>
      <c r="G556" s="140"/>
      <c r="H556" s="142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1.25" customHeight="1">
      <c r="A557" s="140"/>
      <c r="B557" s="140"/>
      <c r="C557" s="141"/>
      <c r="D557" s="140"/>
      <c r="E557" s="140"/>
      <c r="F557" s="140"/>
      <c r="G557" s="140"/>
      <c r="H557" s="142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1.25" customHeight="1">
      <c r="A558" s="140"/>
      <c r="B558" s="140"/>
      <c r="C558" s="141"/>
      <c r="D558" s="140"/>
      <c r="E558" s="140"/>
      <c r="F558" s="140"/>
      <c r="G558" s="140"/>
      <c r="H558" s="142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1.25" customHeight="1">
      <c r="A559" s="140"/>
      <c r="B559" s="140"/>
      <c r="C559" s="141"/>
      <c r="D559" s="140"/>
      <c r="E559" s="140"/>
      <c r="F559" s="140"/>
      <c r="G559" s="140"/>
      <c r="H559" s="142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1.25" customHeight="1">
      <c r="A560" s="140"/>
      <c r="B560" s="140"/>
      <c r="C560" s="141"/>
      <c r="D560" s="140"/>
      <c r="E560" s="140"/>
      <c r="F560" s="140"/>
      <c r="G560" s="140"/>
      <c r="H560" s="142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1.25" customHeight="1">
      <c r="A561" s="140"/>
      <c r="B561" s="140"/>
      <c r="C561" s="141"/>
      <c r="D561" s="140"/>
      <c r="E561" s="140"/>
      <c r="F561" s="140"/>
      <c r="G561" s="140"/>
      <c r="H561" s="142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1.25" customHeight="1">
      <c r="A562" s="140"/>
      <c r="B562" s="140"/>
      <c r="C562" s="141"/>
      <c r="D562" s="140"/>
      <c r="E562" s="140"/>
      <c r="F562" s="140"/>
      <c r="G562" s="140"/>
      <c r="H562" s="142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1.25" customHeight="1">
      <c r="A563" s="140"/>
      <c r="B563" s="140"/>
      <c r="C563" s="141"/>
      <c r="D563" s="140"/>
      <c r="E563" s="140"/>
      <c r="F563" s="140"/>
      <c r="G563" s="140"/>
      <c r="H563" s="142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1.25" customHeight="1">
      <c r="A564" s="140"/>
      <c r="B564" s="140"/>
      <c r="C564" s="141"/>
      <c r="D564" s="140"/>
      <c r="E564" s="140"/>
      <c r="F564" s="140"/>
      <c r="G564" s="140"/>
      <c r="H564" s="142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1.25" customHeight="1">
      <c r="A565" s="140"/>
      <c r="B565" s="140"/>
      <c r="C565" s="141"/>
      <c r="D565" s="140"/>
      <c r="E565" s="140"/>
      <c r="F565" s="140"/>
      <c r="G565" s="140"/>
      <c r="H565" s="142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1.25" customHeight="1">
      <c r="A566" s="140"/>
      <c r="B566" s="140"/>
      <c r="C566" s="141"/>
      <c r="D566" s="140"/>
      <c r="E566" s="140"/>
      <c r="F566" s="140"/>
      <c r="G566" s="140"/>
      <c r="H566" s="142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1.25" customHeight="1">
      <c r="A567" s="140"/>
      <c r="B567" s="140"/>
      <c r="C567" s="141"/>
      <c r="D567" s="140"/>
      <c r="E567" s="140"/>
      <c r="F567" s="140"/>
      <c r="G567" s="140"/>
      <c r="H567" s="142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1.25" customHeight="1">
      <c r="A568" s="140"/>
      <c r="B568" s="140"/>
      <c r="C568" s="141"/>
      <c r="D568" s="140"/>
      <c r="E568" s="140"/>
      <c r="F568" s="140"/>
      <c r="G568" s="140"/>
      <c r="H568" s="142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1.25" customHeight="1">
      <c r="A569" s="140"/>
      <c r="B569" s="140"/>
      <c r="C569" s="141"/>
      <c r="D569" s="140"/>
      <c r="E569" s="140"/>
      <c r="F569" s="140"/>
      <c r="G569" s="140"/>
      <c r="H569" s="142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1.25" customHeight="1">
      <c r="A570" s="140"/>
      <c r="B570" s="140"/>
      <c r="C570" s="141"/>
      <c r="D570" s="140"/>
      <c r="E570" s="140"/>
      <c r="F570" s="140"/>
      <c r="G570" s="140"/>
      <c r="H570" s="142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1.25" customHeight="1">
      <c r="A571" s="140"/>
      <c r="B571" s="140"/>
      <c r="C571" s="141"/>
      <c r="D571" s="140"/>
      <c r="E571" s="140"/>
      <c r="F571" s="140"/>
      <c r="G571" s="140"/>
      <c r="H571" s="142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1.25" customHeight="1">
      <c r="A572" s="140"/>
      <c r="B572" s="140"/>
      <c r="C572" s="141"/>
      <c r="D572" s="140"/>
      <c r="E572" s="140"/>
      <c r="F572" s="140"/>
      <c r="G572" s="140"/>
      <c r="H572" s="142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1.25" customHeight="1">
      <c r="A573" s="140"/>
      <c r="B573" s="140"/>
      <c r="C573" s="141"/>
      <c r="D573" s="140"/>
      <c r="E573" s="140"/>
      <c r="F573" s="140"/>
      <c r="G573" s="140"/>
      <c r="H573" s="142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1.25" customHeight="1">
      <c r="A574" s="140"/>
      <c r="B574" s="140"/>
      <c r="C574" s="141"/>
      <c r="D574" s="140"/>
      <c r="E574" s="140"/>
      <c r="F574" s="140"/>
      <c r="G574" s="140"/>
      <c r="H574" s="142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1.25" customHeight="1">
      <c r="A575" s="140"/>
      <c r="B575" s="140"/>
      <c r="C575" s="141"/>
      <c r="D575" s="140"/>
      <c r="E575" s="140"/>
      <c r="F575" s="140"/>
      <c r="G575" s="140"/>
      <c r="H575" s="142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1.25" customHeight="1">
      <c r="A576" s="140"/>
      <c r="B576" s="140"/>
      <c r="C576" s="141"/>
      <c r="D576" s="140"/>
      <c r="E576" s="140"/>
      <c r="F576" s="140"/>
      <c r="G576" s="140"/>
      <c r="H576" s="142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1.25" customHeight="1">
      <c r="A577" s="140"/>
      <c r="B577" s="140"/>
      <c r="C577" s="141"/>
      <c r="D577" s="140"/>
      <c r="E577" s="140"/>
      <c r="F577" s="140"/>
      <c r="G577" s="140"/>
      <c r="H577" s="142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1.25" customHeight="1">
      <c r="A578" s="140"/>
      <c r="B578" s="140"/>
      <c r="C578" s="141"/>
      <c r="D578" s="140"/>
      <c r="E578" s="140"/>
      <c r="F578" s="140"/>
      <c r="G578" s="140"/>
      <c r="H578" s="142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1.25" customHeight="1">
      <c r="A579" s="140"/>
      <c r="B579" s="140"/>
      <c r="C579" s="141"/>
      <c r="D579" s="140"/>
      <c r="E579" s="140"/>
      <c r="F579" s="140"/>
      <c r="G579" s="140"/>
      <c r="H579" s="142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1.25" customHeight="1">
      <c r="A580" s="140"/>
      <c r="B580" s="140"/>
      <c r="C580" s="141"/>
      <c r="D580" s="140"/>
      <c r="E580" s="140"/>
      <c r="F580" s="140"/>
      <c r="G580" s="140"/>
      <c r="H580" s="142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1.25" customHeight="1">
      <c r="A581" s="140"/>
      <c r="B581" s="140"/>
      <c r="C581" s="141"/>
      <c r="D581" s="140"/>
      <c r="E581" s="140"/>
      <c r="F581" s="140"/>
      <c r="G581" s="140"/>
      <c r="H581" s="142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1.25" customHeight="1">
      <c r="A582" s="140"/>
      <c r="B582" s="140"/>
      <c r="C582" s="141"/>
      <c r="D582" s="140"/>
      <c r="E582" s="140"/>
      <c r="F582" s="140"/>
      <c r="G582" s="140"/>
      <c r="H582" s="142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1.25" customHeight="1">
      <c r="A583" s="140"/>
      <c r="B583" s="140"/>
      <c r="C583" s="141"/>
      <c r="D583" s="140"/>
      <c r="E583" s="140"/>
      <c r="F583" s="140"/>
      <c r="G583" s="140"/>
      <c r="H583" s="142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1.25" customHeight="1">
      <c r="A584" s="140"/>
      <c r="B584" s="140"/>
      <c r="C584" s="141"/>
      <c r="D584" s="140"/>
      <c r="E584" s="140"/>
      <c r="F584" s="140"/>
      <c r="G584" s="140"/>
      <c r="H584" s="142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1.25" customHeight="1">
      <c r="A585" s="140"/>
      <c r="B585" s="140"/>
      <c r="C585" s="141"/>
      <c r="D585" s="140"/>
      <c r="E585" s="140"/>
      <c r="F585" s="140"/>
      <c r="G585" s="140"/>
      <c r="H585" s="142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1.25" customHeight="1">
      <c r="A586" s="140"/>
      <c r="B586" s="140"/>
      <c r="C586" s="141"/>
      <c r="D586" s="140"/>
      <c r="E586" s="140"/>
      <c r="F586" s="140"/>
      <c r="G586" s="140"/>
      <c r="H586" s="142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1.25" customHeight="1">
      <c r="A587" s="140"/>
      <c r="B587" s="140"/>
      <c r="C587" s="141"/>
      <c r="D587" s="140"/>
      <c r="E587" s="140"/>
      <c r="F587" s="140"/>
      <c r="G587" s="140"/>
      <c r="H587" s="142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1.25" customHeight="1">
      <c r="A588" s="140"/>
      <c r="B588" s="140"/>
      <c r="C588" s="141"/>
      <c r="D588" s="140"/>
      <c r="E588" s="140"/>
      <c r="F588" s="140"/>
      <c r="G588" s="140"/>
      <c r="H588" s="142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1.25" customHeight="1">
      <c r="A589" s="140"/>
      <c r="B589" s="140"/>
      <c r="C589" s="141"/>
      <c r="D589" s="140"/>
      <c r="E589" s="140"/>
      <c r="F589" s="140"/>
      <c r="G589" s="140"/>
      <c r="H589" s="142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1.25" customHeight="1">
      <c r="A590" s="140"/>
      <c r="B590" s="140"/>
      <c r="C590" s="141"/>
      <c r="D590" s="140"/>
      <c r="E590" s="140"/>
      <c r="F590" s="140"/>
      <c r="G590" s="140"/>
      <c r="H590" s="142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1.25" customHeight="1">
      <c r="A591" s="140"/>
      <c r="B591" s="140"/>
      <c r="C591" s="141"/>
      <c r="D591" s="140"/>
      <c r="E591" s="140"/>
      <c r="F591" s="140"/>
      <c r="G591" s="140"/>
      <c r="H591" s="142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1.25" customHeight="1">
      <c r="A592" s="140"/>
      <c r="B592" s="140"/>
      <c r="C592" s="141"/>
      <c r="D592" s="140"/>
      <c r="E592" s="140"/>
      <c r="F592" s="140"/>
      <c r="G592" s="140"/>
      <c r="H592" s="142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1.25" customHeight="1">
      <c r="A593" s="140"/>
      <c r="B593" s="140"/>
      <c r="C593" s="141"/>
      <c r="D593" s="140"/>
      <c r="E593" s="140"/>
      <c r="F593" s="140"/>
      <c r="G593" s="140"/>
      <c r="H593" s="142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1.25" customHeight="1">
      <c r="A594" s="140"/>
      <c r="B594" s="140"/>
      <c r="C594" s="141"/>
      <c r="D594" s="140"/>
      <c r="E594" s="140"/>
      <c r="F594" s="140"/>
      <c r="G594" s="140"/>
      <c r="H594" s="142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1.25" customHeight="1">
      <c r="A595" s="140"/>
      <c r="B595" s="140"/>
      <c r="C595" s="141"/>
      <c r="D595" s="140"/>
      <c r="E595" s="140"/>
      <c r="F595" s="140"/>
      <c r="G595" s="140"/>
      <c r="H595" s="142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1.25" customHeight="1">
      <c r="A596" s="140"/>
      <c r="B596" s="140"/>
      <c r="C596" s="141"/>
      <c r="D596" s="140"/>
      <c r="E596" s="140"/>
      <c r="F596" s="140"/>
      <c r="G596" s="140"/>
      <c r="H596" s="142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1.25" customHeight="1">
      <c r="A597" s="140"/>
      <c r="B597" s="140"/>
      <c r="C597" s="141"/>
      <c r="D597" s="140"/>
      <c r="E597" s="140"/>
      <c r="F597" s="140"/>
      <c r="G597" s="140"/>
      <c r="H597" s="142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1.25" customHeight="1">
      <c r="A598" s="140"/>
      <c r="B598" s="140"/>
      <c r="C598" s="141"/>
      <c r="D598" s="140"/>
      <c r="E598" s="140"/>
      <c r="F598" s="140"/>
      <c r="G598" s="140"/>
      <c r="H598" s="142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1.25" customHeight="1">
      <c r="A599" s="140"/>
      <c r="B599" s="140"/>
      <c r="C599" s="141"/>
      <c r="D599" s="140"/>
      <c r="E599" s="140"/>
      <c r="F599" s="140"/>
      <c r="G599" s="140"/>
      <c r="H599" s="142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1.25" customHeight="1">
      <c r="A600" s="140"/>
      <c r="B600" s="140"/>
      <c r="C600" s="141"/>
      <c r="D600" s="140"/>
      <c r="E600" s="140"/>
      <c r="F600" s="140"/>
      <c r="G600" s="140"/>
      <c r="H600" s="142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1.25" customHeight="1">
      <c r="A601" s="140"/>
      <c r="B601" s="140"/>
      <c r="C601" s="141"/>
      <c r="D601" s="140"/>
      <c r="E601" s="140"/>
      <c r="F601" s="140"/>
      <c r="G601" s="140"/>
      <c r="H601" s="142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1.25" customHeight="1">
      <c r="A602" s="140"/>
      <c r="B602" s="140"/>
      <c r="C602" s="141"/>
      <c r="D602" s="140"/>
      <c r="E602" s="140"/>
      <c r="F602" s="140"/>
      <c r="G602" s="140"/>
      <c r="H602" s="142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1.25" customHeight="1">
      <c r="A603" s="140"/>
      <c r="B603" s="140"/>
      <c r="C603" s="141"/>
      <c r="D603" s="140"/>
      <c r="E603" s="140"/>
      <c r="F603" s="140"/>
      <c r="G603" s="140"/>
      <c r="H603" s="142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1.25" customHeight="1">
      <c r="A604" s="140"/>
      <c r="B604" s="140"/>
      <c r="C604" s="141"/>
      <c r="D604" s="140"/>
      <c r="E604" s="140"/>
      <c r="F604" s="140"/>
      <c r="G604" s="140"/>
      <c r="H604" s="142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1.25" customHeight="1">
      <c r="A605" s="140"/>
      <c r="B605" s="140"/>
      <c r="C605" s="141"/>
      <c r="D605" s="140"/>
      <c r="E605" s="140"/>
      <c r="F605" s="140"/>
      <c r="G605" s="140"/>
      <c r="H605" s="142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1.25" customHeight="1">
      <c r="A606" s="140"/>
      <c r="B606" s="140"/>
      <c r="C606" s="141"/>
      <c r="D606" s="140"/>
      <c r="E606" s="140"/>
      <c r="F606" s="140"/>
      <c r="G606" s="140"/>
      <c r="H606" s="142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1.25" customHeight="1">
      <c r="A607" s="140"/>
      <c r="B607" s="140"/>
      <c r="C607" s="141"/>
      <c r="D607" s="140"/>
      <c r="E607" s="140"/>
      <c r="F607" s="140"/>
      <c r="G607" s="140"/>
      <c r="H607" s="142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1.25" customHeight="1">
      <c r="A608" s="140"/>
      <c r="B608" s="140"/>
      <c r="C608" s="141"/>
      <c r="D608" s="140"/>
      <c r="E608" s="140"/>
      <c r="F608" s="140"/>
      <c r="G608" s="140"/>
      <c r="H608" s="142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1.25" customHeight="1">
      <c r="A609" s="140"/>
      <c r="B609" s="140"/>
      <c r="C609" s="141"/>
      <c r="D609" s="140"/>
      <c r="E609" s="140"/>
      <c r="F609" s="140"/>
      <c r="G609" s="140"/>
      <c r="H609" s="142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1.25" customHeight="1">
      <c r="A610" s="140"/>
      <c r="B610" s="140"/>
      <c r="C610" s="141"/>
      <c r="D610" s="140"/>
      <c r="E610" s="140"/>
      <c r="F610" s="140"/>
      <c r="G610" s="140"/>
      <c r="H610" s="142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1.25" customHeight="1">
      <c r="A611" s="140"/>
      <c r="B611" s="140"/>
      <c r="C611" s="141"/>
      <c r="D611" s="140"/>
      <c r="E611" s="140"/>
      <c r="F611" s="140"/>
      <c r="G611" s="140"/>
      <c r="H611" s="142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1.25" customHeight="1">
      <c r="A612" s="140"/>
      <c r="B612" s="140"/>
      <c r="C612" s="141"/>
      <c r="D612" s="140"/>
      <c r="E612" s="140"/>
      <c r="F612" s="140"/>
      <c r="G612" s="140"/>
      <c r="H612" s="142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1.25" customHeight="1">
      <c r="A613" s="140"/>
      <c r="B613" s="140"/>
      <c r="C613" s="141"/>
      <c r="D613" s="140"/>
      <c r="E613" s="140"/>
      <c r="F613" s="140"/>
      <c r="G613" s="140"/>
      <c r="H613" s="142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1.25" customHeight="1">
      <c r="A614" s="140"/>
      <c r="B614" s="140"/>
      <c r="C614" s="141"/>
      <c r="D614" s="140"/>
      <c r="E614" s="140"/>
      <c r="F614" s="140"/>
      <c r="G614" s="140"/>
      <c r="H614" s="142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1.25" customHeight="1">
      <c r="A615" s="140"/>
      <c r="B615" s="140"/>
      <c r="C615" s="141"/>
      <c r="D615" s="140"/>
      <c r="E615" s="140"/>
      <c r="F615" s="140"/>
      <c r="G615" s="140"/>
      <c r="H615" s="142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1.25" customHeight="1">
      <c r="A616" s="140"/>
      <c r="B616" s="140"/>
      <c r="C616" s="141"/>
      <c r="D616" s="140"/>
      <c r="E616" s="140"/>
      <c r="F616" s="140"/>
      <c r="G616" s="140"/>
      <c r="H616" s="142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1.25" customHeight="1">
      <c r="A617" s="140"/>
      <c r="B617" s="140"/>
      <c r="C617" s="141"/>
      <c r="D617" s="140"/>
      <c r="E617" s="140"/>
      <c r="F617" s="140"/>
      <c r="G617" s="140"/>
      <c r="H617" s="142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1.25" customHeight="1">
      <c r="A618" s="140"/>
      <c r="B618" s="140"/>
      <c r="C618" s="141"/>
      <c r="D618" s="140"/>
      <c r="E618" s="140"/>
      <c r="F618" s="140"/>
      <c r="G618" s="140"/>
      <c r="H618" s="142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1.25" customHeight="1">
      <c r="A619" s="140"/>
      <c r="B619" s="140"/>
      <c r="C619" s="141"/>
      <c r="D619" s="140"/>
      <c r="E619" s="140"/>
      <c r="F619" s="140"/>
      <c r="G619" s="140"/>
      <c r="H619" s="142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1.25" customHeight="1">
      <c r="A620" s="140"/>
      <c r="B620" s="140"/>
      <c r="C620" s="141"/>
      <c r="D620" s="140"/>
      <c r="E620" s="140"/>
      <c r="F620" s="140"/>
      <c r="G620" s="140"/>
      <c r="H620" s="142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1.25" customHeight="1">
      <c r="A621" s="140"/>
      <c r="B621" s="140"/>
      <c r="C621" s="141"/>
      <c r="D621" s="140"/>
      <c r="E621" s="140"/>
      <c r="F621" s="140"/>
      <c r="G621" s="140"/>
      <c r="H621" s="142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1.25" customHeight="1">
      <c r="A622" s="140"/>
      <c r="B622" s="140"/>
      <c r="C622" s="141"/>
      <c r="D622" s="140"/>
      <c r="E622" s="140"/>
      <c r="F622" s="140"/>
      <c r="G622" s="140"/>
      <c r="H622" s="142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1.25" customHeight="1">
      <c r="A623" s="140"/>
      <c r="B623" s="140"/>
      <c r="C623" s="141"/>
      <c r="D623" s="140"/>
      <c r="E623" s="140"/>
      <c r="F623" s="140"/>
      <c r="G623" s="140"/>
      <c r="H623" s="142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1.25" customHeight="1">
      <c r="A624" s="140"/>
      <c r="B624" s="140"/>
      <c r="C624" s="141"/>
      <c r="D624" s="140"/>
      <c r="E624" s="140"/>
      <c r="F624" s="140"/>
      <c r="G624" s="140"/>
      <c r="H624" s="142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1.25" customHeight="1">
      <c r="A625" s="140"/>
      <c r="B625" s="140"/>
      <c r="C625" s="141"/>
      <c r="D625" s="140"/>
      <c r="E625" s="140"/>
      <c r="F625" s="140"/>
      <c r="G625" s="140"/>
      <c r="H625" s="142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1.25" customHeight="1">
      <c r="A626" s="140"/>
      <c r="B626" s="140"/>
      <c r="C626" s="141"/>
      <c r="D626" s="140"/>
      <c r="E626" s="140"/>
      <c r="F626" s="140"/>
      <c r="G626" s="140"/>
      <c r="H626" s="142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1.25" customHeight="1">
      <c r="A627" s="140"/>
      <c r="B627" s="140"/>
      <c r="C627" s="141"/>
      <c r="D627" s="140"/>
      <c r="E627" s="140"/>
      <c r="F627" s="140"/>
      <c r="G627" s="140"/>
      <c r="H627" s="142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1.25" customHeight="1">
      <c r="A628" s="140"/>
      <c r="B628" s="140"/>
      <c r="C628" s="141"/>
      <c r="D628" s="140"/>
      <c r="E628" s="140"/>
      <c r="F628" s="140"/>
      <c r="G628" s="140"/>
      <c r="H628" s="142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1.25" customHeight="1">
      <c r="A629" s="140"/>
      <c r="B629" s="140"/>
      <c r="C629" s="141"/>
      <c r="D629" s="140"/>
      <c r="E629" s="140"/>
      <c r="F629" s="140"/>
      <c r="G629" s="140"/>
      <c r="H629" s="142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1.25" customHeight="1">
      <c r="A630" s="140"/>
      <c r="B630" s="140"/>
      <c r="C630" s="141"/>
      <c r="D630" s="140"/>
      <c r="E630" s="140"/>
      <c r="F630" s="140"/>
      <c r="G630" s="140"/>
      <c r="H630" s="142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1.25" customHeight="1">
      <c r="A631" s="140"/>
      <c r="B631" s="140"/>
      <c r="C631" s="141"/>
      <c r="D631" s="140"/>
      <c r="E631" s="140"/>
      <c r="F631" s="140"/>
      <c r="G631" s="140"/>
      <c r="H631" s="142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1.25" customHeight="1">
      <c r="A632" s="140"/>
      <c r="B632" s="140"/>
      <c r="C632" s="141"/>
      <c r="D632" s="140"/>
      <c r="E632" s="140"/>
      <c r="F632" s="140"/>
      <c r="G632" s="140"/>
      <c r="H632" s="142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1.25" customHeight="1">
      <c r="A633" s="140"/>
      <c r="B633" s="140"/>
      <c r="C633" s="141"/>
      <c r="D633" s="140"/>
      <c r="E633" s="140"/>
      <c r="F633" s="140"/>
      <c r="G633" s="140"/>
      <c r="H633" s="142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1.25" customHeight="1">
      <c r="A634" s="140"/>
      <c r="B634" s="140"/>
      <c r="C634" s="141"/>
      <c r="D634" s="140"/>
      <c r="E634" s="140"/>
      <c r="F634" s="140"/>
      <c r="G634" s="140"/>
      <c r="H634" s="142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1.25" customHeight="1">
      <c r="A635" s="140"/>
      <c r="B635" s="140"/>
      <c r="C635" s="141"/>
      <c r="D635" s="140"/>
      <c r="E635" s="140"/>
      <c r="F635" s="140"/>
      <c r="G635" s="140"/>
      <c r="H635" s="142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1.25" customHeight="1">
      <c r="A636" s="140"/>
      <c r="B636" s="140"/>
      <c r="C636" s="141"/>
      <c r="D636" s="140"/>
      <c r="E636" s="140"/>
      <c r="F636" s="140"/>
      <c r="G636" s="140"/>
      <c r="H636" s="142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1.25" customHeight="1">
      <c r="A637" s="140"/>
      <c r="B637" s="140"/>
      <c r="C637" s="141"/>
      <c r="D637" s="140"/>
      <c r="E637" s="140"/>
      <c r="F637" s="140"/>
      <c r="G637" s="140"/>
      <c r="H637" s="142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1.25" customHeight="1">
      <c r="A638" s="140"/>
      <c r="B638" s="140"/>
      <c r="C638" s="141"/>
      <c r="D638" s="140"/>
      <c r="E638" s="140"/>
      <c r="F638" s="140"/>
      <c r="G638" s="140"/>
      <c r="H638" s="142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1.25" customHeight="1">
      <c r="A639" s="140"/>
      <c r="B639" s="140"/>
      <c r="C639" s="141"/>
      <c r="D639" s="140"/>
      <c r="E639" s="140"/>
      <c r="F639" s="140"/>
      <c r="G639" s="140"/>
      <c r="H639" s="142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1.25" customHeight="1">
      <c r="A640" s="140"/>
      <c r="B640" s="140"/>
      <c r="C640" s="141"/>
      <c r="D640" s="140"/>
      <c r="E640" s="140"/>
      <c r="F640" s="140"/>
      <c r="G640" s="140"/>
      <c r="H640" s="142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1.25" customHeight="1">
      <c r="A641" s="140"/>
      <c r="B641" s="140"/>
      <c r="C641" s="141"/>
      <c r="D641" s="140"/>
      <c r="E641" s="140"/>
      <c r="F641" s="140"/>
      <c r="G641" s="140"/>
      <c r="H641" s="142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1.25" customHeight="1">
      <c r="A642" s="140"/>
      <c r="B642" s="140"/>
      <c r="C642" s="141"/>
      <c r="D642" s="140"/>
      <c r="E642" s="140"/>
      <c r="F642" s="140"/>
      <c r="G642" s="140"/>
      <c r="H642" s="142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1.25" customHeight="1">
      <c r="A643" s="140"/>
      <c r="B643" s="140"/>
      <c r="C643" s="141"/>
      <c r="D643" s="140"/>
      <c r="E643" s="140"/>
      <c r="F643" s="140"/>
      <c r="G643" s="140"/>
      <c r="H643" s="142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1.25" customHeight="1">
      <c r="A644" s="140"/>
      <c r="B644" s="140"/>
      <c r="C644" s="141"/>
      <c r="D644" s="140"/>
      <c r="E644" s="140"/>
      <c r="F644" s="140"/>
      <c r="G644" s="140"/>
      <c r="H644" s="142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1.25" customHeight="1">
      <c r="A645" s="140"/>
      <c r="B645" s="140"/>
      <c r="C645" s="141"/>
      <c r="D645" s="140"/>
      <c r="E645" s="140"/>
      <c r="F645" s="140"/>
      <c r="G645" s="140"/>
      <c r="H645" s="142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1.25" customHeight="1">
      <c r="A646" s="140"/>
      <c r="B646" s="140"/>
      <c r="C646" s="141"/>
      <c r="D646" s="140"/>
      <c r="E646" s="140"/>
      <c r="F646" s="140"/>
      <c r="G646" s="140"/>
      <c r="H646" s="142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1.25" customHeight="1">
      <c r="A647" s="140"/>
      <c r="B647" s="140"/>
      <c r="C647" s="141"/>
      <c r="D647" s="140"/>
      <c r="E647" s="140"/>
      <c r="F647" s="140"/>
      <c r="G647" s="140"/>
      <c r="H647" s="142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1.25" customHeight="1">
      <c r="A648" s="140"/>
      <c r="B648" s="140"/>
      <c r="C648" s="141"/>
      <c r="D648" s="140"/>
      <c r="E648" s="140"/>
      <c r="F648" s="140"/>
      <c r="G648" s="140"/>
      <c r="H648" s="142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1.25" customHeight="1">
      <c r="A649" s="140"/>
      <c r="B649" s="140"/>
      <c r="C649" s="141"/>
      <c r="D649" s="140"/>
      <c r="E649" s="140"/>
      <c r="F649" s="140"/>
      <c r="G649" s="140"/>
      <c r="H649" s="142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1.25" customHeight="1">
      <c r="A650" s="140"/>
      <c r="B650" s="140"/>
      <c r="C650" s="141"/>
      <c r="D650" s="140"/>
      <c r="E650" s="140"/>
      <c r="F650" s="140"/>
      <c r="G650" s="140"/>
      <c r="H650" s="142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1.25" customHeight="1">
      <c r="A651" s="140"/>
      <c r="B651" s="140"/>
      <c r="C651" s="141"/>
      <c r="D651" s="140"/>
      <c r="E651" s="140"/>
      <c r="F651" s="140"/>
      <c r="G651" s="140"/>
      <c r="H651" s="142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1.25" customHeight="1">
      <c r="A652" s="140"/>
      <c r="B652" s="140"/>
      <c r="C652" s="141"/>
      <c r="D652" s="140"/>
      <c r="E652" s="140"/>
      <c r="F652" s="140"/>
      <c r="G652" s="140"/>
      <c r="H652" s="142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1.25" customHeight="1">
      <c r="A653" s="140"/>
      <c r="B653" s="140"/>
      <c r="C653" s="141"/>
      <c r="D653" s="140"/>
      <c r="E653" s="140"/>
      <c r="F653" s="140"/>
      <c r="G653" s="140"/>
      <c r="H653" s="142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1.25" customHeight="1">
      <c r="A654" s="140"/>
      <c r="B654" s="140"/>
      <c r="C654" s="141"/>
      <c r="D654" s="140"/>
      <c r="E654" s="140"/>
      <c r="F654" s="140"/>
      <c r="G654" s="140"/>
      <c r="H654" s="142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1.25" customHeight="1">
      <c r="A655" s="140"/>
      <c r="B655" s="140"/>
      <c r="C655" s="141"/>
      <c r="D655" s="140"/>
      <c r="E655" s="140"/>
      <c r="F655" s="140"/>
      <c r="G655" s="140"/>
      <c r="H655" s="142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1.25" customHeight="1">
      <c r="A656" s="140"/>
      <c r="B656" s="140"/>
      <c r="C656" s="141"/>
      <c r="D656" s="140"/>
      <c r="E656" s="140"/>
      <c r="F656" s="140"/>
      <c r="G656" s="140"/>
      <c r="H656" s="142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1.25" customHeight="1">
      <c r="A657" s="140"/>
      <c r="B657" s="140"/>
      <c r="C657" s="141"/>
      <c r="D657" s="140"/>
      <c r="E657" s="140"/>
      <c r="F657" s="140"/>
      <c r="G657" s="140"/>
      <c r="H657" s="142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1.25" customHeight="1">
      <c r="A658" s="140"/>
      <c r="B658" s="140"/>
      <c r="C658" s="141"/>
      <c r="D658" s="140"/>
      <c r="E658" s="140"/>
      <c r="F658" s="140"/>
      <c r="G658" s="140"/>
      <c r="H658" s="142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1.25" customHeight="1">
      <c r="A659" s="140"/>
      <c r="B659" s="140"/>
      <c r="C659" s="141"/>
      <c r="D659" s="140"/>
      <c r="E659" s="140"/>
      <c r="F659" s="140"/>
      <c r="G659" s="140"/>
      <c r="H659" s="142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1.25" customHeight="1">
      <c r="A660" s="140"/>
      <c r="B660" s="140"/>
      <c r="C660" s="141"/>
      <c r="D660" s="140"/>
      <c r="E660" s="140"/>
      <c r="F660" s="140"/>
      <c r="G660" s="140"/>
      <c r="H660" s="142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1.25" customHeight="1">
      <c r="A661" s="140"/>
      <c r="B661" s="140"/>
      <c r="C661" s="141"/>
      <c r="D661" s="140"/>
      <c r="E661" s="140"/>
      <c r="F661" s="140"/>
      <c r="G661" s="140"/>
      <c r="H661" s="142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1.25" customHeight="1">
      <c r="A662" s="140"/>
      <c r="B662" s="140"/>
      <c r="C662" s="141"/>
      <c r="D662" s="140"/>
      <c r="E662" s="140"/>
      <c r="F662" s="140"/>
      <c r="G662" s="140"/>
      <c r="H662" s="142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1.25" customHeight="1">
      <c r="A663" s="140"/>
      <c r="B663" s="140"/>
      <c r="C663" s="141"/>
      <c r="D663" s="140"/>
      <c r="E663" s="140"/>
      <c r="F663" s="140"/>
      <c r="G663" s="140"/>
      <c r="H663" s="142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1.25" customHeight="1">
      <c r="A664" s="140"/>
      <c r="B664" s="140"/>
      <c r="C664" s="141"/>
      <c r="D664" s="140"/>
      <c r="E664" s="140"/>
      <c r="F664" s="140"/>
      <c r="G664" s="140"/>
      <c r="H664" s="142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1.25" customHeight="1">
      <c r="A665" s="140"/>
      <c r="B665" s="140"/>
      <c r="C665" s="141"/>
      <c r="D665" s="140"/>
      <c r="E665" s="140"/>
      <c r="F665" s="140"/>
      <c r="G665" s="140"/>
      <c r="H665" s="142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1.25" customHeight="1">
      <c r="A666" s="140"/>
      <c r="B666" s="140"/>
      <c r="C666" s="141"/>
      <c r="D666" s="140"/>
      <c r="E666" s="140"/>
      <c r="F666" s="140"/>
      <c r="G666" s="140"/>
      <c r="H666" s="142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1.25" customHeight="1">
      <c r="A667" s="140"/>
      <c r="B667" s="140"/>
      <c r="C667" s="141"/>
      <c r="D667" s="140"/>
      <c r="E667" s="140"/>
      <c r="F667" s="140"/>
      <c r="G667" s="140"/>
      <c r="H667" s="142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1.25" customHeight="1">
      <c r="A668" s="140"/>
      <c r="B668" s="140"/>
      <c r="C668" s="141"/>
      <c r="D668" s="140"/>
      <c r="E668" s="140"/>
      <c r="F668" s="140"/>
      <c r="G668" s="140"/>
      <c r="H668" s="142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1.25" customHeight="1">
      <c r="A669" s="140"/>
      <c r="B669" s="140"/>
      <c r="C669" s="141"/>
      <c r="D669" s="140"/>
      <c r="E669" s="140"/>
      <c r="F669" s="140"/>
      <c r="G669" s="140"/>
      <c r="H669" s="142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1.25" customHeight="1">
      <c r="A670" s="140"/>
      <c r="B670" s="140"/>
      <c r="C670" s="141"/>
      <c r="D670" s="140"/>
      <c r="E670" s="140"/>
      <c r="F670" s="140"/>
      <c r="G670" s="140"/>
      <c r="H670" s="142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1.25" customHeight="1">
      <c r="A671" s="140"/>
      <c r="B671" s="140"/>
      <c r="C671" s="141"/>
      <c r="D671" s="140"/>
      <c r="E671" s="140"/>
      <c r="F671" s="140"/>
      <c r="G671" s="140"/>
      <c r="H671" s="142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1.25" customHeight="1">
      <c r="A672" s="140"/>
      <c r="B672" s="140"/>
      <c r="C672" s="141"/>
      <c r="D672" s="140"/>
      <c r="E672" s="140"/>
      <c r="F672" s="140"/>
      <c r="G672" s="140"/>
      <c r="H672" s="142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1.25" customHeight="1">
      <c r="A673" s="140"/>
      <c r="B673" s="140"/>
      <c r="C673" s="141"/>
      <c r="D673" s="140"/>
      <c r="E673" s="140"/>
      <c r="F673" s="140"/>
      <c r="G673" s="140"/>
      <c r="H673" s="142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1.25" customHeight="1">
      <c r="A674" s="140"/>
      <c r="B674" s="140"/>
      <c r="C674" s="141"/>
      <c r="D674" s="140"/>
      <c r="E674" s="140"/>
      <c r="F674" s="140"/>
      <c r="G674" s="140"/>
      <c r="H674" s="142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1.25" customHeight="1">
      <c r="A675" s="140"/>
      <c r="B675" s="140"/>
      <c r="C675" s="141"/>
      <c r="D675" s="140"/>
      <c r="E675" s="140"/>
      <c r="F675" s="140"/>
      <c r="G675" s="140"/>
      <c r="H675" s="142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1.25" customHeight="1">
      <c r="A676" s="140"/>
      <c r="B676" s="140"/>
      <c r="C676" s="141"/>
      <c r="D676" s="140"/>
      <c r="E676" s="140"/>
      <c r="F676" s="140"/>
      <c r="G676" s="140"/>
      <c r="H676" s="142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1.25" customHeight="1">
      <c r="A677" s="140"/>
      <c r="B677" s="140"/>
      <c r="C677" s="141"/>
      <c r="D677" s="140"/>
      <c r="E677" s="140"/>
      <c r="F677" s="140"/>
      <c r="G677" s="140"/>
      <c r="H677" s="142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1.25" customHeight="1">
      <c r="A678" s="140"/>
      <c r="B678" s="140"/>
      <c r="C678" s="141"/>
      <c r="D678" s="140"/>
      <c r="E678" s="140"/>
      <c r="F678" s="140"/>
      <c r="G678" s="140"/>
      <c r="H678" s="142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1.25" customHeight="1">
      <c r="A679" s="140"/>
      <c r="B679" s="140"/>
      <c r="C679" s="141"/>
      <c r="D679" s="140"/>
      <c r="E679" s="140"/>
      <c r="F679" s="140"/>
      <c r="G679" s="140"/>
      <c r="H679" s="142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1.25" customHeight="1">
      <c r="A680" s="140"/>
      <c r="B680" s="140"/>
      <c r="C680" s="141"/>
      <c r="D680" s="140"/>
      <c r="E680" s="140"/>
      <c r="F680" s="140"/>
      <c r="G680" s="140"/>
      <c r="H680" s="142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1.25" customHeight="1">
      <c r="A681" s="140"/>
      <c r="B681" s="140"/>
      <c r="C681" s="141"/>
      <c r="D681" s="140"/>
      <c r="E681" s="140"/>
      <c r="F681" s="140"/>
      <c r="G681" s="140"/>
      <c r="H681" s="142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1.25" customHeight="1">
      <c r="A682" s="140"/>
      <c r="B682" s="140"/>
      <c r="C682" s="141"/>
      <c r="D682" s="140"/>
      <c r="E682" s="140"/>
      <c r="F682" s="140"/>
      <c r="G682" s="140"/>
      <c r="H682" s="142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1.25" customHeight="1">
      <c r="A683" s="140"/>
      <c r="B683" s="140"/>
      <c r="C683" s="141"/>
      <c r="D683" s="140"/>
      <c r="E683" s="140"/>
      <c r="F683" s="140"/>
      <c r="G683" s="140"/>
      <c r="H683" s="142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1.25" customHeight="1">
      <c r="A684" s="140"/>
      <c r="B684" s="140"/>
      <c r="C684" s="141"/>
      <c r="D684" s="140"/>
      <c r="E684" s="140"/>
      <c r="F684" s="140"/>
      <c r="G684" s="140"/>
      <c r="H684" s="142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1.25" customHeight="1">
      <c r="A685" s="140"/>
      <c r="B685" s="140"/>
      <c r="C685" s="141"/>
      <c r="D685" s="140"/>
      <c r="E685" s="140"/>
      <c r="F685" s="140"/>
      <c r="G685" s="140"/>
      <c r="H685" s="142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1.25" customHeight="1">
      <c r="A686" s="140"/>
      <c r="B686" s="140"/>
      <c r="C686" s="141"/>
      <c r="D686" s="140"/>
      <c r="E686" s="140"/>
      <c r="F686" s="140"/>
      <c r="G686" s="140"/>
      <c r="H686" s="142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1.25" customHeight="1">
      <c r="A687" s="140"/>
      <c r="B687" s="140"/>
      <c r="C687" s="141"/>
      <c r="D687" s="140"/>
      <c r="E687" s="140"/>
      <c r="F687" s="140"/>
      <c r="G687" s="140"/>
      <c r="H687" s="142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1.25" customHeight="1">
      <c r="A688" s="140"/>
      <c r="B688" s="140"/>
      <c r="C688" s="141"/>
      <c r="D688" s="140"/>
      <c r="E688" s="140"/>
      <c r="F688" s="140"/>
      <c r="G688" s="140"/>
      <c r="H688" s="142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1.25" customHeight="1">
      <c r="A689" s="140"/>
      <c r="B689" s="140"/>
      <c r="C689" s="141"/>
      <c r="D689" s="140"/>
      <c r="E689" s="140"/>
      <c r="F689" s="140"/>
      <c r="G689" s="140"/>
      <c r="H689" s="142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1.25" customHeight="1">
      <c r="A690" s="140"/>
      <c r="B690" s="140"/>
      <c r="C690" s="141"/>
      <c r="D690" s="140"/>
      <c r="E690" s="140"/>
      <c r="F690" s="140"/>
      <c r="G690" s="140"/>
      <c r="H690" s="142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1.25" customHeight="1">
      <c r="A691" s="140"/>
      <c r="B691" s="140"/>
      <c r="C691" s="141"/>
      <c r="D691" s="140"/>
      <c r="E691" s="140"/>
      <c r="F691" s="140"/>
      <c r="G691" s="140"/>
      <c r="H691" s="142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1.25" customHeight="1">
      <c r="A692" s="140"/>
      <c r="B692" s="140"/>
      <c r="C692" s="141"/>
      <c r="D692" s="140"/>
      <c r="E692" s="140"/>
      <c r="F692" s="140"/>
      <c r="G692" s="140"/>
      <c r="H692" s="142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1.25" customHeight="1">
      <c r="A693" s="140"/>
      <c r="B693" s="140"/>
      <c r="C693" s="141"/>
      <c r="D693" s="140"/>
      <c r="E693" s="140"/>
      <c r="F693" s="140"/>
      <c r="G693" s="140"/>
      <c r="H693" s="142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1.25" customHeight="1">
      <c r="A694" s="140"/>
      <c r="B694" s="140"/>
      <c r="C694" s="141"/>
      <c r="D694" s="140"/>
      <c r="E694" s="140"/>
      <c r="F694" s="140"/>
      <c r="G694" s="140"/>
      <c r="H694" s="142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1.25" customHeight="1">
      <c r="A695" s="140"/>
      <c r="B695" s="140"/>
      <c r="C695" s="141"/>
      <c r="D695" s="140"/>
      <c r="E695" s="140"/>
      <c r="F695" s="140"/>
      <c r="G695" s="140"/>
      <c r="H695" s="142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1.25" customHeight="1">
      <c r="A696" s="140"/>
      <c r="B696" s="140"/>
      <c r="C696" s="141"/>
      <c r="D696" s="140"/>
      <c r="E696" s="140"/>
      <c r="F696" s="140"/>
      <c r="G696" s="140"/>
      <c r="H696" s="142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1.25" customHeight="1">
      <c r="A697" s="140"/>
      <c r="B697" s="140"/>
      <c r="C697" s="141"/>
      <c r="D697" s="140"/>
      <c r="E697" s="140"/>
      <c r="F697" s="140"/>
      <c r="G697" s="140"/>
      <c r="H697" s="142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1.25" customHeight="1">
      <c r="A698" s="140"/>
      <c r="B698" s="140"/>
      <c r="C698" s="141"/>
      <c r="D698" s="140"/>
      <c r="E698" s="140"/>
      <c r="F698" s="140"/>
      <c r="G698" s="140"/>
      <c r="H698" s="142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1.25" customHeight="1">
      <c r="A699" s="140"/>
      <c r="B699" s="140"/>
      <c r="C699" s="141"/>
      <c r="D699" s="140"/>
      <c r="E699" s="140"/>
      <c r="F699" s="140"/>
      <c r="G699" s="140"/>
      <c r="H699" s="142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1.25" customHeight="1">
      <c r="A700" s="140"/>
      <c r="B700" s="140"/>
      <c r="C700" s="141"/>
      <c r="D700" s="140"/>
      <c r="E700" s="140"/>
      <c r="F700" s="140"/>
      <c r="G700" s="140"/>
      <c r="H700" s="142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1.25" customHeight="1">
      <c r="A701" s="140"/>
      <c r="B701" s="140"/>
      <c r="C701" s="141"/>
      <c r="D701" s="140"/>
      <c r="E701" s="140"/>
      <c r="F701" s="140"/>
      <c r="G701" s="140"/>
      <c r="H701" s="142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1.25" customHeight="1">
      <c r="A702" s="140"/>
      <c r="B702" s="140"/>
      <c r="C702" s="141"/>
      <c r="D702" s="140"/>
      <c r="E702" s="140"/>
      <c r="F702" s="140"/>
      <c r="G702" s="140"/>
      <c r="H702" s="142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1.25" customHeight="1">
      <c r="A703" s="140"/>
      <c r="B703" s="140"/>
      <c r="C703" s="141"/>
      <c r="D703" s="140"/>
      <c r="E703" s="140"/>
      <c r="F703" s="140"/>
      <c r="G703" s="140"/>
      <c r="H703" s="142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1.25" customHeight="1">
      <c r="A704" s="140"/>
      <c r="B704" s="140"/>
      <c r="C704" s="141"/>
      <c r="D704" s="140"/>
      <c r="E704" s="140"/>
      <c r="F704" s="140"/>
      <c r="G704" s="140"/>
      <c r="H704" s="142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1.25" customHeight="1">
      <c r="A705" s="140"/>
      <c r="B705" s="140"/>
      <c r="C705" s="141"/>
      <c r="D705" s="140"/>
      <c r="E705" s="140"/>
      <c r="F705" s="140"/>
      <c r="G705" s="140"/>
      <c r="H705" s="142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1.25" customHeight="1">
      <c r="A706" s="140"/>
      <c r="B706" s="140"/>
      <c r="C706" s="141"/>
      <c r="D706" s="140"/>
      <c r="E706" s="140"/>
      <c r="F706" s="140"/>
      <c r="G706" s="140"/>
      <c r="H706" s="142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1.25" customHeight="1">
      <c r="A707" s="140"/>
      <c r="B707" s="140"/>
      <c r="C707" s="141"/>
      <c r="D707" s="140"/>
      <c r="E707" s="140"/>
      <c r="F707" s="140"/>
      <c r="G707" s="140"/>
      <c r="H707" s="142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1.25" customHeight="1">
      <c r="A708" s="140"/>
      <c r="B708" s="140"/>
      <c r="C708" s="141"/>
      <c r="D708" s="140"/>
      <c r="E708" s="140"/>
      <c r="F708" s="140"/>
      <c r="G708" s="140"/>
      <c r="H708" s="142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1.25" customHeight="1">
      <c r="A709" s="140"/>
      <c r="B709" s="140"/>
      <c r="C709" s="141"/>
      <c r="D709" s="140"/>
      <c r="E709" s="140"/>
      <c r="F709" s="140"/>
      <c r="G709" s="140"/>
      <c r="H709" s="142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1.25" customHeight="1">
      <c r="A710" s="140"/>
      <c r="B710" s="140"/>
      <c r="C710" s="141"/>
      <c r="D710" s="140"/>
      <c r="E710" s="140"/>
      <c r="F710" s="140"/>
      <c r="G710" s="140"/>
      <c r="H710" s="142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1.25" customHeight="1">
      <c r="A711" s="140"/>
      <c r="B711" s="140"/>
      <c r="C711" s="141"/>
      <c r="D711" s="140"/>
      <c r="E711" s="140"/>
      <c r="F711" s="140"/>
      <c r="G711" s="140"/>
      <c r="H711" s="142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1.25" customHeight="1">
      <c r="A712" s="140"/>
      <c r="B712" s="140"/>
      <c r="C712" s="141"/>
      <c r="D712" s="140"/>
      <c r="E712" s="140"/>
      <c r="F712" s="140"/>
      <c r="G712" s="140"/>
      <c r="H712" s="142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1.25" customHeight="1">
      <c r="A713" s="140"/>
      <c r="B713" s="140"/>
      <c r="C713" s="141"/>
      <c r="D713" s="140"/>
      <c r="E713" s="140"/>
      <c r="F713" s="140"/>
      <c r="G713" s="140"/>
      <c r="H713" s="142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1.25" customHeight="1">
      <c r="A714" s="140"/>
      <c r="B714" s="140"/>
      <c r="C714" s="141"/>
      <c r="D714" s="140"/>
      <c r="E714" s="140"/>
      <c r="F714" s="140"/>
      <c r="G714" s="140"/>
      <c r="H714" s="142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1.25" customHeight="1">
      <c r="A715" s="140"/>
      <c r="B715" s="140"/>
      <c r="C715" s="141"/>
      <c r="D715" s="140"/>
      <c r="E715" s="140"/>
      <c r="F715" s="140"/>
      <c r="G715" s="140"/>
      <c r="H715" s="142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1.25" customHeight="1">
      <c r="A716" s="140"/>
      <c r="B716" s="140"/>
      <c r="C716" s="141"/>
      <c r="D716" s="140"/>
      <c r="E716" s="140"/>
      <c r="F716" s="140"/>
      <c r="G716" s="140"/>
      <c r="H716" s="142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1.25" customHeight="1">
      <c r="A717" s="140"/>
      <c r="B717" s="140"/>
      <c r="C717" s="141"/>
      <c r="D717" s="140"/>
      <c r="E717" s="140"/>
      <c r="F717" s="140"/>
      <c r="G717" s="140"/>
      <c r="H717" s="142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1.25" customHeight="1">
      <c r="A718" s="140"/>
      <c r="B718" s="140"/>
      <c r="C718" s="141"/>
      <c r="D718" s="140"/>
      <c r="E718" s="140"/>
      <c r="F718" s="140"/>
      <c r="G718" s="140"/>
      <c r="H718" s="142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1.25" customHeight="1">
      <c r="A719" s="140"/>
      <c r="B719" s="140"/>
      <c r="C719" s="141"/>
      <c r="D719" s="140"/>
      <c r="E719" s="140"/>
      <c r="F719" s="140"/>
      <c r="G719" s="140"/>
      <c r="H719" s="142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1.25" customHeight="1">
      <c r="A720" s="140"/>
      <c r="B720" s="140"/>
      <c r="C720" s="141"/>
      <c r="D720" s="140"/>
      <c r="E720" s="140"/>
      <c r="F720" s="140"/>
      <c r="G720" s="140"/>
      <c r="H720" s="142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1.25" customHeight="1">
      <c r="A721" s="140"/>
      <c r="B721" s="140"/>
      <c r="C721" s="141"/>
      <c r="D721" s="140"/>
      <c r="E721" s="140"/>
      <c r="F721" s="140"/>
      <c r="G721" s="140"/>
      <c r="H721" s="142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1.25" customHeight="1">
      <c r="A722" s="140"/>
      <c r="B722" s="140"/>
      <c r="C722" s="141"/>
      <c r="D722" s="140"/>
      <c r="E722" s="140"/>
      <c r="F722" s="140"/>
      <c r="G722" s="140"/>
      <c r="H722" s="142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1.25" customHeight="1">
      <c r="A723" s="140"/>
      <c r="B723" s="140"/>
      <c r="C723" s="141"/>
      <c r="D723" s="140"/>
      <c r="E723" s="140"/>
      <c r="F723" s="140"/>
      <c r="G723" s="140"/>
      <c r="H723" s="142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1.25" customHeight="1">
      <c r="A724" s="140"/>
      <c r="B724" s="140"/>
      <c r="C724" s="141"/>
      <c r="D724" s="140"/>
      <c r="E724" s="140"/>
      <c r="F724" s="140"/>
      <c r="G724" s="140"/>
      <c r="H724" s="142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1.25" customHeight="1">
      <c r="A725" s="140"/>
      <c r="B725" s="140"/>
      <c r="C725" s="141"/>
      <c r="D725" s="140"/>
      <c r="E725" s="140"/>
      <c r="F725" s="140"/>
      <c r="G725" s="140"/>
      <c r="H725" s="142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1.25" customHeight="1">
      <c r="A726" s="140"/>
      <c r="B726" s="140"/>
      <c r="C726" s="141"/>
      <c r="D726" s="140"/>
      <c r="E726" s="140"/>
      <c r="F726" s="140"/>
      <c r="G726" s="140"/>
      <c r="H726" s="142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1.25" customHeight="1">
      <c r="A727" s="140"/>
      <c r="B727" s="140"/>
      <c r="C727" s="141"/>
      <c r="D727" s="140"/>
      <c r="E727" s="140"/>
      <c r="F727" s="140"/>
      <c r="G727" s="140"/>
      <c r="H727" s="142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1.25" customHeight="1">
      <c r="A728" s="140"/>
      <c r="B728" s="140"/>
      <c r="C728" s="141"/>
      <c r="D728" s="140"/>
      <c r="E728" s="140"/>
      <c r="F728" s="140"/>
      <c r="G728" s="140"/>
      <c r="H728" s="142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1.25" customHeight="1">
      <c r="A729" s="140"/>
      <c r="B729" s="140"/>
      <c r="C729" s="141"/>
      <c r="D729" s="140"/>
      <c r="E729" s="140"/>
      <c r="F729" s="140"/>
      <c r="G729" s="140"/>
      <c r="H729" s="142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1.25" customHeight="1">
      <c r="A730" s="140"/>
      <c r="B730" s="140"/>
      <c r="C730" s="141"/>
      <c r="D730" s="140"/>
      <c r="E730" s="140"/>
      <c r="F730" s="140"/>
      <c r="G730" s="140"/>
      <c r="H730" s="142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1.25" customHeight="1">
      <c r="A731" s="140"/>
      <c r="B731" s="140"/>
      <c r="C731" s="141"/>
      <c r="D731" s="140"/>
      <c r="E731" s="140"/>
      <c r="F731" s="140"/>
      <c r="G731" s="140"/>
      <c r="H731" s="142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1.25" customHeight="1">
      <c r="A732" s="140"/>
      <c r="B732" s="140"/>
      <c r="C732" s="141"/>
      <c r="D732" s="140"/>
      <c r="E732" s="140"/>
      <c r="F732" s="140"/>
      <c r="G732" s="140"/>
      <c r="H732" s="142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1.25" customHeight="1">
      <c r="A733" s="140"/>
      <c r="B733" s="140"/>
      <c r="C733" s="141"/>
      <c r="D733" s="140"/>
      <c r="E733" s="140"/>
      <c r="F733" s="140"/>
      <c r="G733" s="140"/>
      <c r="H733" s="142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1.25" customHeight="1">
      <c r="A734" s="140"/>
      <c r="B734" s="140"/>
      <c r="C734" s="141"/>
      <c r="D734" s="140"/>
      <c r="E734" s="140"/>
      <c r="F734" s="140"/>
      <c r="G734" s="140"/>
      <c r="H734" s="142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1.25" customHeight="1">
      <c r="A735" s="140"/>
      <c r="B735" s="140"/>
      <c r="C735" s="141"/>
      <c r="D735" s="140"/>
      <c r="E735" s="140"/>
      <c r="F735" s="140"/>
      <c r="G735" s="140"/>
      <c r="H735" s="142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1.25" customHeight="1">
      <c r="A736" s="140"/>
      <c r="B736" s="140"/>
      <c r="C736" s="141"/>
      <c r="D736" s="140"/>
      <c r="E736" s="140"/>
      <c r="F736" s="140"/>
      <c r="G736" s="140"/>
      <c r="H736" s="142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1.25" customHeight="1">
      <c r="A737" s="140"/>
      <c r="B737" s="140"/>
      <c r="C737" s="141"/>
      <c r="D737" s="140"/>
      <c r="E737" s="140"/>
      <c r="F737" s="140"/>
      <c r="G737" s="140"/>
      <c r="H737" s="142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1.25" customHeight="1">
      <c r="A738" s="140"/>
      <c r="B738" s="140"/>
      <c r="C738" s="141"/>
      <c r="D738" s="140"/>
      <c r="E738" s="140"/>
      <c r="F738" s="140"/>
      <c r="G738" s="140"/>
      <c r="H738" s="142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1.25" customHeight="1">
      <c r="A739" s="140"/>
      <c r="B739" s="140"/>
      <c r="C739" s="141"/>
      <c r="D739" s="140"/>
      <c r="E739" s="140"/>
      <c r="F739" s="140"/>
      <c r="G739" s="140"/>
      <c r="H739" s="142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1.25" customHeight="1">
      <c r="A740" s="140"/>
      <c r="B740" s="140"/>
      <c r="C740" s="141"/>
      <c r="D740" s="140"/>
      <c r="E740" s="140"/>
      <c r="F740" s="140"/>
      <c r="G740" s="140"/>
      <c r="H740" s="142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1.25" customHeight="1">
      <c r="A741" s="140"/>
      <c r="B741" s="140"/>
      <c r="C741" s="141"/>
      <c r="D741" s="140"/>
      <c r="E741" s="140"/>
      <c r="F741" s="140"/>
      <c r="G741" s="140"/>
      <c r="H741" s="142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1.25" customHeight="1">
      <c r="A742" s="140"/>
      <c r="B742" s="140"/>
      <c r="C742" s="141"/>
      <c r="D742" s="140"/>
      <c r="E742" s="140"/>
      <c r="F742" s="140"/>
      <c r="G742" s="140"/>
      <c r="H742" s="142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1.25" customHeight="1">
      <c r="A743" s="140"/>
      <c r="B743" s="140"/>
      <c r="C743" s="141"/>
      <c r="D743" s="140"/>
      <c r="E743" s="140"/>
      <c r="F743" s="140"/>
      <c r="G743" s="140"/>
      <c r="H743" s="142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1.25" customHeight="1">
      <c r="A744" s="140"/>
      <c r="B744" s="140"/>
      <c r="C744" s="141"/>
      <c r="D744" s="140"/>
      <c r="E744" s="140"/>
      <c r="F744" s="140"/>
      <c r="G744" s="140"/>
      <c r="H744" s="142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1.25" customHeight="1">
      <c r="A745" s="140"/>
      <c r="B745" s="140"/>
      <c r="C745" s="141"/>
      <c r="D745" s="140"/>
      <c r="E745" s="140"/>
      <c r="F745" s="140"/>
      <c r="G745" s="140"/>
      <c r="H745" s="142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1.25" customHeight="1">
      <c r="A746" s="140"/>
      <c r="B746" s="140"/>
      <c r="C746" s="141"/>
      <c r="D746" s="140"/>
      <c r="E746" s="140"/>
      <c r="F746" s="140"/>
      <c r="G746" s="140"/>
      <c r="H746" s="142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1.25" customHeight="1">
      <c r="A747" s="140"/>
      <c r="B747" s="140"/>
      <c r="C747" s="141"/>
      <c r="D747" s="140"/>
      <c r="E747" s="140"/>
      <c r="F747" s="140"/>
      <c r="G747" s="140"/>
      <c r="H747" s="142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1.25" customHeight="1">
      <c r="A748" s="140"/>
      <c r="B748" s="140"/>
      <c r="C748" s="141"/>
      <c r="D748" s="140"/>
      <c r="E748" s="140"/>
      <c r="F748" s="140"/>
      <c r="G748" s="140"/>
      <c r="H748" s="142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1.25" customHeight="1">
      <c r="A749" s="140"/>
      <c r="B749" s="140"/>
      <c r="C749" s="141"/>
      <c r="D749" s="140"/>
      <c r="E749" s="140"/>
      <c r="F749" s="140"/>
      <c r="G749" s="140"/>
      <c r="H749" s="142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1.25" customHeight="1">
      <c r="A750" s="140"/>
      <c r="B750" s="140"/>
      <c r="C750" s="141"/>
      <c r="D750" s="140"/>
      <c r="E750" s="140"/>
      <c r="F750" s="140"/>
      <c r="G750" s="140"/>
      <c r="H750" s="142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1.25" customHeight="1">
      <c r="A751" s="140"/>
      <c r="B751" s="140"/>
      <c r="C751" s="141"/>
      <c r="D751" s="140"/>
      <c r="E751" s="140"/>
      <c r="F751" s="140"/>
      <c r="G751" s="140"/>
      <c r="H751" s="142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1.25" customHeight="1">
      <c r="A752" s="140"/>
      <c r="B752" s="140"/>
      <c r="C752" s="141"/>
      <c r="D752" s="140"/>
      <c r="E752" s="140"/>
      <c r="F752" s="140"/>
      <c r="G752" s="140"/>
      <c r="H752" s="142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1.25" customHeight="1">
      <c r="A753" s="140"/>
      <c r="B753" s="140"/>
      <c r="C753" s="141"/>
      <c r="D753" s="140"/>
      <c r="E753" s="140"/>
      <c r="F753" s="140"/>
      <c r="G753" s="140"/>
      <c r="H753" s="142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1.25" customHeight="1">
      <c r="A754" s="140"/>
      <c r="B754" s="140"/>
      <c r="C754" s="141"/>
      <c r="D754" s="140"/>
      <c r="E754" s="140"/>
      <c r="F754" s="140"/>
      <c r="G754" s="140"/>
      <c r="H754" s="142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1.25" customHeight="1">
      <c r="A755" s="140"/>
      <c r="B755" s="140"/>
      <c r="C755" s="141"/>
      <c r="D755" s="140"/>
      <c r="E755" s="140"/>
      <c r="F755" s="140"/>
      <c r="G755" s="140"/>
      <c r="H755" s="142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1.25" customHeight="1">
      <c r="A756" s="140"/>
      <c r="B756" s="140"/>
      <c r="C756" s="141"/>
      <c r="D756" s="140"/>
      <c r="E756" s="140"/>
      <c r="F756" s="140"/>
      <c r="G756" s="140"/>
      <c r="H756" s="142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1.25" customHeight="1">
      <c r="A757" s="140"/>
      <c r="B757" s="140"/>
      <c r="C757" s="141"/>
      <c r="D757" s="140"/>
      <c r="E757" s="140"/>
      <c r="F757" s="140"/>
      <c r="G757" s="140"/>
      <c r="H757" s="142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1.25" customHeight="1">
      <c r="A758" s="140"/>
      <c r="B758" s="140"/>
      <c r="C758" s="141"/>
      <c r="D758" s="140"/>
      <c r="E758" s="140"/>
      <c r="F758" s="140"/>
      <c r="G758" s="140"/>
      <c r="H758" s="142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1.25" customHeight="1">
      <c r="A759" s="140"/>
      <c r="B759" s="140"/>
      <c r="C759" s="141"/>
      <c r="D759" s="140"/>
      <c r="E759" s="140"/>
      <c r="F759" s="140"/>
      <c r="G759" s="140"/>
      <c r="H759" s="142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1.25" customHeight="1">
      <c r="A760" s="140"/>
      <c r="B760" s="140"/>
      <c r="C760" s="141"/>
      <c r="D760" s="140"/>
      <c r="E760" s="140"/>
      <c r="F760" s="140"/>
      <c r="G760" s="140"/>
      <c r="H760" s="142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1.25" customHeight="1">
      <c r="A761" s="140"/>
      <c r="B761" s="140"/>
      <c r="C761" s="141"/>
      <c r="D761" s="140"/>
      <c r="E761" s="140"/>
      <c r="F761" s="140"/>
      <c r="G761" s="140"/>
      <c r="H761" s="142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1.25" customHeight="1">
      <c r="A762" s="140"/>
      <c r="B762" s="140"/>
      <c r="C762" s="141"/>
      <c r="D762" s="140"/>
      <c r="E762" s="140"/>
      <c r="F762" s="140"/>
      <c r="G762" s="140"/>
      <c r="H762" s="142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1.25" customHeight="1">
      <c r="A763" s="140"/>
      <c r="B763" s="140"/>
      <c r="C763" s="141"/>
      <c r="D763" s="140"/>
      <c r="E763" s="140"/>
      <c r="F763" s="140"/>
      <c r="G763" s="140"/>
      <c r="H763" s="142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1.25" customHeight="1">
      <c r="A764" s="140"/>
      <c r="B764" s="140"/>
      <c r="C764" s="141"/>
      <c r="D764" s="140"/>
      <c r="E764" s="140"/>
      <c r="F764" s="140"/>
      <c r="G764" s="140"/>
      <c r="H764" s="142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1.25" customHeight="1">
      <c r="A765" s="140"/>
      <c r="B765" s="140"/>
      <c r="C765" s="141"/>
      <c r="D765" s="140"/>
      <c r="E765" s="140"/>
      <c r="F765" s="140"/>
      <c r="G765" s="140"/>
      <c r="H765" s="142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1.25" customHeight="1">
      <c r="A766" s="140"/>
      <c r="B766" s="140"/>
      <c r="C766" s="141"/>
      <c r="D766" s="140"/>
      <c r="E766" s="140"/>
      <c r="F766" s="140"/>
      <c r="G766" s="140"/>
      <c r="H766" s="142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1.25" customHeight="1">
      <c r="A767" s="140"/>
      <c r="B767" s="140"/>
      <c r="C767" s="141"/>
      <c r="D767" s="140"/>
      <c r="E767" s="140"/>
      <c r="F767" s="140"/>
      <c r="G767" s="140"/>
      <c r="H767" s="142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1.25" customHeight="1">
      <c r="A768" s="140"/>
      <c r="B768" s="140"/>
      <c r="C768" s="141"/>
      <c r="D768" s="140"/>
      <c r="E768" s="140"/>
      <c r="F768" s="140"/>
      <c r="G768" s="140"/>
      <c r="H768" s="142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1.25" customHeight="1">
      <c r="A769" s="140"/>
      <c r="B769" s="140"/>
      <c r="C769" s="141"/>
      <c r="D769" s="140"/>
      <c r="E769" s="140"/>
      <c r="F769" s="140"/>
      <c r="G769" s="140"/>
      <c r="H769" s="142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1.25" customHeight="1">
      <c r="A770" s="140"/>
      <c r="B770" s="140"/>
      <c r="C770" s="141"/>
      <c r="D770" s="140"/>
      <c r="E770" s="140"/>
      <c r="F770" s="140"/>
      <c r="G770" s="140"/>
      <c r="H770" s="142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1.25" customHeight="1">
      <c r="A771" s="140"/>
      <c r="B771" s="140"/>
      <c r="C771" s="141"/>
      <c r="D771" s="140"/>
      <c r="E771" s="140"/>
      <c r="F771" s="140"/>
      <c r="G771" s="140"/>
      <c r="H771" s="142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1.25" customHeight="1">
      <c r="A772" s="140"/>
      <c r="B772" s="140"/>
      <c r="C772" s="141"/>
      <c r="D772" s="140"/>
      <c r="E772" s="140"/>
      <c r="F772" s="140"/>
      <c r="G772" s="140"/>
      <c r="H772" s="142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1.25" customHeight="1">
      <c r="A773" s="140"/>
      <c r="B773" s="140"/>
      <c r="C773" s="141"/>
      <c r="D773" s="140"/>
      <c r="E773" s="140"/>
      <c r="F773" s="140"/>
      <c r="G773" s="140"/>
      <c r="H773" s="142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1.25" customHeight="1">
      <c r="A774" s="140"/>
      <c r="B774" s="140"/>
      <c r="C774" s="141"/>
      <c r="D774" s="140"/>
      <c r="E774" s="140"/>
      <c r="F774" s="140"/>
      <c r="G774" s="140"/>
      <c r="H774" s="142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1.25" customHeight="1">
      <c r="A775" s="140"/>
      <c r="B775" s="140"/>
      <c r="C775" s="141"/>
      <c r="D775" s="140"/>
      <c r="E775" s="140"/>
      <c r="F775" s="140"/>
      <c r="G775" s="140"/>
      <c r="H775" s="142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1.25" customHeight="1">
      <c r="A776" s="140"/>
      <c r="B776" s="140"/>
      <c r="C776" s="141"/>
      <c r="D776" s="140"/>
      <c r="E776" s="140"/>
      <c r="F776" s="140"/>
      <c r="G776" s="140"/>
      <c r="H776" s="142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1.25" customHeight="1">
      <c r="A777" s="140"/>
      <c r="B777" s="140"/>
      <c r="C777" s="141"/>
      <c r="D777" s="140"/>
      <c r="E777" s="140"/>
      <c r="F777" s="140"/>
      <c r="G777" s="140"/>
      <c r="H777" s="142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1.25" customHeight="1">
      <c r="A778" s="140"/>
      <c r="B778" s="140"/>
      <c r="C778" s="141"/>
      <c r="D778" s="140"/>
      <c r="E778" s="140"/>
      <c r="F778" s="140"/>
      <c r="G778" s="140"/>
      <c r="H778" s="142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1.25" customHeight="1">
      <c r="A779" s="140"/>
      <c r="B779" s="140"/>
      <c r="C779" s="141"/>
      <c r="D779" s="140"/>
      <c r="E779" s="140"/>
      <c r="F779" s="140"/>
      <c r="G779" s="140"/>
      <c r="H779" s="142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1.25" customHeight="1">
      <c r="A780" s="140"/>
      <c r="B780" s="140"/>
      <c r="C780" s="141"/>
      <c r="D780" s="140"/>
      <c r="E780" s="140"/>
      <c r="F780" s="140"/>
      <c r="G780" s="140"/>
      <c r="H780" s="142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1.25" customHeight="1">
      <c r="A781" s="140"/>
      <c r="B781" s="140"/>
      <c r="C781" s="141"/>
      <c r="D781" s="140"/>
      <c r="E781" s="140"/>
      <c r="F781" s="140"/>
      <c r="G781" s="140"/>
      <c r="H781" s="142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1.25" customHeight="1">
      <c r="A782" s="140"/>
      <c r="B782" s="140"/>
      <c r="C782" s="141"/>
      <c r="D782" s="140"/>
      <c r="E782" s="140"/>
      <c r="F782" s="140"/>
      <c r="G782" s="140"/>
      <c r="H782" s="142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1.25" customHeight="1">
      <c r="A783" s="140"/>
      <c r="B783" s="140"/>
      <c r="C783" s="141"/>
      <c r="D783" s="140"/>
      <c r="E783" s="140"/>
      <c r="F783" s="140"/>
      <c r="G783" s="140"/>
      <c r="H783" s="142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1.25" customHeight="1">
      <c r="A784" s="140"/>
      <c r="B784" s="140"/>
      <c r="C784" s="141"/>
      <c r="D784" s="140"/>
      <c r="E784" s="140"/>
      <c r="F784" s="140"/>
      <c r="G784" s="140"/>
      <c r="H784" s="142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1.25" customHeight="1">
      <c r="A785" s="140"/>
      <c r="B785" s="140"/>
      <c r="C785" s="141"/>
      <c r="D785" s="140"/>
      <c r="E785" s="140"/>
      <c r="F785" s="140"/>
      <c r="G785" s="140"/>
      <c r="H785" s="142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1.25" customHeight="1">
      <c r="A786" s="140"/>
      <c r="B786" s="140"/>
      <c r="C786" s="141"/>
      <c r="D786" s="140"/>
      <c r="E786" s="140"/>
      <c r="F786" s="140"/>
      <c r="G786" s="140"/>
      <c r="H786" s="142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1.25" customHeight="1">
      <c r="A787" s="140"/>
      <c r="B787" s="140"/>
      <c r="C787" s="141"/>
      <c r="D787" s="140"/>
      <c r="E787" s="140"/>
      <c r="F787" s="140"/>
      <c r="G787" s="140"/>
      <c r="H787" s="142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1.25" customHeight="1">
      <c r="A788" s="140"/>
      <c r="B788" s="140"/>
      <c r="C788" s="141"/>
      <c r="D788" s="140"/>
      <c r="E788" s="140"/>
      <c r="F788" s="140"/>
      <c r="G788" s="140"/>
      <c r="H788" s="142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1.25" customHeight="1">
      <c r="A789" s="140"/>
      <c r="B789" s="140"/>
      <c r="C789" s="141"/>
      <c r="D789" s="140"/>
      <c r="E789" s="140"/>
      <c r="F789" s="140"/>
      <c r="G789" s="140"/>
      <c r="H789" s="142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1.25" customHeight="1">
      <c r="A790" s="140"/>
      <c r="B790" s="140"/>
      <c r="C790" s="141"/>
      <c r="D790" s="140"/>
      <c r="E790" s="140"/>
      <c r="F790" s="140"/>
      <c r="G790" s="140"/>
      <c r="H790" s="142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1.25" customHeight="1">
      <c r="A791" s="140"/>
      <c r="B791" s="140"/>
      <c r="C791" s="141"/>
      <c r="D791" s="140"/>
      <c r="E791" s="140"/>
      <c r="F791" s="140"/>
      <c r="G791" s="140"/>
      <c r="H791" s="142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1.25" customHeight="1">
      <c r="A792" s="140"/>
      <c r="B792" s="140"/>
      <c r="C792" s="141"/>
      <c r="D792" s="140"/>
      <c r="E792" s="140"/>
      <c r="F792" s="140"/>
      <c r="G792" s="140"/>
      <c r="H792" s="142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1.25" customHeight="1">
      <c r="A793" s="140"/>
      <c r="B793" s="140"/>
      <c r="C793" s="141"/>
      <c r="D793" s="140"/>
      <c r="E793" s="140"/>
      <c r="F793" s="140"/>
      <c r="G793" s="140"/>
      <c r="H793" s="142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1.25" customHeight="1">
      <c r="A794" s="140"/>
      <c r="B794" s="140"/>
      <c r="C794" s="141"/>
      <c r="D794" s="140"/>
      <c r="E794" s="140"/>
      <c r="F794" s="140"/>
      <c r="G794" s="140"/>
      <c r="H794" s="142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1.25" customHeight="1">
      <c r="A795" s="140"/>
      <c r="B795" s="140"/>
      <c r="C795" s="141"/>
      <c r="D795" s="140"/>
      <c r="E795" s="140"/>
      <c r="F795" s="140"/>
      <c r="G795" s="140"/>
      <c r="H795" s="142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1.25" customHeight="1">
      <c r="A796" s="140"/>
      <c r="B796" s="140"/>
      <c r="C796" s="141"/>
      <c r="D796" s="140"/>
      <c r="E796" s="140"/>
      <c r="F796" s="140"/>
      <c r="G796" s="140"/>
      <c r="H796" s="142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1.25" customHeight="1">
      <c r="A797" s="140"/>
      <c r="B797" s="140"/>
      <c r="C797" s="141"/>
      <c r="D797" s="140"/>
      <c r="E797" s="140"/>
      <c r="F797" s="140"/>
      <c r="G797" s="140"/>
      <c r="H797" s="142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1.25" customHeight="1">
      <c r="A798" s="140"/>
      <c r="B798" s="140"/>
      <c r="C798" s="141"/>
      <c r="D798" s="140"/>
      <c r="E798" s="140"/>
      <c r="F798" s="140"/>
      <c r="G798" s="140"/>
      <c r="H798" s="142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1.25" customHeight="1">
      <c r="A799" s="140"/>
      <c r="B799" s="140"/>
      <c r="C799" s="141"/>
      <c r="D799" s="140"/>
      <c r="E799" s="140"/>
      <c r="F799" s="140"/>
      <c r="G799" s="140"/>
      <c r="H799" s="142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1.25" customHeight="1">
      <c r="A800" s="140"/>
      <c r="B800" s="140"/>
      <c r="C800" s="141"/>
      <c r="D800" s="140"/>
      <c r="E800" s="140"/>
      <c r="F800" s="140"/>
      <c r="G800" s="140"/>
      <c r="H800" s="142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1.25" customHeight="1">
      <c r="A801" s="140"/>
      <c r="B801" s="140"/>
      <c r="C801" s="141"/>
      <c r="D801" s="140"/>
      <c r="E801" s="140"/>
      <c r="F801" s="140"/>
      <c r="G801" s="140"/>
      <c r="H801" s="142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1.25" customHeight="1">
      <c r="A802" s="140"/>
      <c r="B802" s="140"/>
      <c r="C802" s="141"/>
      <c r="D802" s="140"/>
      <c r="E802" s="140"/>
      <c r="F802" s="140"/>
      <c r="G802" s="140"/>
      <c r="H802" s="142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1.25" customHeight="1">
      <c r="A803" s="140"/>
      <c r="B803" s="140"/>
      <c r="C803" s="141"/>
      <c r="D803" s="140"/>
      <c r="E803" s="140"/>
      <c r="F803" s="140"/>
      <c r="G803" s="140"/>
      <c r="H803" s="142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1.25" customHeight="1">
      <c r="A804" s="140"/>
      <c r="B804" s="140"/>
      <c r="C804" s="141"/>
      <c r="D804" s="140"/>
      <c r="E804" s="140"/>
      <c r="F804" s="140"/>
      <c r="G804" s="140"/>
      <c r="H804" s="142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1.25" customHeight="1">
      <c r="A805" s="140"/>
      <c r="B805" s="140"/>
      <c r="C805" s="141"/>
      <c r="D805" s="140"/>
      <c r="E805" s="140"/>
      <c r="F805" s="140"/>
      <c r="G805" s="140"/>
      <c r="H805" s="142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1.25" customHeight="1">
      <c r="A806" s="140"/>
      <c r="B806" s="140"/>
      <c r="C806" s="141"/>
      <c r="D806" s="140"/>
      <c r="E806" s="140"/>
      <c r="F806" s="140"/>
      <c r="G806" s="140"/>
      <c r="H806" s="142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1.25" customHeight="1">
      <c r="A807" s="140"/>
      <c r="B807" s="140"/>
      <c r="C807" s="141"/>
      <c r="D807" s="140"/>
      <c r="E807" s="140"/>
      <c r="F807" s="140"/>
      <c r="G807" s="140"/>
      <c r="H807" s="142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1.25" customHeight="1">
      <c r="A808" s="140"/>
      <c r="B808" s="140"/>
      <c r="C808" s="141"/>
      <c r="D808" s="140"/>
      <c r="E808" s="140"/>
      <c r="F808" s="140"/>
      <c r="G808" s="140"/>
      <c r="H808" s="142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1.25" customHeight="1">
      <c r="A809" s="140"/>
      <c r="B809" s="140"/>
      <c r="C809" s="141"/>
      <c r="D809" s="140"/>
      <c r="E809" s="140"/>
      <c r="F809" s="140"/>
      <c r="G809" s="140"/>
      <c r="H809" s="142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1.25" customHeight="1">
      <c r="A810" s="140"/>
      <c r="B810" s="140"/>
      <c r="C810" s="141"/>
      <c r="D810" s="140"/>
      <c r="E810" s="140"/>
      <c r="F810" s="140"/>
      <c r="G810" s="140"/>
      <c r="H810" s="142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1.25" customHeight="1">
      <c r="A811" s="140"/>
      <c r="B811" s="140"/>
      <c r="C811" s="141"/>
      <c r="D811" s="140"/>
      <c r="E811" s="140"/>
      <c r="F811" s="140"/>
      <c r="G811" s="140"/>
      <c r="H811" s="142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1.25" customHeight="1">
      <c r="A812" s="140"/>
      <c r="B812" s="140"/>
      <c r="C812" s="141"/>
      <c r="D812" s="140"/>
      <c r="E812" s="140"/>
      <c r="F812" s="140"/>
      <c r="G812" s="140"/>
      <c r="H812" s="142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1.25" customHeight="1">
      <c r="A813" s="140"/>
      <c r="B813" s="140"/>
      <c r="C813" s="141"/>
      <c r="D813" s="140"/>
      <c r="E813" s="140"/>
      <c r="F813" s="140"/>
      <c r="G813" s="140"/>
      <c r="H813" s="142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1.25" customHeight="1">
      <c r="A814" s="140"/>
      <c r="B814" s="140"/>
      <c r="C814" s="141"/>
      <c r="D814" s="140"/>
      <c r="E814" s="140"/>
      <c r="F814" s="140"/>
      <c r="G814" s="140"/>
      <c r="H814" s="142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1.25" customHeight="1">
      <c r="A815" s="140"/>
      <c r="B815" s="140"/>
      <c r="C815" s="141"/>
      <c r="D815" s="140"/>
      <c r="E815" s="140"/>
      <c r="F815" s="140"/>
      <c r="G815" s="140"/>
      <c r="H815" s="142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1.25" customHeight="1">
      <c r="A816" s="140"/>
      <c r="B816" s="140"/>
      <c r="C816" s="141"/>
      <c r="D816" s="140"/>
      <c r="E816" s="140"/>
      <c r="F816" s="140"/>
      <c r="G816" s="140"/>
      <c r="H816" s="142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1.25" customHeight="1">
      <c r="A817" s="140"/>
      <c r="B817" s="140"/>
      <c r="C817" s="141"/>
      <c r="D817" s="140"/>
      <c r="E817" s="140"/>
      <c r="F817" s="140"/>
      <c r="G817" s="140"/>
      <c r="H817" s="142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1.25" customHeight="1">
      <c r="A818" s="140"/>
      <c r="B818" s="140"/>
      <c r="C818" s="141"/>
      <c r="D818" s="140"/>
      <c r="E818" s="140"/>
      <c r="F818" s="140"/>
      <c r="G818" s="140"/>
      <c r="H818" s="142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1.25" customHeight="1">
      <c r="A819" s="140"/>
      <c r="B819" s="140"/>
      <c r="C819" s="141"/>
      <c r="D819" s="140"/>
      <c r="E819" s="140"/>
      <c r="F819" s="140"/>
      <c r="G819" s="140"/>
      <c r="H819" s="142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1.25" customHeight="1">
      <c r="A820" s="140"/>
      <c r="B820" s="140"/>
      <c r="C820" s="141"/>
      <c r="D820" s="140"/>
      <c r="E820" s="140"/>
      <c r="F820" s="140"/>
      <c r="G820" s="140"/>
      <c r="H820" s="142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1.25" customHeight="1">
      <c r="A821" s="140"/>
      <c r="B821" s="140"/>
      <c r="C821" s="141"/>
      <c r="D821" s="140"/>
      <c r="E821" s="140"/>
      <c r="F821" s="140"/>
      <c r="G821" s="140"/>
      <c r="H821" s="142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1.25" customHeight="1">
      <c r="A822" s="140"/>
      <c r="B822" s="140"/>
      <c r="C822" s="141"/>
      <c r="D822" s="140"/>
      <c r="E822" s="140"/>
      <c r="F822" s="140"/>
      <c r="G822" s="140"/>
      <c r="H822" s="142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1.25" customHeight="1">
      <c r="A823" s="140"/>
      <c r="B823" s="140"/>
      <c r="C823" s="141"/>
      <c r="D823" s="140"/>
      <c r="E823" s="140"/>
      <c r="F823" s="140"/>
      <c r="G823" s="140"/>
      <c r="H823" s="142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1.25" customHeight="1">
      <c r="A824" s="140"/>
      <c r="B824" s="140"/>
      <c r="C824" s="141"/>
      <c r="D824" s="140"/>
      <c r="E824" s="140"/>
      <c r="F824" s="140"/>
      <c r="G824" s="140"/>
      <c r="H824" s="142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1.25" customHeight="1">
      <c r="A825" s="140"/>
      <c r="B825" s="140"/>
      <c r="C825" s="141"/>
      <c r="D825" s="140"/>
      <c r="E825" s="140"/>
      <c r="F825" s="140"/>
      <c r="G825" s="140"/>
      <c r="H825" s="142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1.25" customHeight="1">
      <c r="A826" s="140"/>
      <c r="B826" s="140"/>
      <c r="C826" s="141"/>
      <c r="D826" s="140"/>
      <c r="E826" s="140"/>
      <c r="F826" s="140"/>
      <c r="G826" s="140"/>
      <c r="H826" s="142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1.25" customHeight="1">
      <c r="A827" s="140"/>
      <c r="B827" s="140"/>
      <c r="C827" s="141"/>
      <c r="D827" s="140"/>
      <c r="E827" s="140"/>
      <c r="F827" s="140"/>
      <c r="G827" s="140"/>
      <c r="H827" s="142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1.25" customHeight="1">
      <c r="A828" s="140"/>
      <c r="B828" s="140"/>
      <c r="C828" s="141"/>
      <c r="D828" s="140"/>
      <c r="E828" s="140"/>
      <c r="F828" s="140"/>
      <c r="G828" s="140"/>
      <c r="H828" s="142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1.25" customHeight="1">
      <c r="A829" s="140"/>
      <c r="B829" s="140"/>
      <c r="C829" s="141"/>
      <c r="D829" s="140"/>
      <c r="E829" s="140"/>
      <c r="F829" s="140"/>
      <c r="G829" s="140"/>
      <c r="H829" s="142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1.25" customHeight="1">
      <c r="A830" s="140"/>
      <c r="B830" s="140"/>
      <c r="C830" s="141"/>
      <c r="D830" s="140"/>
      <c r="E830" s="140"/>
      <c r="F830" s="140"/>
      <c r="G830" s="140"/>
      <c r="H830" s="142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1.25" customHeight="1">
      <c r="A831" s="140"/>
      <c r="B831" s="140"/>
      <c r="C831" s="141"/>
      <c r="D831" s="140"/>
      <c r="E831" s="140"/>
      <c r="F831" s="140"/>
      <c r="G831" s="140"/>
      <c r="H831" s="142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1.25" customHeight="1">
      <c r="A832" s="140"/>
      <c r="B832" s="140"/>
      <c r="C832" s="141"/>
      <c r="D832" s="140"/>
      <c r="E832" s="140"/>
      <c r="F832" s="140"/>
      <c r="G832" s="140"/>
      <c r="H832" s="142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1.25" customHeight="1">
      <c r="A833" s="140"/>
      <c r="B833" s="140"/>
      <c r="C833" s="141"/>
      <c r="D833" s="140"/>
      <c r="E833" s="140"/>
      <c r="F833" s="140"/>
      <c r="G833" s="140"/>
      <c r="H833" s="142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1.25" customHeight="1">
      <c r="A834" s="140"/>
      <c r="B834" s="140"/>
      <c r="C834" s="141"/>
      <c r="D834" s="140"/>
      <c r="E834" s="140"/>
      <c r="F834" s="140"/>
      <c r="G834" s="140"/>
      <c r="H834" s="142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1.25" customHeight="1">
      <c r="A835" s="140"/>
      <c r="B835" s="140"/>
      <c r="C835" s="141"/>
      <c r="D835" s="140"/>
      <c r="E835" s="140"/>
      <c r="F835" s="140"/>
      <c r="G835" s="140"/>
      <c r="H835" s="142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1.25" customHeight="1">
      <c r="A836" s="140"/>
      <c r="B836" s="140"/>
      <c r="C836" s="141"/>
      <c r="D836" s="140"/>
      <c r="E836" s="140"/>
      <c r="F836" s="140"/>
      <c r="G836" s="140"/>
      <c r="H836" s="142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1.25" customHeight="1">
      <c r="A837" s="140"/>
      <c r="B837" s="140"/>
      <c r="C837" s="141"/>
      <c r="D837" s="140"/>
      <c r="E837" s="140"/>
      <c r="F837" s="140"/>
      <c r="G837" s="140"/>
      <c r="H837" s="142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1.25" customHeight="1">
      <c r="A838" s="140"/>
      <c r="B838" s="140"/>
      <c r="C838" s="141"/>
      <c r="D838" s="140"/>
      <c r="E838" s="140"/>
      <c r="F838" s="140"/>
      <c r="G838" s="140"/>
      <c r="H838" s="142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1.25" customHeight="1">
      <c r="A839" s="140"/>
      <c r="B839" s="140"/>
      <c r="C839" s="141"/>
      <c r="D839" s="140"/>
      <c r="E839" s="140"/>
      <c r="F839" s="140"/>
      <c r="G839" s="140"/>
      <c r="H839" s="142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1.25" customHeight="1">
      <c r="A840" s="140"/>
      <c r="B840" s="140"/>
      <c r="C840" s="141"/>
      <c r="D840" s="140"/>
      <c r="E840" s="140"/>
      <c r="F840" s="140"/>
      <c r="G840" s="140"/>
      <c r="H840" s="142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1.25" customHeight="1">
      <c r="A841" s="140"/>
      <c r="B841" s="140"/>
      <c r="C841" s="141"/>
      <c r="D841" s="140"/>
      <c r="E841" s="140"/>
      <c r="F841" s="140"/>
      <c r="G841" s="140"/>
      <c r="H841" s="142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1.25" customHeight="1">
      <c r="A842" s="140"/>
      <c r="B842" s="140"/>
      <c r="C842" s="141"/>
      <c r="D842" s="140"/>
      <c r="E842" s="140"/>
      <c r="F842" s="140"/>
      <c r="G842" s="140"/>
      <c r="H842" s="142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1.25" customHeight="1">
      <c r="A843" s="140"/>
      <c r="B843" s="140"/>
      <c r="C843" s="141"/>
      <c r="D843" s="140"/>
      <c r="E843" s="140"/>
      <c r="F843" s="140"/>
      <c r="G843" s="140"/>
      <c r="H843" s="142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1.25" customHeight="1">
      <c r="A844" s="140"/>
      <c r="B844" s="140"/>
      <c r="C844" s="141"/>
      <c r="D844" s="140"/>
      <c r="E844" s="140"/>
      <c r="F844" s="140"/>
      <c r="G844" s="140"/>
      <c r="H844" s="142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1.25" customHeight="1">
      <c r="A845" s="140"/>
      <c r="B845" s="140"/>
      <c r="C845" s="141"/>
      <c r="D845" s="140"/>
      <c r="E845" s="140"/>
      <c r="F845" s="140"/>
      <c r="G845" s="140"/>
      <c r="H845" s="142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1.25" customHeight="1">
      <c r="A846" s="140"/>
      <c r="B846" s="140"/>
      <c r="C846" s="141"/>
      <c r="D846" s="140"/>
      <c r="E846" s="140"/>
      <c r="F846" s="140"/>
      <c r="G846" s="140"/>
      <c r="H846" s="142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1.25" customHeight="1">
      <c r="A847" s="140"/>
      <c r="B847" s="140"/>
      <c r="C847" s="141"/>
      <c r="D847" s="140"/>
      <c r="E847" s="140"/>
      <c r="F847" s="140"/>
      <c r="G847" s="140"/>
      <c r="H847" s="142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1.25" customHeight="1">
      <c r="A848" s="140"/>
      <c r="B848" s="140"/>
      <c r="C848" s="141"/>
      <c r="D848" s="140"/>
      <c r="E848" s="140"/>
      <c r="F848" s="140"/>
      <c r="G848" s="140"/>
      <c r="H848" s="142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1.25" customHeight="1">
      <c r="A849" s="140"/>
      <c r="B849" s="140"/>
      <c r="C849" s="141"/>
      <c r="D849" s="140"/>
      <c r="E849" s="140"/>
      <c r="F849" s="140"/>
      <c r="G849" s="140"/>
      <c r="H849" s="142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1.25" customHeight="1">
      <c r="A850" s="140"/>
      <c r="B850" s="140"/>
      <c r="C850" s="141"/>
      <c r="D850" s="140"/>
      <c r="E850" s="140"/>
      <c r="F850" s="140"/>
      <c r="G850" s="140"/>
      <c r="H850" s="142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1.25" customHeight="1">
      <c r="A851" s="140"/>
      <c r="B851" s="140"/>
      <c r="C851" s="141"/>
      <c r="D851" s="140"/>
      <c r="E851" s="140"/>
      <c r="F851" s="140"/>
      <c r="G851" s="140"/>
      <c r="H851" s="142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1.25" customHeight="1">
      <c r="A852" s="140"/>
      <c r="B852" s="140"/>
      <c r="C852" s="141"/>
      <c r="D852" s="140"/>
      <c r="E852" s="140"/>
      <c r="F852" s="140"/>
      <c r="G852" s="140"/>
      <c r="H852" s="142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1.25" customHeight="1">
      <c r="A853" s="140"/>
      <c r="B853" s="140"/>
      <c r="C853" s="141"/>
      <c r="D853" s="140"/>
      <c r="E853" s="140"/>
      <c r="F853" s="140"/>
      <c r="G853" s="140"/>
      <c r="H853" s="142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1.25" customHeight="1">
      <c r="A854" s="140"/>
      <c r="B854" s="140"/>
      <c r="C854" s="141"/>
      <c r="D854" s="140"/>
      <c r="E854" s="140"/>
      <c r="F854" s="140"/>
      <c r="G854" s="140"/>
      <c r="H854" s="142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1.25" customHeight="1">
      <c r="A855" s="140"/>
      <c r="B855" s="140"/>
      <c r="C855" s="141"/>
      <c r="D855" s="140"/>
      <c r="E855" s="140"/>
      <c r="F855" s="140"/>
      <c r="G855" s="140"/>
      <c r="H855" s="142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1.25" customHeight="1">
      <c r="A856" s="140"/>
      <c r="B856" s="140"/>
      <c r="C856" s="141"/>
      <c r="D856" s="140"/>
      <c r="E856" s="140"/>
      <c r="F856" s="140"/>
      <c r="G856" s="140"/>
      <c r="H856" s="142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1.25" customHeight="1">
      <c r="A857" s="140"/>
      <c r="B857" s="140"/>
      <c r="C857" s="141"/>
      <c r="D857" s="140"/>
      <c r="E857" s="140"/>
      <c r="F857" s="140"/>
      <c r="G857" s="140"/>
      <c r="H857" s="142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1.25" customHeight="1">
      <c r="A858" s="140"/>
      <c r="B858" s="140"/>
      <c r="C858" s="141"/>
      <c r="D858" s="140"/>
      <c r="E858" s="140"/>
      <c r="F858" s="140"/>
      <c r="G858" s="140"/>
      <c r="H858" s="142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1.25" customHeight="1">
      <c r="A859" s="140"/>
      <c r="B859" s="140"/>
      <c r="C859" s="141"/>
      <c r="D859" s="140"/>
      <c r="E859" s="140"/>
      <c r="F859" s="140"/>
      <c r="G859" s="140"/>
      <c r="H859" s="142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1.25" customHeight="1">
      <c r="A860" s="140"/>
      <c r="B860" s="140"/>
      <c r="C860" s="141"/>
      <c r="D860" s="140"/>
      <c r="E860" s="140"/>
      <c r="F860" s="140"/>
      <c r="G860" s="140"/>
      <c r="H860" s="142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1.25" customHeight="1">
      <c r="A861" s="140"/>
      <c r="B861" s="140"/>
      <c r="C861" s="141"/>
      <c r="D861" s="140"/>
      <c r="E861" s="140"/>
      <c r="F861" s="140"/>
      <c r="G861" s="140"/>
      <c r="H861" s="142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1.25" customHeight="1">
      <c r="A862" s="140"/>
      <c r="B862" s="140"/>
      <c r="C862" s="141"/>
      <c r="D862" s="140"/>
      <c r="E862" s="140"/>
      <c r="F862" s="140"/>
      <c r="G862" s="140"/>
      <c r="H862" s="142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1.25" customHeight="1">
      <c r="A863" s="140"/>
      <c r="B863" s="140"/>
      <c r="C863" s="141"/>
      <c r="D863" s="140"/>
      <c r="E863" s="140"/>
      <c r="F863" s="140"/>
      <c r="G863" s="140"/>
      <c r="H863" s="142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1.25" customHeight="1">
      <c r="A864" s="140"/>
      <c r="B864" s="140"/>
      <c r="C864" s="141"/>
      <c r="D864" s="140"/>
      <c r="E864" s="140"/>
      <c r="F864" s="140"/>
      <c r="G864" s="140"/>
      <c r="H864" s="142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1.25" customHeight="1">
      <c r="A865" s="140"/>
      <c r="B865" s="140"/>
      <c r="C865" s="141"/>
      <c r="D865" s="140"/>
      <c r="E865" s="140"/>
      <c r="F865" s="140"/>
      <c r="G865" s="140"/>
      <c r="H865" s="142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1.25" customHeight="1">
      <c r="A866" s="140"/>
      <c r="B866" s="140"/>
      <c r="C866" s="141"/>
      <c r="D866" s="140"/>
      <c r="E866" s="140"/>
      <c r="F866" s="140"/>
      <c r="G866" s="140"/>
      <c r="H866" s="142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1.25" customHeight="1">
      <c r="A867" s="140"/>
      <c r="B867" s="140"/>
      <c r="C867" s="141"/>
      <c r="D867" s="140"/>
      <c r="E867" s="140"/>
      <c r="F867" s="140"/>
      <c r="G867" s="140"/>
      <c r="H867" s="142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1.25" customHeight="1">
      <c r="A868" s="140"/>
      <c r="B868" s="140"/>
      <c r="C868" s="141"/>
      <c r="D868" s="140"/>
      <c r="E868" s="140"/>
      <c r="F868" s="140"/>
      <c r="G868" s="140"/>
      <c r="H868" s="142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1.25" customHeight="1">
      <c r="A869" s="140"/>
      <c r="B869" s="140"/>
      <c r="C869" s="141"/>
      <c r="D869" s="140"/>
      <c r="E869" s="140"/>
      <c r="F869" s="140"/>
      <c r="G869" s="140"/>
      <c r="H869" s="142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1.25" customHeight="1">
      <c r="A870" s="140"/>
      <c r="B870" s="140"/>
      <c r="C870" s="141"/>
      <c r="D870" s="140"/>
      <c r="E870" s="140"/>
      <c r="F870" s="140"/>
      <c r="G870" s="140"/>
      <c r="H870" s="142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1.25" customHeight="1">
      <c r="A871" s="140"/>
      <c r="B871" s="140"/>
      <c r="C871" s="141"/>
      <c r="D871" s="140"/>
      <c r="E871" s="140"/>
      <c r="F871" s="140"/>
      <c r="G871" s="140"/>
      <c r="H871" s="142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1.25" customHeight="1">
      <c r="A872" s="140"/>
      <c r="B872" s="140"/>
      <c r="C872" s="141"/>
      <c r="D872" s="140"/>
      <c r="E872" s="140"/>
      <c r="F872" s="140"/>
      <c r="G872" s="140"/>
      <c r="H872" s="142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1.25" customHeight="1">
      <c r="A873" s="140"/>
      <c r="B873" s="140"/>
      <c r="C873" s="141"/>
      <c r="D873" s="140"/>
      <c r="E873" s="140"/>
      <c r="F873" s="140"/>
      <c r="G873" s="140"/>
      <c r="H873" s="142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1.25" customHeight="1">
      <c r="A874" s="140"/>
      <c r="B874" s="140"/>
      <c r="C874" s="141"/>
      <c r="D874" s="140"/>
      <c r="E874" s="140"/>
      <c r="F874" s="140"/>
      <c r="G874" s="140"/>
      <c r="H874" s="142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1.25" customHeight="1">
      <c r="A875" s="140"/>
      <c r="B875" s="140"/>
      <c r="C875" s="141"/>
      <c r="D875" s="140"/>
      <c r="E875" s="140"/>
      <c r="F875" s="140"/>
      <c r="G875" s="140"/>
      <c r="H875" s="142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1.25" customHeight="1">
      <c r="A876" s="140"/>
      <c r="B876" s="140"/>
      <c r="C876" s="141"/>
      <c r="D876" s="140"/>
      <c r="E876" s="140"/>
      <c r="F876" s="140"/>
      <c r="G876" s="140"/>
      <c r="H876" s="142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1.25" customHeight="1">
      <c r="A877" s="140"/>
      <c r="B877" s="140"/>
      <c r="C877" s="141"/>
      <c r="D877" s="140"/>
      <c r="E877" s="140"/>
      <c r="F877" s="140"/>
      <c r="G877" s="140"/>
      <c r="H877" s="142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1.25" customHeight="1">
      <c r="A878" s="140"/>
      <c r="B878" s="140"/>
      <c r="C878" s="141"/>
      <c r="D878" s="140"/>
      <c r="E878" s="140"/>
      <c r="F878" s="140"/>
      <c r="G878" s="140"/>
      <c r="H878" s="142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1.25" customHeight="1">
      <c r="A879" s="140"/>
      <c r="B879" s="140"/>
      <c r="C879" s="141"/>
      <c r="D879" s="140"/>
      <c r="E879" s="140"/>
      <c r="F879" s="140"/>
      <c r="G879" s="140"/>
      <c r="H879" s="142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1.25" customHeight="1">
      <c r="A880" s="140"/>
      <c r="B880" s="140"/>
      <c r="C880" s="141"/>
      <c r="D880" s="140"/>
      <c r="E880" s="140"/>
      <c r="F880" s="140"/>
      <c r="G880" s="140"/>
      <c r="H880" s="142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1.25" customHeight="1">
      <c r="A881" s="140"/>
      <c r="B881" s="140"/>
      <c r="C881" s="141"/>
      <c r="D881" s="140"/>
      <c r="E881" s="140"/>
      <c r="F881" s="140"/>
      <c r="G881" s="140"/>
      <c r="H881" s="142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1.25" customHeight="1">
      <c r="A882" s="140"/>
      <c r="B882" s="140"/>
      <c r="C882" s="141"/>
      <c r="D882" s="140"/>
      <c r="E882" s="140"/>
      <c r="F882" s="140"/>
      <c r="G882" s="140"/>
      <c r="H882" s="142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1.25" customHeight="1">
      <c r="A883" s="140"/>
      <c r="B883" s="140"/>
      <c r="C883" s="141"/>
      <c r="D883" s="140"/>
      <c r="E883" s="140"/>
      <c r="F883" s="140"/>
      <c r="G883" s="140"/>
      <c r="H883" s="142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1.25" customHeight="1">
      <c r="A884" s="140"/>
      <c r="B884" s="140"/>
      <c r="C884" s="141"/>
      <c r="D884" s="140"/>
      <c r="E884" s="140"/>
      <c r="F884" s="140"/>
      <c r="G884" s="140"/>
      <c r="H884" s="142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1.25" customHeight="1">
      <c r="A885" s="140"/>
      <c r="B885" s="140"/>
      <c r="C885" s="141"/>
      <c r="D885" s="140"/>
      <c r="E885" s="140"/>
      <c r="F885" s="140"/>
      <c r="G885" s="140"/>
      <c r="H885" s="142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1.25" customHeight="1">
      <c r="A886" s="140"/>
      <c r="B886" s="140"/>
      <c r="C886" s="141"/>
      <c r="D886" s="140"/>
      <c r="E886" s="140"/>
      <c r="F886" s="140"/>
      <c r="G886" s="140"/>
      <c r="H886" s="142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1.25" customHeight="1">
      <c r="A887" s="140"/>
      <c r="B887" s="140"/>
      <c r="C887" s="141"/>
      <c r="D887" s="140"/>
      <c r="E887" s="140"/>
      <c r="F887" s="140"/>
      <c r="G887" s="140"/>
      <c r="H887" s="142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1.25" customHeight="1">
      <c r="A888" s="140"/>
      <c r="B888" s="140"/>
      <c r="C888" s="141"/>
      <c r="D888" s="140"/>
      <c r="E888" s="140"/>
      <c r="F888" s="140"/>
      <c r="G888" s="140"/>
      <c r="H888" s="142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1.25" customHeight="1">
      <c r="A889" s="140"/>
      <c r="B889" s="140"/>
      <c r="C889" s="141"/>
      <c r="D889" s="140"/>
      <c r="E889" s="140"/>
      <c r="F889" s="140"/>
      <c r="G889" s="140"/>
      <c r="H889" s="142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1.25" customHeight="1">
      <c r="A890" s="140"/>
      <c r="B890" s="140"/>
      <c r="C890" s="141"/>
      <c r="D890" s="140"/>
      <c r="E890" s="140"/>
      <c r="F890" s="140"/>
      <c r="G890" s="140"/>
      <c r="H890" s="142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1.25" customHeight="1">
      <c r="A891" s="140"/>
      <c r="B891" s="140"/>
      <c r="C891" s="141"/>
      <c r="D891" s="140"/>
      <c r="E891" s="140"/>
      <c r="F891" s="140"/>
      <c r="G891" s="140"/>
      <c r="H891" s="142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1.25" customHeight="1">
      <c r="A892" s="140"/>
      <c r="B892" s="140"/>
      <c r="C892" s="141"/>
      <c r="D892" s="140"/>
      <c r="E892" s="140"/>
      <c r="F892" s="140"/>
      <c r="G892" s="140"/>
      <c r="H892" s="142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1.25" customHeight="1">
      <c r="A893" s="140"/>
      <c r="B893" s="140"/>
      <c r="C893" s="141"/>
      <c r="D893" s="140"/>
      <c r="E893" s="140"/>
      <c r="F893" s="140"/>
      <c r="G893" s="140"/>
      <c r="H893" s="142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1.25" customHeight="1">
      <c r="A894" s="140"/>
      <c r="B894" s="140"/>
      <c r="C894" s="141"/>
      <c r="D894" s="140"/>
      <c r="E894" s="140"/>
      <c r="F894" s="140"/>
      <c r="G894" s="140"/>
      <c r="H894" s="142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1.25" customHeight="1">
      <c r="A895" s="140"/>
      <c r="B895" s="140"/>
      <c r="C895" s="141"/>
      <c r="D895" s="140"/>
      <c r="E895" s="140"/>
      <c r="F895" s="140"/>
      <c r="G895" s="140"/>
      <c r="H895" s="142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1.25" customHeight="1">
      <c r="A896" s="140"/>
      <c r="B896" s="140"/>
      <c r="C896" s="141"/>
      <c r="D896" s="140"/>
      <c r="E896" s="140"/>
      <c r="F896" s="140"/>
      <c r="G896" s="140"/>
      <c r="H896" s="142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1.25" customHeight="1">
      <c r="A897" s="140"/>
      <c r="B897" s="140"/>
      <c r="C897" s="141"/>
      <c r="D897" s="140"/>
      <c r="E897" s="140"/>
      <c r="F897" s="140"/>
      <c r="G897" s="140"/>
      <c r="H897" s="142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1.25" customHeight="1">
      <c r="A898" s="140"/>
      <c r="B898" s="140"/>
      <c r="C898" s="141"/>
      <c r="D898" s="140"/>
      <c r="E898" s="140"/>
      <c r="F898" s="140"/>
      <c r="G898" s="140"/>
      <c r="H898" s="142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1.25" customHeight="1">
      <c r="A899" s="140"/>
      <c r="B899" s="140"/>
      <c r="C899" s="141"/>
      <c r="D899" s="140"/>
      <c r="E899" s="140"/>
      <c r="F899" s="140"/>
      <c r="G899" s="140"/>
      <c r="H899" s="142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1.25" customHeight="1">
      <c r="A900" s="140"/>
      <c r="B900" s="140"/>
      <c r="C900" s="141"/>
      <c r="D900" s="140"/>
      <c r="E900" s="140"/>
      <c r="F900" s="140"/>
      <c r="G900" s="140"/>
      <c r="H900" s="142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1.25" customHeight="1">
      <c r="A901" s="140"/>
      <c r="B901" s="140"/>
      <c r="C901" s="141"/>
      <c r="D901" s="140"/>
      <c r="E901" s="140"/>
      <c r="F901" s="140"/>
      <c r="G901" s="140"/>
      <c r="H901" s="142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1.25" customHeight="1">
      <c r="A902" s="140"/>
      <c r="B902" s="140"/>
      <c r="C902" s="141"/>
      <c r="D902" s="140"/>
      <c r="E902" s="140"/>
      <c r="F902" s="140"/>
      <c r="G902" s="140"/>
      <c r="H902" s="142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1.25" customHeight="1">
      <c r="A903" s="140"/>
      <c r="B903" s="140"/>
      <c r="C903" s="141"/>
      <c r="D903" s="140"/>
      <c r="E903" s="140"/>
      <c r="F903" s="140"/>
      <c r="G903" s="140"/>
      <c r="H903" s="142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1.25" customHeight="1">
      <c r="A904" s="140"/>
      <c r="B904" s="140"/>
      <c r="C904" s="141"/>
      <c r="D904" s="140"/>
      <c r="E904" s="140"/>
      <c r="F904" s="140"/>
      <c r="G904" s="140"/>
      <c r="H904" s="142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1.25" customHeight="1">
      <c r="A905" s="140"/>
      <c r="B905" s="140"/>
      <c r="C905" s="141"/>
      <c r="D905" s="140"/>
      <c r="E905" s="140"/>
      <c r="F905" s="140"/>
      <c r="G905" s="140"/>
      <c r="H905" s="142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1.25" customHeight="1">
      <c r="A906" s="140"/>
      <c r="B906" s="140"/>
      <c r="C906" s="141"/>
      <c r="D906" s="140"/>
      <c r="E906" s="140"/>
      <c r="F906" s="140"/>
      <c r="G906" s="140"/>
      <c r="H906" s="142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1.25" customHeight="1">
      <c r="A907" s="140"/>
      <c r="B907" s="140"/>
      <c r="C907" s="141"/>
      <c r="D907" s="140"/>
      <c r="E907" s="140"/>
      <c r="F907" s="140"/>
      <c r="G907" s="140"/>
      <c r="H907" s="142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1.25" customHeight="1">
      <c r="A908" s="140"/>
      <c r="B908" s="140"/>
      <c r="C908" s="141"/>
      <c r="D908" s="140"/>
      <c r="E908" s="140"/>
      <c r="F908" s="140"/>
      <c r="G908" s="140"/>
      <c r="H908" s="142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1.25" customHeight="1">
      <c r="A909" s="140"/>
      <c r="B909" s="140"/>
      <c r="C909" s="141"/>
      <c r="D909" s="140"/>
      <c r="E909" s="140"/>
      <c r="F909" s="140"/>
      <c r="G909" s="140"/>
      <c r="H909" s="142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1.25" customHeight="1">
      <c r="A910" s="140"/>
      <c r="B910" s="140"/>
      <c r="C910" s="141"/>
      <c r="D910" s="140"/>
      <c r="E910" s="140"/>
      <c r="F910" s="140"/>
      <c r="G910" s="140"/>
      <c r="H910" s="142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1.25" customHeight="1">
      <c r="A911" s="140"/>
      <c r="B911" s="140"/>
      <c r="C911" s="141"/>
      <c r="D911" s="140"/>
      <c r="E911" s="140"/>
      <c r="F911" s="140"/>
      <c r="G911" s="140"/>
      <c r="H911" s="142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1.25" customHeight="1">
      <c r="A912" s="140"/>
      <c r="B912" s="140"/>
      <c r="C912" s="141"/>
      <c r="D912" s="140"/>
      <c r="E912" s="140"/>
      <c r="F912" s="140"/>
      <c r="G912" s="140"/>
      <c r="H912" s="142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1.25" customHeight="1">
      <c r="A913" s="140"/>
      <c r="B913" s="140"/>
      <c r="C913" s="141"/>
      <c r="D913" s="140"/>
      <c r="E913" s="140"/>
      <c r="F913" s="140"/>
      <c r="G913" s="140"/>
      <c r="H913" s="142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1.25" customHeight="1">
      <c r="A914" s="140"/>
      <c r="B914" s="140"/>
      <c r="C914" s="141"/>
      <c r="D914" s="140"/>
      <c r="E914" s="140"/>
      <c r="F914" s="140"/>
      <c r="G914" s="140"/>
      <c r="H914" s="142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1.25" customHeight="1">
      <c r="A915" s="140"/>
      <c r="B915" s="140"/>
      <c r="C915" s="141"/>
      <c r="D915" s="140"/>
      <c r="E915" s="140"/>
      <c r="F915" s="140"/>
      <c r="G915" s="140"/>
      <c r="H915" s="142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1.25" customHeight="1">
      <c r="A916" s="140"/>
      <c r="B916" s="140"/>
      <c r="C916" s="141"/>
      <c r="D916" s="140"/>
      <c r="E916" s="140"/>
      <c r="F916" s="140"/>
      <c r="G916" s="140"/>
      <c r="H916" s="142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1.25" customHeight="1">
      <c r="A917" s="140"/>
      <c r="B917" s="140"/>
      <c r="C917" s="141"/>
      <c r="D917" s="140"/>
      <c r="E917" s="140"/>
      <c r="F917" s="140"/>
      <c r="G917" s="140"/>
      <c r="H917" s="142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1.25" customHeight="1">
      <c r="A918" s="140"/>
      <c r="B918" s="140"/>
      <c r="C918" s="141"/>
      <c r="D918" s="140"/>
      <c r="E918" s="140"/>
      <c r="F918" s="140"/>
      <c r="G918" s="140"/>
      <c r="H918" s="142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1.25" customHeight="1">
      <c r="A919" s="140"/>
      <c r="B919" s="140"/>
      <c r="C919" s="141"/>
      <c r="D919" s="140"/>
      <c r="E919" s="140"/>
      <c r="F919" s="140"/>
      <c r="G919" s="140"/>
      <c r="H919" s="142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1.25" customHeight="1">
      <c r="A920" s="140"/>
      <c r="B920" s="140"/>
      <c r="C920" s="141"/>
      <c r="D920" s="140"/>
      <c r="E920" s="140"/>
      <c r="F920" s="140"/>
      <c r="G920" s="140"/>
      <c r="H920" s="142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1.25" customHeight="1">
      <c r="A921" s="140"/>
      <c r="B921" s="140"/>
      <c r="C921" s="141"/>
      <c r="D921" s="140"/>
      <c r="E921" s="140"/>
      <c r="F921" s="140"/>
      <c r="G921" s="140"/>
      <c r="H921" s="142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1.25" customHeight="1">
      <c r="A922" s="140"/>
      <c r="B922" s="140"/>
      <c r="C922" s="141"/>
      <c r="D922" s="140"/>
      <c r="E922" s="140"/>
      <c r="F922" s="140"/>
      <c r="G922" s="140"/>
      <c r="H922" s="142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1.25" customHeight="1">
      <c r="A923" s="140"/>
      <c r="B923" s="140"/>
      <c r="C923" s="141"/>
      <c r="D923" s="140"/>
      <c r="E923" s="140"/>
      <c r="F923" s="140"/>
      <c r="G923" s="140"/>
      <c r="H923" s="142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1.25" customHeight="1">
      <c r="A924" s="140"/>
      <c r="B924" s="140"/>
      <c r="C924" s="141"/>
      <c r="D924" s="140"/>
      <c r="E924" s="140"/>
      <c r="F924" s="140"/>
      <c r="G924" s="140"/>
      <c r="H924" s="142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1.25" customHeight="1">
      <c r="A925" s="140"/>
      <c r="B925" s="140"/>
      <c r="C925" s="141"/>
      <c r="D925" s="140"/>
      <c r="E925" s="140"/>
      <c r="F925" s="140"/>
      <c r="G925" s="140"/>
      <c r="H925" s="142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1.25" customHeight="1">
      <c r="A926" s="140"/>
      <c r="B926" s="140"/>
      <c r="C926" s="141"/>
      <c r="D926" s="140"/>
      <c r="E926" s="140"/>
      <c r="F926" s="140"/>
      <c r="G926" s="140"/>
      <c r="H926" s="142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1.25" customHeight="1">
      <c r="A927" s="140"/>
      <c r="B927" s="140"/>
      <c r="C927" s="141"/>
      <c r="D927" s="140"/>
      <c r="E927" s="140"/>
      <c r="F927" s="140"/>
      <c r="G927" s="140"/>
      <c r="H927" s="142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1.25" customHeight="1">
      <c r="A928" s="140"/>
      <c r="B928" s="140"/>
      <c r="C928" s="141"/>
      <c r="D928" s="140"/>
      <c r="E928" s="140"/>
      <c r="F928" s="140"/>
      <c r="G928" s="140"/>
      <c r="H928" s="142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1.25" customHeight="1">
      <c r="A929" s="140"/>
      <c r="B929" s="140"/>
      <c r="C929" s="141"/>
      <c r="D929" s="140"/>
      <c r="E929" s="140"/>
      <c r="F929" s="140"/>
      <c r="G929" s="140"/>
      <c r="H929" s="142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1.25" customHeight="1">
      <c r="A930" s="140"/>
      <c r="B930" s="140"/>
      <c r="C930" s="141"/>
      <c r="D930" s="140"/>
      <c r="E930" s="140"/>
      <c r="F930" s="140"/>
      <c r="G930" s="140"/>
      <c r="H930" s="142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1.25" customHeight="1">
      <c r="A931" s="140"/>
      <c r="B931" s="140"/>
      <c r="C931" s="141"/>
      <c r="D931" s="140"/>
      <c r="E931" s="140"/>
      <c r="F931" s="140"/>
      <c r="G931" s="140"/>
      <c r="H931" s="142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1.25" customHeight="1">
      <c r="A932" s="140"/>
      <c r="B932" s="140"/>
      <c r="C932" s="141"/>
      <c r="D932" s="140"/>
      <c r="E932" s="140"/>
      <c r="F932" s="140"/>
      <c r="G932" s="140"/>
      <c r="H932" s="142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1.25" customHeight="1">
      <c r="A933" s="140"/>
      <c r="B933" s="140"/>
      <c r="C933" s="141"/>
      <c r="D933" s="140"/>
      <c r="E933" s="140"/>
      <c r="F933" s="140"/>
      <c r="G933" s="140"/>
      <c r="H933" s="142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1.25" customHeight="1">
      <c r="A934" s="140"/>
      <c r="B934" s="140"/>
      <c r="C934" s="141"/>
      <c r="D934" s="140"/>
      <c r="E934" s="140"/>
      <c r="F934" s="140"/>
      <c r="G934" s="140"/>
      <c r="H934" s="142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1.25" customHeight="1">
      <c r="A935" s="140"/>
      <c r="B935" s="140"/>
      <c r="C935" s="141"/>
      <c r="D935" s="140"/>
      <c r="E935" s="140"/>
      <c r="F935" s="140"/>
      <c r="G935" s="140"/>
      <c r="H935" s="142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1.25" customHeight="1">
      <c r="A936" s="140"/>
      <c r="B936" s="140"/>
      <c r="C936" s="141"/>
      <c r="D936" s="140"/>
      <c r="E936" s="140"/>
      <c r="F936" s="140"/>
      <c r="G936" s="140"/>
      <c r="H936" s="142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1.25" customHeight="1">
      <c r="A937" s="140"/>
      <c r="B937" s="140"/>
      <c r="C937" s="141"/>
      <c r="D937" s="140"/>
      <c r="E937" s="140"/>
      <c r="F937" s="140"/>
      <c r="G937" s="140"/>
      <c r="H937" s="142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1.25" customHeight="1">
      <c r="A938" s="140"/>
      <c r="B938" s="140"/>
      <c r="C938" s="141"/>
      <c r="D938" s="140"/>
      <c r="E938" s="140"/>
      <c r="F938" s="140"/>
      <c r="G938" s="140"/>
      <c r="H938" s="142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1.25" customHeight="1">
      <c r="A939" s="140"/>
      <c r="B939" s="140"/>
      <c r="C939" s="141"/>
      <c r="D939" s="140"/>
      <c r="E939" s="140"/>
      <c r="F939" s="140"/>
      <c r="G939" s="140"/>
      <c r="H939" s="142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1.25" customHeight="1">
      <c r="A940" s="140"/>
      <c r="B940" s="140"/>
      <c r="C940" s="141"/>
      <c r="D940" s="140"/>
      <c r="E940" s="140"/>
      <c r="F940" s="140"/>
      <c r="G940" s="140"/>
      <c r="H940" s="142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1.25" customHeight="1">
      <c r="A941" s="140"/>
      <c r="B941" s="140"/>
      <c r="C941" s="141"/>
      <c r="D941" s="140"/>
      <c r="E941" s="140"/>
      <c r="F941" s="140"/>
      <c r="G941" s="140"/>
      <c r="H941" s="142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1.25" customHeight="1">
      <c r="A942" s="140"/>
      <c r="B942" s="140"/>
      <c r="C942" s="141"/>
      <c r="D942" s="140"/>
      <c r="E942" s="140"/>
      <c r="F942" s="140"/>
      <c r="G942" s="140"/>
      <c r="H942" s="142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1.25" customHeight="1">
      <c r="A943" s="140"/>
      <c r="B943" s="140"/>
      <c r="C943" s="141"/>
      <c r="D943" s="140"/>
      <c r="E943" s="140"/>
      <c r="F943" s="140"/>
      <c r="G943" s="140"/>
      <c r="H943" s="142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1.25" customHeight="1">
      <c r="A944" s="140"/>
      <c r="B944" s="140"/>
      <c r="C944" s="141"/>
      <c r="D944" s="140"/>
      <c r="E944" s="140"/>
      <c r="F944" s="140"/>
      <c r="G944" s="140"/>
      <c r="H944" s="142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1.25" customHeight="1">
      <c r="A945" s="140"/>
      <c r="B945" s="140"/>
      <c r="C945" s="141"/>
      <c r="D945" s="140"/>
      <c r="E945" s="140"/>
      <c r="F945" s="140"/>
      <c r="G945" s="140"/>
      <c r="H945" s="142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1.25" customHeight="1">
      <c r="A946" s="140"/>
      <c r="B946" s="140"/>
      <c r="C946" s="141"/>
      <c r="D946" s="140"/>
      <c r="E946" s="140"/>
      <c r="F946" s="140"/>
      <c r="G946" s="140"/>
      <c r="H946" s="142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1.25" customHeight="1">
      <c r="A947" s="140"/>
      <c r="B947" s="140"/>
      <c r="C947" s="141"/>
      <c r="D947" s="140"/>
      <c r="E947" s="140"/>
      <c r="F947" s="140"/>
      <c r="G947" s="140"/>
      <c r="H947" s="142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1.25" customHeight="1">
      <c r="A948" s="140"/>
      <c r="B948" s="140"/>
      <c r="C948" s="141"/>
      <c r="D948" s="140"/>
      <c r="E948" s="140"/>
      <c r="F948" s="140"/>
      <c r="G948" s="140"/>
      <c r="H948" s="142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1.25" customHeight="1">
      <c r="A949" s="140"/>
      <c r="B949" s="140"/>
      <c r="C949" s="141"/>
      <c r="D949" s="140"/>
      <c r="E949" s="140"/>
      <c r="F949" s="140"/>
      <c r="G949" s="140"/>
      <c r="H949" s="142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1.25" customHeight="1">
      <c r="A950" s="140"/>
      <c r="B950" s="140"/>
      <c r="C950" s="141"/>
      <c r="D950" s="140"/>
      <c r="E950" s="140"/>
      <c r="F950" s="140"/>
      <c r="G950" s="140"/>
      <c r="H950" s="142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1.25" customHeight="1">
      <c r="A951" s="140"/>
      <c r="B951" s="140"/>
      <c r="C951" s="141"/>
      <c r="D951" s="140"/>
      <c r="E951" s="140"/>
      <c r="F951" s="140"/>
      <c r="G951" s="140"/>
      <c r="H951" s="142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1.25" customHeight="1">
      <c r="A952" s="140"/>
      <c r="B952" s="140"/>
      <c r="C952" s="141"/>
      <c r="D952" s="140"/>
      <c r="E952" s="140"/>
      <c r="F952" s="140"/>
      <c r="G952" s="140"/>
      <c r="H952" s="142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1.25" customHeight="1">
      <c r="A953" s="140"/>
      <c r="B953" s="140"/>
      <c r="C953" s="141"/>
      <c r="D953" s="140"/>
      <c r="E953" s="140"/>
      <c r="F953" s="140"/>
      <c r="G953" s="140"/>
      <c r="H953" s="142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1.25" customHeight="1">
      <c r="A954" s="140"/>
      <c r="B954" s="140"/>
      <c r="C954" s="141"/>
      <c r="D954" s="140"/>
      <c r="E954" s="140"/>
      <c r="F954" s="140"/>
      <c r="G954" s="140"/>
      <c r="H954" s="142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1.25" customHeight="1">
      <c r="A955" s="140"/>
      <c r="B955" s="140"/>
      <c r="C955" s="141"/>
      <c r="D955" s="140"/>
      <c r="E955" s="140"/>
      <c r="F955" s="140"/>
      <c r="G955" s="140"/>
      <c r="H955" s="142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1.25" customHeight="1">
      <c r="A956" s="140"/>
      <c r="B956" s="140"/>
      <c r="C956" s="141"/>
      <c r="D956" s="140"/>
      <c r="E956" s="140"/>
      <c r="F956" s="140"/>
      <c r="G956" s="140"/>
      <c r="H956" s="142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1.25" customHeight="1">
      <c r="A957" s="140"/>
      <c r="B957" s="140"/>
      <c r="C957" s="141"/>
      <c r="D957" s="140"/>
      <c r="E957" s="140"/>
      <c r="F957" s="140"/>
      <c r="G957" s="140"/>
      <c r="H957" s="142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1.25" customHeight="1">
      <c r="A958" s="140"/>
      <c r="B958" s="140"/>
      <c r="C958" s="141"/>
      <c r="D958" s="140"/>
      <c r="E958" s="140"/>
      <c r="F958" s="140"/>
      <c r="G958" s="140"/>
      <c r="H958" s="142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1.25" customHeight="1">
      <c r="A959" s="140"/>
      <c r="B959" s="140"/>
      <c r="C959" s="141"/>
      <c r="D959" s="140"/>
      <c r="E959" s="140"/>
      <c r="F959" s="140"/>
      <c r="G959" s="140"/>
      <c r="H959" s="142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1.25" customHeight="1">
      <c r="A960" s="140"/>
      <c r="B960" s="140"/>
      <c r="C960" s="141"/>
      <c r="D960" s="140"/>
      <c r="E960" s="140"/>
      <c r="F960" s="140"/>
      <c r="G960" s="140"/>
      <c r="H960" s="142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1.25" customHeight="1">
      <c r="A961" s="140"/>
      <c r="B961" s="140"/>
      <c r="C961" s="141"/>
      <c r="D961" s="140"/>
      <c r="E961" s="140"/>
      <c r="F961" s="140"/>
      <c r="G961" s="140"/>
      <c r="H961" s="142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1.25" customHeight="1">
      <c r="A962" s="140"/>
      <c r="B962" s="140"/>
      <c r="C962" s="141"/>
      <c r="D962" s="140"/>
      <c r="E962" s="140"/>
      <c r="F962" s="140"/>
      <c r="G962" s="140"/>
      <c r="H962" s="142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1.25" customHeight="1">
      <c r="A963" s="140"/>
      <c r="B963" s="140"/>
      <c r="C963" s="141"/>
      <c r="D963" s="140"/>
      <c r="E963" s="140"/>
      <c r="F963" s="140"/>
      <c r="G963" s="140"/>
      <c r="H963" s="142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1.25" customHeight="1">
      <c r="A964" s="140"/>
      <c r="B964" s="140"/>
      <c r="C964" s="141"/>
      <c r="D964" s="140"/>
      <c r="E964" s="140"/>
      <c r="F964" s="140"/>
      <c r="G964" s="140"/>
      <c r="H964" s="142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1.25" customHeight="1">
      <c r="A965" s="140"/>
      <c r="B965" s="140"/>
      <c r="C965" s="141"/>
      <c r="D965" s="140"/>
      <c r="E965" s="140"/>
      <c r="F965" s="140"/>
      <c r="G965" s="140"/>
      <c r="H965" s="142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1.25" customHeight="1">
      <c r="A966" s="140"/>
      <c r="B966" s="140"/>
      <c r="C966" s="141"/>
      <c r="D966" s="140"/>
      <c r="E966" s="140"/>
      <c r="F966" s="140"/>
      <c r="G966" s="140"/>
      <c r="H966" s="142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1.25" customHeight="1">
      <c r="A967" s="140"/>
      <c r="B967" s="140"/>
      <c r="C967" s="141"/>
      <c r="D967" s="140"/>
      <c r="E967" s="140"/>
      <c r="F967" s="140"/>
      <c r="G967" s="140"/>
      <c r="H967" s="142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1.25" customHeight="1">
      <c r="A968" s="140"/>
      <c r="B968" s="140"/>
      <c r="C968" s="141"/>
      <c r="D968" s="140"/>
      <c r="E968" s="140"/>
      <c r="F968" s="140"/>
      <c r="G968" s="140"/>
      <c r="H968" s="142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1.25" customHeight="1">
      <c r="A969" s="140"/>
      <c r="B969" s="140"/>
      <c r="C969" s="141"/>
      <c r="D969" s="140"/>
      <c r="E969" s="140"/>
      <c r="F969" s="140"/>
      <c r="G969" s="140"/>
      <c r="H969" s="142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1.25" customHeight="1">
      <c r="A970" s="140"/>
      <c r="B970" s="140"/>
      <c r="C970" s="141"/>
      <c r="D970" s="140"/>
      <c r="E970" s="140"/>
      <c r="F970" s="140"/>
      <c r="G970" s="140"/>
      <c r="H970" s="142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1.25" customHeight="1">
      <c r="A971" s="140"/>
      <c r="B971" s="140"/>
      <c r="C971" s="141"/>
      <c r="D971" s="140"/>
      <c r="E971" s="140"/>
      <c r="F971" s="140"/>
      <c r="G971" s="140"/>
      <c r="H971" s="142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1.25" customHeight="1">
      <c r="A972" s="140"/>
      <c r="B972" s="140"/>
      <c r="C972" s="141"/>
      <c r="D972" s="140"/>
      <c r="E972" s="140"/>
      <c r="F972" s="140"/>
      <c r="G972" s="140"/>
      <c r="H972" s="142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1.25" customHeight="1">
      <c r="A973" s="140"/>
      <c r="B973" s="140"/>
      <c r="C973" s="141"/>
      <c r="D973" s="140"/>
      <c r="E973" s="140"/>
      <c r="F973" s="140"/>
      <c r="G973" s="140"/>
      <c r="H973" s="142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1.25" customHeight="1">
      <c r="A974" s="140"/>
      <c r="B974" s="140"/>
      <c r="C974" s="141"/>
      <c r="D974" s="140"/>
      <c r="E974" s="140"/>
      <c r="F974" s="140"/>
      <c r="G974" s="140"/>
      <c r="H974" s="142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1.25" customHeight="1">
      <c r="A975" s="140"/>
      <c r="B975" s="140"/>
      <c r="C975" s="141"/>
      <c r="D975" s="140"/>
      <c r="E975" s="140"/>
      <c r="F975" s="140"/>
      <c r="G975" s="140"/>
      <c r="H975" s="142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1.25" customHeight="1">
      <c r="A976" s="140"/>
      <c r="B976" s="140"/>
      <c r="C976" s="141"/>
      <c r="D976" s="140"/>
      <c r="E976" s="140"/>
      <c r="F976" s="140"/>
      <c r="G976" s="140"/>
      <c r="H976" s="142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1.25" customHeight="1">
      <c r="A977" s="140"/>
      <c r="B977" s="140"/>
      <c r="C977" s="141"/>
      <c r="D977" s="140"/>
      <c r="E977" s="140"/>
      <c r="F977" s="140"/>
      <c r="G977" s="140"/>
      <c r="H977" s="142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1.25" customHeight="1">
      <c r="A978" s="140"/>
      <c r="B978" s="140"/>
      <c r="C978" s="141"/>
      <c r="D978" s="140"/>
      <c r="E978" s="140"/>
      <c r="F978" s="140"/>
      <c r="G978" s="140"/>
      <c r="H978" s="142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1.25" customHeight="1">
      <c r="A979" s="140"/>
      <c r="B979" s="140"/>
      <c r="C979" s="141"/>
      <c r="D979" s="140"/>
      <c r="E979" s="140"/>
      <c r="F979" s="140"/>
      <c r="G979" s="140"/>
      <c r="H979" s="142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1.25" customHeight="1">
      <c r="A980" s="140"/>
      <c r="B980" s="140"/>
      <c r="C980" s="141"/>
      <c r="D980" s="140"/>
      <c r="E980" s="140"/>
      <c r="F980" s="140"/>
      <c r="G980" s="140"/>
      <c r="H980" s="142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1.25" customHeight="1">
      <c r="A981" s="140"/>
      <c r="B981" s="140"/>
      <c r="C981" s="141"/>
      <c r="D981" s="140"/>
      <c r="E981" s="140"/>
      <c r="F981" s="140"/>
      <c r="G981" s="140"/>
      <c r="H981" s="142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1.25" customHeight="1">
      <c r="A982" s="140"/>
      <c r="B982" s="140"/>
      <c r="C982" s="141"/>
      <c r="D982" s="140"/>
      <c r="E982" s="140"/>
      <c r="F982" s="140"/>
      <c r="G982" s="140"/>
      <c r="H982" s="142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1.25" customHeight="1">
      <c r="A983" s="140"/>
      <c r="B983" s="140"/>
      <c r="C983" s="141"/>
      <c r="D983" s="140"/>
      <c r="E983" s="140"/>
      <c r="F983" s="140"/>
      <c r="G983" s="140"/>
      <c r="H983" s="142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1.25" customHeight="1">
      <c r="A984" s="140"/>
      <c r="B984" s="140"/>
      <c r="C984" s="141"/>
      <c r="D984" s="140"/>
      <c r="E984" s="140"/>
      <c r="F984" s="140"/>
      <c r="G984" s="140"/>
      <c r="H984" s="142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1.25" customHeight="1">
      <c r="A985" s="140"/>
      <c r="B985" s="140"/>
      <c r="C985" s="141"/>
      <c r="D985" s="140"/>
      <c r="E985" s="140"/>
      <c r="F985" s="140"/>
      <c r="G985" s="140"/>
      <c r="H985" s="142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1.25" customHeight="1">
      <c r="A986" s="140"/>
      <c r="B986" s="140"/>
      <c r="C986" s="141"/>
      <c r="D986" s="140"/>
      <c r="E986" s="140"/>
      <c r="F986" s="140"/>
      <c r="G986" s="140"/>
      <c r="H986" s="142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1.25" customHeight="1">
      <c r="A987" s="140"/>
      <c r="B987" s="140"/>
      <c r="C987" s="141"/>
      <c r="D987" s="140"/>
      <c r="E987" s="140"/>
      <c r="F987" s="140"/>
      <c r="G987" s="140"/>
      <c r="H987" s="142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1.25" customHeight="1">
      <c r="A988" s="140"/>
      <c r="B988" s="140"/>
      <c r="C988" s="141"/>
      <c r="D988" s="140"/>
      <c r="E988" s="140"/>
      <c r="F988" s="140"/>
      <c r="G988" s="140"/>
      <c r="H988" s="142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1.25" customHeight="1">
      <c r="A989" s="140"/>
      <c r="B989" s="140"/>
      <c r="C989" s="141"/>
      <c r="D989" s="140"/>
      <c r="E989" s="140"/>
      <c r="F989" s="140"/>
      <c r="G989" s="140"/>
      <c r="H989" s="142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1.25" customHeight="1">
      <c r="A990" s="140"/>
      <c r="B990" s="140"/>
      <c r="C990" s="141"/>
      <c r="D990" s="140"/>
      <c r="E990" s="140"/>
      <c r="F990" s="140"/>
      <c r="G990" s="140"/>
      <c r="H990" s="142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1.25" customHeight="1">
      <c r="A991" s="140"/>
      <c r="B991" s="140"/>
      <c r="C991" s="141"/>
      <c r="D991" s="140"/>
      <c r="E991" s="140"/>
      <c r="F991" s="140"/>
      <c r="G991" s="140"/>
      <c r="H991" s="142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1.25" customHeight="1">
      <c r="A992" s="140"/>
      <c r="B992" s="140"/>
      <c r="C992" s="141"/>
      <c r="D992" s="140"/>
      <c r="E992" s="140"/>
      <c r="F992" s="140"/>
      <c r="G992" s="140"/>
      <c r="H992" s="142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1.25" customHeight="1">
      <c r="A993" s="140"/>
      <c r="B993" s="140"/>
      <c r="C993" s="141"/>
      <c r="D993" s="140"/>
      <c r="E993" s="140"/>
      <c r="F993" s="140"/>
      <c r="G993" s="140"/>
      <c r="H993" s="142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1.25" customHeight="1">
      <c r="A994" s="140"/>
      <c r="B994" s="140"/>
      <c r="C994" s="141"/>
      <c r="D994" s="140"/>
      <c r="E994" s="140"/>
      <c r="F994" s="140"/>
      <c r="G994" s="140"/>
      <c r="H994" s="142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ht="11.25" customHeight="1">
      <c r="A995" s="140"/>
      <c r="B995" s="140"/>
      <c r="C995" s="141"/>
      <c r="D995" s="140"/>
      <c r="E995" s="140"/>
      <c r="F995" s="140"/>
      <c r="G995" s="140"/>
      <c r="H995" s="142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ht="11.25" customHeight="1">
      <c r="A996" s="140"/>
      <c r="B996" s="140"/>
      <c r="C996" s="141"/>
      <c r="D996" s="140"/>
      <c r="E996" s="140"/>
      <c r="F996" s="140"/>
      <c r="G996" s="140"/>
      <c r="H996" s="142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ht="11.25" customHeight="1">
      <c r="A997" s="140"/>
      <c r="B997" s="140"/>
      <c r="C997" s="141"/>
      <c r="D997" s="140"/>
      <c r="E997" s="140"/>
      <c r="F997" s="140"/>
      <c r="G997" s="140"/>
      <c r="H997" s="142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ht="11.25" customHeight="1">
      <c r="A998" s="140"/>
      <c r="B998" s="140"/>
      <c r="C998" s="141"/>
      <c r="D998" s="140"/>
      <c r="E998" s="140"/>
      <c r="F998" s="140"/>
      <c r="G998" s="140"/>
      <c r="H998" s="142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ht="11.25" customHeight="1">
      <c r="A999" s="140"/>
      <c r="B999" s="140"/>
      <c r="C999" s="141"/>
      <c r="D999" s="140"/>
      <c r="E999" s="140"/>
      <c r="F999" s="140"/>
      <c r="G999" s="140"/>
      <c r="H999" s="142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ht="11.25" customHeight="1">
      <c r="A1000" s="140"/>
      <c r="B1000" s="140"/>
      <c r="C1000" s="141"/>
      <c r="D1000" s="140"/>
      <c r="E1000" s="140"/>
      <c r="F1000" s="140"/>
      <c r="G1000" s="140"/>
      <c r="H1000" s="142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16">
    <mergeCell ref="A2:H2"/>
    <mergeCell ref="D5:H5"/>
    <mergeCell ref="A74:H74"/>
    <mergeCell ref="A75:H75"/>
    <mergeCell ref="D78:H78"/>
    <mergeCell ref="A147:H147"/>
    <mergeCell ref="A148:H148"/>
    <mergeCell ref="D370:H370"/>
    <mergeCell ref="A467:H467"/>
    <mergeCell ref="D151:H151"/>
    <mergeCell ref="A220:H220"/>
    <mergeCell ref="A221:H221"/>
    <mergeCell ref="D224:H224"/>
    <mergeCell ref="A294:H294"/>
    <mergeCell ref="D297:H297"/>
    <mergeCell ref="A367:H367"/>
  </mergeCells>
  <printOptions/>
  <pageMargins bottom="0.984251969" footer="0.0" header="0.0" left="0.787401575" right="0.787401575" top="0.984251969"/>
  <pageSetup paperSize="9" orientation="portrait"/>
  <rowBreaks count="5" manualBreakCount="5">
    <brk id="146" man="1"/>
    <brk id="292" man="1"/>
    <brk id="73" man="1"/>
    <brk id="219" man="1"/>
    <brk id="365" man="1"/>
  </rowBreaks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2021-05-04T18:28:15Z</dcterms:created>
  <dc:creator>Diego Nascimento Santos Lima</dc:creator>
</cp:coreProperties>
</file>